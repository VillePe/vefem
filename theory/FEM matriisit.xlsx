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Ilman vapautuksia" sheetId="1" state="visible" r:id="rId3"/>
    <sheet name="Vapautuksilla" sheetId="2" state="visible" r:id="rId4"/>
    <sheet name="Jousituet" sheetId="3" state="visible" r:id="rId5"/>
    <sheet name="Lukkovoimat" sheetId="4" state="visible" r:id="rId6"/>
    <sheet name="Tuki kierretty x" sheetId="5" state="visible" r:id="rId7"/>
    <sheet name="Tuki kierretty y" sheetId="6" state="visible" r:id="rId8"/>
    <sheet name="Kehä tuki kierret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interval="0" name="Kysely – Taulukko1" description="Yhteys kyselyyn Taulukko1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aulukko1;Extended Properties=&quot;&quot;" command="SELECT * FROM [Taulukko1]"/>
  </connection>
  <connection id="2" xr16:uid="{781A6465-37A3-4021-84D4-27DFF6749064}" keepAlive="1" interval="0" name="Kysely – Taulukko1 (2)" description="Yhteys kyselyyn Taulukko1 (2)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Taulukko1 (2)&quot;;Extended Properties=&quot;&quot;" command="SELECT * FROM [Taulukko1 (2)]"/>
  </connection>
</connections>
</file>

<file path=xl/sharedStrings.xml><?xml version="1.0" encoding="utf-8"?>
<sst xmlns="http://schemas.openxmlformats.org/spreadsheetml/2006/main" count="821" uniqueCount="140">
  <si>
    <t xml:space="preserve">Laskenta perustuu Savonia AMK opintoihin, Ville Pekkalan opinnäytetyöhön ja netistä löytyneeseen (ei tällä hetkellä löydettävissä) Matti Lähteenmäki, Elementtimenetelmän perusteet opukseen</t>
  </si>
  <si>
    <t xml:space="preserve">Elementti 1</t>
  </si>
  <si>
    <t xml:space="preserve">Elementti 2</t>
  </si>
  <si>
    <t xml:space="preserve">Elementti 3</t>
  </si>
  <si>
    <t xml:space="preserve">Elementin kiertokulma</t>
  </si>
  <si>
    <t xml:space="preserve">°</t>
  </si>
  <si>
    <t xml:space="preserve">Elementin 1 globaali jäykkyysmatriisi - sijoitus yhdistettyyn jäykkyysmatriisiin</t>
  </si>
  <si>
    <t xml:space="preserve">Elementin 2 globaali jäykkyysmatriisi - sijoitus yhdistettyyn jäykkyysmatriisiin</t>
  </si>
  <si>
    <t xml:space="preserve">cos</t>
  </si>
  <si>
    <t xml:space="preserve">sin</t>
  </si>
  <si>
    <t xml:space="preserve">Voimat</t>
  </si>
  <si>
    <t xml:space="preserve">Elementin pituus</t>
  </si>
  <si>
    <t xml:space="preserve">mm</t>
  </si>
  <si>
    <t xml:space="preserve">Profiilin pinta-ala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</si>
  <si>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</si>
  <si>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Jäyhyysmomentti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</si>
  <si>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4</t>
    </r>
  </si>
  <si>
    <t xml:space="preserve">Kimmokerroin</t>
  </si>
  <si>
    <t xml:space="preserve">N/mm² (MPa)</t>
  </si>
  <si>
    <r>
      <rPr>
        <sz val="9"/>
        <color theme="1"/>
        <rFont val="Aptos Narrow"/>
        <family val="2"/>
        <charset val="1"/>
      </rPr>
      <t xml:space="preserve">N/m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</si>
  <si>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r>
      <rPr>
        <sz val="9"/>
        <color theme="1"/>
        <rFont val="Aptos Narrow"/>
        <family val="2"/>
        <charset val="1"/>
      </rPr>
      <t xml:space="preserve">N/mm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</si>
  <si>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EA</t>
  </si>
  <si>
    <t xml:space="preserve">N</t>
  </si>
  <si>
    <t xml:space="preserve">EI</t>
  </si>
  <si>
    <t xml:space="preserve">N/mm²</t>
  </si>
  <si>
    <r>
      <rPr>
        <sz val="9"/>
        <color theme="1"/>
        <rFont val="Aptos Narrow"/>
        <family val="2"/>
        <charset val="1"/>
      </rPr>
      <t xml:space="preserve">Nmm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</si>
  <si>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Kuormat</t>
  </si>
  <si>
    <t xml:space="preserve">Omapaino</t>
  </si>
  <si>
    <t xml:space="preserve">N/mm</t>
  </si>
  <si>
    <t xml:space="preserve">Jatkuva kuorma</t>
  </si>
  <si>
    <t xml:space="preserve">Globaali jäykkyysmatriisi</t>
  </si>
  <si>
    <t xml:space="preserve">Lukkovoimat (Gkoord)</t>
  </si>
  <si>
    <t xml:space="preserve">Elementin 3 globaali jäykkyysmatriisi - sijoitus yhdistettyyn jäykkyysmatriisiin</t>
  </si>
  <si>
    <t xml:space="preserve">Elementin jäykkyysmatriisi lokaalissa koordinaatistossa</t>
  </si>
  <si>
    <t xml:space="preserve">Lukkovoimat (Lkoord)</t>
  </si>
  <si>
    <t xml:space="preserve">Elementin lokaali jäykkyysmatriisi kerrottuna transponoidulla kiertomatriisilla</t>
  </si>
  <si>
    <t xml:space="preserve">Yhdistetty jäykkyysmatriisi</t>
  </si>
  <si>
    <t xml:space="preserve">*</t>
  </si>
  <si>
    <t xml:space="preserve">Siirtymät</t>
  </si>
  <si>
    <t xml:space="preserve">=</t>
  </si>
  <si>
    <t xml:space="preserve">Reaktiot</t>
  </si>
  <si>
    <t xml:space="preserve">+Q11</t>
  </si>
  <si>
    <t xml:space="preserve">Elementin kiertomatriisi</t>
  </si>
  <si>
    <t xml:space="preserve">+Q12</t>
  </si>
  <si>
    <t xml:space="preserve">r13</t>
  </si>
  <si>
    <t xml:space="preserve">r21</t>
  </si>
  <si>
    <t xml:space="preserve">r22</t>
  </si>
  <si>
    <t xml:space="preserve">r23</t>
  </si>
  <si>
    <t xml:space="preserve">+Q31</t>
  </si>
  <si>
    <t xml:space="preserve">+Q32</t>
  </si>
  <si>
    <t xml:space="preserve">r33</t>
  </si>
  <si>
    <t xml:space="preserve">r41</t>
  </si>
  <si>
    <t xml:space="preserve">Elementin kiertomatriisi transponoituna</t>
  </si>
  <si>
    <t xml:space="preserve">r42</t>
  </si>
  <si>
    <t xml:space="preserve">r43</t>
  </si>
  <si>
    <t xml:space="preserve">Tuntemattomat siirtymät</t>
  </si>
  <si>
    <t xml:space="preserve">Lokaali</t>
  </si>
  <si>
    <t xml:space="preserve">Matriisi</t>
  </si>
  <si>
    <t xml:space="preserve">Globaalit arvot</t>
  </si>
  <si>
    <t xml:space="preserve">Lokaalit arvot</t>
  </si>
  <si>
    <t xml:space="preserve">suunta</t>
  </si>
  <si>
    <t xml:space="preserve">Alkupää</t>
  </si>
  <si>
    <t xml:space="preserve">Loppupää</t>
  </si>
  <si>
    <t xml:space="preserve">Kuorma</t>
  </si>
  <si>
    <t xml:space="preserve">N (/Nmm)</t>
  </si>
  <si>
    <t xml:space="preserve">Vaaka</t>
  </si>
  <si>
    <t xml:space="preserve">⮕</t>
  </si>
  <si>
    <t xml:space="preserve">Lukkovoimaesimerkissä kuorma osoittaa alaspäin positiivisena</t>
  </si>
  <si>
    <t xml:space="preserve">Suunta</t>
  </si>
  <si>
    <t xml:space="preserve">Pysty</t>
  </si>
  <si>
    <t xml:space="preserve">⬆</t>
  </si>
  <si>
    <t xml:space="preserve">mutta SIN(kulma) antaa negatiivisen arvon alaspäin osoittaville voimille</t>
  </si>
  <si>
    <t xml:space="preserve">etäisyys (a)</t>
  </si>
  <si>
    <t xml:space="preserve">⟲</t>
  </si>
  <si>
    <t xml:space="preserve">(Huomaa -1* alussa)</t>
  </si>
  <si>
    <t xml:space="preserve">b</t>
  </si>
  <si>
    <t xml:space="preserve">Momenttikuorma</t>
  </si>
  <si>
    <t xml:space="preserve">Positiivinen vastapäivään</t>
  </si>
  <si>
    <t xml:space="preserve">rad</t>
  </si>
  <si>
    <t xml:space="preserve">mrad</t>
  </si>
  <si>
    <t xml:space="preserve">Siirtymä (pituussuunnassa)</t>
  </si>
  <si>
    <t xml:space="preserve">Positiivinen venymää</t>
  </si>
  <si>
    <t xml:space="preserve">Muut kuormat muunnetaan pistekuormiksi ekvivalenttien kuormituskaavioiden mukaan ajatellen, että 'elementin' alku ja loppupiste on samassa kohtaa, kuin voiman alku ja loppupiste</t>
  </si>
  <si>
    <t xml:space="preserve">Elementin 1 lokaalit solmupisteiden voimasuureet</t>
  </si>
  <si>
    <t xml:space="preserve">Jäykkyysmatriisi * lokaalit siirtymät - lokaalit lukkovoimat</t>
  </si>
  <si>
    <t xml:space="preserve">lukkovoimat (lok, kierretyt)</t>
  </si>
  <si>
    <t xml:space="preserve">siirtymät (lok)</t>
  </si>
  <si>
    <t xml:space="preserve">-</t>
  </si>
  <si>
    <t xml:space="preserve">solmupisteiden voimavektorit</t>
  </si>
  <si>
    <t xml:space="preserve">kN/m</t>
  </si>
  <si>
    <t xml:space="preserve">=&gt;</t>
  </si>
  <si>
    <t xml:space="preserve">+Q13</t>
  </si>
  <si>
    <t xml:space="preserve">+Q33</t>
  </si>
  <si>
    <t xml:space="preserve">r24</t>
  </si>
  <si>
    <t xml:space="preserve">r44</t>
  </si>
  <si>
    <t xml:space="preserve">Elem 1 glob</t>
  </si>
  <si>
    <t xml:space="preserve">Elem 1 lok</t>
  </si>
  <si>
    <t xml:space="preserve">Nmm/rad</t>
  </si>
  <si>
    <t xml:space="preserve">kNm/rad</t>
  </si>
  <si>
    <t xml:space="preserve">Yleinen jousivakio</t>
  </si>
  <si>
    <t xml:space="preserve">Jousivakio</t>
  </si>
  <si>
    <t xml:space="preserve">Yhdistetty jäykkyysmatriisi (tuen jousivakion kanssa. Huom! Tällä lasketaan vain siirtymät. Tukireaktiot lasketaan ilman jousivakioita)</t>
  </si>
  <si>
    <t xml:space="preserve">r14</t>
  </si>
  <si>
    <t xml:space="preserve">Yhdistetty jäykkyysmatriisi (ilman tuen jousivakiota, tällä lasketaan tukireaktiot)</t>
  </si>
  <si>
    <t xml:space="preserve">q</t>
  </si>
  <si>
    <t xml:space="preserve">L</t>
  </si>
  <si>
    <t xml:space="preserve">a</t>
  </si>
  <si>
    <t xml:space="preserve">d</t>
  </si>
  <si>
    <t xml:space="preserve">d/2</t>
  </si>
  <si>
    <t xml:space="preserve">Tukien kiertomatriisi</t>
  </si>
  <si>
    <t xml:space="preserve">1. Tuen kierto</t>
  </si>
  <si>
    <t xml:space="preserve">2.Tuen kierto</t>
  </si>
  <si>
    <t xml:space="preserve">Tukien kiertomatriisin transpoosi</t>
  </si>
  <si>
    <t xml:space="preserve">+Q14</t>
  </si>
  <si>
    <t xml:space="preserve">+Q15</t>
  </si>
  <si>
    <t xml:space="preserve">r16</t>
  </si>
  <si>
    <t xml:space="preserve">Yhdistetty jäykkyysmatriisi kerrottuna tukien transponoidulla kiertomatriisilla</t>
  </si>
  <si>
    <t xml:space="preserve">KIERRETYT</t>
  </si>
  <si>
    <t xml:space="preserve">Lukkovoimien kierto</t>
  </si>
  <si>
    <t xml:space="preserve">Kiertokulma</t>
  </si>
  <si>
    <t xml:space="preserve">Yhdistetty jäykkyysmatriisi tuet kierrettynä</t>
  </si>
  <si>
    <t xml:space="preserve">Siirtymä tuen lokaalin X-akselin suuntaan</t>
  </si>
  <si>
    <t xml:space="preserve">GLOBAALIT</t>
  </si>
  <si>
    <t xml:space="preserve">r15</t>
  </si>
  <si>
    <t xml:space="preserve">Alku</t>
  </si>
  <si>
    <t xml:space="preserve">Loppu</t>
  </si>
  <si>
    <t xml:space="preserve">Siirtymä tuen lokaalin Y-akselin suuntaan</t>
  </si>
  <si>
    <t xml:space="preserve">r21 (0)</t>
  </si>
  <si>
    <t xml:space="preserve">r42 (0)</t>
  </si>
  <si>
    <t xml:space="preserve">Solmu </t>
  </si>
  <si>
    <t xml:space="preserve">Kierto</t>
  </si>
  <si>
    <t xml:space="preserve">Cos</t>
  </si>
  <si>
    <t xml:space="preserve">Sin</t>
  </si>
  <si>
    <t xml:space="preserve">Yhdistetty tukien kiertomatriisi</t>
  </si>
  <si>
    <t xml:space="preserve">Yhdistetty tukien kiertomatriisin transpoosi</t>
  </si>
  <si>
    <r>
      <rPr>
        <b val="true"/>
        <sz val="9"/>
        <color theme="1"/>
        <rFont val="Aptos Narrow"/>
        <family val="2"/>
        <charset val="1"/>
      </rPr>
      <t xml:space="preserve">Yhdistetty jäykkyysmatriisi tukien kiertomatriisin transpoosilla kerrottuna (KT</t>
    </r>
    <r>
      <rPr>
        <b val="true"/>
        <vertAlign val="superscript"/>
        <sz val="9"/>
        <color theme="1"/>
        <rFont val="Aptos Narrow"/>
        <family val="2"/>
        <charset val="1"/>
      </rPr>
      <t xml:space="preserve">T</t>
    </r>
    <r>
      <rPr>
        <b val="true"/>
        <sz val="9"/>
        <color theme="1"/>
        <rFont val="Aptos Narrow"/>
        <family val="2"/>
        <charset val="1"/>
      </rPr>
      <t xml:space="preserve">)</t>
    </r>
  </si>
  <si>
    <t xml:space="preserve">Yhdistetty jäykkyysmatriisi tukien kierto huomioituna</t>
  </si>
  <si>
    <t xml:space="preserve">Kierretyt voimat</t>
  </si>
  <si>
    <t xml:space="preserve">r22’</t>
  </si>
  <si>
    <t xml:space="preserve">r41’</t>
  </si>
</sst>
</file>

<file path=xl/styles.xml><?xml version="1.0" encoding="utf-8"?>
<styleSheet xmlns="http://schemas.openxmlformats.org/spreadsheetml/2006/main">
  <numFmts count="11">
    <numFmt numFmtId="164" formatCode="0"/>
    <numFmt numFmtId="165" formatCode="General"/>
    <numFmt numFmtId="166" formatCode="0.0"/>
    <numFmt numFmtId="167" formatCode="0.000"/>
    <numFmt numFmtId="168" formatCode="0.00E+00"/>
    <numFmt numFmtId="169" formatCode="0.000E+00"/>
    <numFmt numFmtId="170" formatCode="0.0000E+00"/>
    <numFmt numFmtId="171" formatCode="0.0000"/>
    <numFmt numFmtId="172" formatCode="0.00000"/>
    <numFmt numFmtId="173" formatCode="0.000000"/>
    <numFmt numFmtId="174" formatCode="0.00"/>
  </numFmts>
  <fonts count="1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b val="true"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 val="true"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 val="true"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 val="true"/>
      <sz val="9"/>
      <color theme="6" tint="-0.25"/>
      <name val="Aptos Narrow"/>
      <family val="2"/>
      <charset val="1"/>
    </font>
    <font>
      <sz val="9"/>
      <color theme="6" tint="-0.25"/>
      <name val="Aptos Narrow"/>
      <family val="2"/>
      <charset val="1"/>
    </font>
    <font>
      <b val="true"/>
      <vertAlign val="superscript"/>
      <sz val="9"/>
      <color theme="1"/>
      <name val="Aptos Narrow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6" tint="0.5999"/>
        <bgColor rgb="FF92D05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81D41A"/>
      </patternFill>
    </fill>
    <fill>
      <patternFill patternType="solid">
        <fgColor theme="0" tint="-0.15"/>
        <bgColor rgb="FFBFBFBF"/>
      </patternFill>
    </fill>
    <fill>
      <patternFill patternType="solid">
        <fgColor theme="0" tint="-0.25"/>
        <bgColor rgb="FFD9D9D9"/>
      </patternFill>
    </fill>
    <fill>
      <patternFill patternType="solid">
        <fgColor rgb="FF81D41A"/>
        <bgColor rgb="FF92D050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dashed"/>
      <top/>
      <bottom style="dashed"/>
      <diagonal/>
    </border>
    <border diagonalUp="false" diagonalDown="false">
      <left style="dashed"/>
      <right style="dashed"/>
      <top/>
      <bottom style="dashed"/>
      <diagonal/>
    </border>
    <border diagonalUp="false" diagonalDown="false">
      <left style="dashed"/>
      <right style="dotted"/>
      <top/>
      <bottom style="dashed"/>
      <diagonal/>
    </border>
    <border diagonalUp="false" diagonalDown="false">
      <left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dotted"/>
      <top style="dashed"/>
      <bottom style="dashed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65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5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18"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84E291"/>
      <rgbColor rgb="FFFF99CC"/>
      <rgbColor rgb="FFCC99FF"/>
      <rgbColor rgb="FFFFCC99"/>
      <rgbColor rgb="FF3366FF"/>
      <rgbColor rgb="FF33CCCC"/>
      <rgbColor rgb="FF81D41A"/>
      <rgbColor rgb="FFFFC000"/>
      <rgbColor rgb="FFFF9900"/>
      <rgbColor rgb="FFFF6600"/>
      <rgbColor rgb="FF666699"/>
      <rgbColor rgb="FF92D050"/>
      <rgbColor rgb="FF003366"/>
      <rgbColor rgb="FF339966"/>
      <rgbColor rgb="FF13501B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connections" Target="connections.xml"/><Relationship Id="rId12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486000</xdr:colOff>
      <xdr:row>22</xdr:row>
      <xdr:rowOff>62280</xdr:rowOff>
    </xdr:from>
    <xdr:to>
      <xdr:col>61</xdr:col>
      <xdr:colOff>271800</xdr:colOff>
      <xdr:row>40</xdr:row>
      <xdr:rowOff>107640</xdr:rowOff>
    </xdr:to>
    <xdr:pic>
      <xdr:nvPicPr>
        <xdr:cNvPr id="1" name="Kuva 3"/>
        <xdr:cNvPicPr/>
      </xdr:nvPicPr>
      <xdr:blipFill>
        <a:blip r:embed="rId1"/>
        <a:stretch/>
      </xdr:blipFill>
      <xdr:spPr>
        <a:xfrm>
          <a:off x="30748680" y="3414960"/>
          <a:ext cx="4563000" cy="2788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150120</xdr:rowOff>
    </xdr:to>
    <xdr:pic>
      <xdr:nvPicPr>
        <xdr:cNvPr id="2" name="Kuva 1"/>
        <xdr:cNvPicPr/>
      </xdr:nvPicPr>
      <xdr:blipFill>
        <a:blip r:embed="rId2"/>
        <a:stretch/>
      </xdr:blipFill>
      <xdr:spPr>
        <a:xfrm>
          <a:off x="3843720" y="293760"/>
          <a:ext cx="1478880" cy="229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11</xdr:col>
      <xdr:colOff>360</xdr:colOff>
      <xdr:row>98</xdr:row>
      <xdr:rowOff>141480</xdr:rowOff>
    </xdr:to>
    <xdr:pic>
      <xdr:nvPicPr>
        <xdr:cNvPr id="3" name="Kuva 2"/>
        <xdr:cNvPicPr/>
      </xdr:nvPicPr>
      <xdr:blipFill>
        <a:blip r:embed="rId3"/>
        <a:stretch/>
      </xdr:blipFill>
      <xdr:spPr>
        <a:xfrm>
          <a:off x="2842920" y="11849040"/>
          <a:ext cx="3311280" cy="3265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221040</xdr:colOff>
      <xdr:row>91</xdr:row>
      <xdr:rowOff>147960</xdr:rowOff>
    </xdr:to>
    <xdr:pic>
      <xdr:nvPicPr>
        <xdr:cNvPr id="4" name="Kuva 4"/>
        <xdr:cNvPicPr/>
      </xdr:nvPicPr>
      <xdr:blipFill>
        <a:blip r:embed="rId4"/>
        <a:stretch/>
      </xdr:blipFill>
      <xdr:spPr>
        <a:xfrm>
          <a:off x="6642360" y="11746800"/>
          <a:ext cx="3681000" cy="2307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52</xdr:col>
      <xdr:colOff>405720</xdr:colOff>
      <xdr:row>20</xdr:row>
      <xdr:rowOff>139680</xdr:rowOff>
    </xdr:from>
    <xdr:to>
      <xdr:col>63</xdr:col>
      <xdr:colOff>165960</xdr:colOff>
      <xdr:row>43</xdr:row>
      <xdr:rowOff>104040</xdr:rowOff>
    </xdr:to>
    <xdr:pic>
      <xdr:nvPicPr>
        <xdr:cNvPr id="5" name="Kuva 2"/>
        <xdr:cNvPicPr/>
      </xdr:nvPicPr>
      <xdr:blipFill>
        <a:blip r:embed="rId1"/>
        <a:stretch/>
      </xdr:blipFill>
      <xdr:spPr>
        <a:xfrm>
          <a:off x="30974760" y="3187800"/>
          <a:ext cx="6159600" cy="346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98640</xdr:colOff>
      <xdr:row>17</xdr:row>
      <xdr:rowOff>57600</xdr:rowOff>
    </xdr:to>
    <xdr:pic>
      <xdr:nvPicPr>
        <xdr:cNvPr id="6" name="Kuva 1"/>
        <xdr:cNvPicPr/>
      </xdr:nvPicPr>
      <xdr:blipFill>
        <a:blip r:embed="rId2"/>
        <a:stretch/>
      </xdr:blipFill>
      <xdr:spPr>
        <a:xfrm>
          <a:off x="3556080" y="276480"/>
          <a:ext cx="1503360" cy="2372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4680</xdr:colOff>
      <xdr:row>20</xdr:row>
      <xdr:rowOff>139680</xdr:rowOff>
    </xdr:from>
    <xdr:to>
      <xdr:col>63</xdr:col>
      <xdr:colOff>15840</xdr:colOff>
      <xdr:row>43</xdr:row>
      <xdr:rowOff>104040</xdr:rowOff>
    </xdr:to>
    <xdr:pic>
      <xdr:nvPicPr>
        <xdr:cNvPr id="7" name="Kuva 1"/>
        <xdr:cNvPicPr/>
      </xdr:nvPicPr>
      <xdr:blipFill>
        <a:blip r:embed="rId1"/>
        <a:stretch/>
      </xdr:blipFill>
      <xdr:spPr>
        <a:xfrm>
          <a:off x="32661360" y="3187800"/>
          <a:ext cx="5859720" cy="346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98640</xdr:colOff>
      <xdr:row>17</xdr:row>
      <xdr:rowOff>57600</xdr:rowOff>
    </xdr:to>
    <xdr:pic>
      <xdr:nvPicPr>
        <xdr:cNvPr id="8" name="Kuva 2"/>
        <xdr:cNvPicPr/>
      </xdr:nvPicPr>
      <xdr:blipFill>
        <a:blip r:embed="rId2"/>
        <a:stretch/>
      </xdr:blipFill>
      <xdr:spPr>
        <a:xfrm>
          <a:off x="3556080" y="276480"/>
          <a:ext cx="1503360" cy="2372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458640</xdr:colOff>
      <xdr:row>47</xdr:row>
      <xdr:rowOff>151560</xdr:rowOff>
    </xdr:to>
    <xdr:pic>
      <xdr:nvPicPr>
        <xdr:cNvPr id="9" name="Kuva 1"/>
        <xdr:cNvPicPr/>
      </xdr:nvPicPr>
      <xdr:blipFill>
        <a:blip r:embed="rId1"/>
        <a:stretch/>
      </xdr:blipFill>
      <xdr:spPr>
        <a:xfrm>
          <a:off x="0" y="0"/>
          <a:ext cx="5760720" cy="9105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149760</xdr:rowOff>
    </xdr:to>
    <xdr:pic>
      <xdr:nvPicPr>
        <xdr:cNvPr id="10" name="Kuva 2"/>
        <xdr:cNvPicPr/>
      </xdr:nvPicPr>
      <xdr:blipFill>
        <a:blip r:embed="rId1"/>
        <a:stretch/>
      </xdr:blipFill>
      <xdr:spPr>
        <a:xfrm>
          <a:off x="3843720" y="293760"/>
          <a:ext cx="1478880" cy="229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56880</xdr:rowOff>
    </xdr:from>
    <xdr:to>
      <xdr:col>33</xdr:col>
      <xdr:colOff>47520</xdr:colOff>
      <xdr:row>30</xdr:row>
      <xdr:rowOff>85680</xdr:rowOff>
    </xdr:to>
    <xdr:cxnSp>
      <xdr:nvCxnSpPr>
        <xdr:cNvPr id="11" name="Suora yhdysviiva 5"/>
        <xdr:cNvCxnSpPr/>
      </xdr:nvCxnSpPr>
      <xdr:spPr>
        <a:xfrm flipV="1">
          <a:off x="16210080" y="2952360"/>
          <a:ext cx="291708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485640</xdr:colOff>
      <xdr:row>27</xdr:row>
      <xdr:rowOff>133200</xdr:rowOff>
    </xdr:from>
    <xdr:to>
      <xdr:col>28</xdr:col>
      <xdr:colOff>323640</xdr:colOff>
      <xdr:row>29</xdr:row>
      <xdr:rowOff>47520</xdr:rowOff>
    </xdr:to>
    <xdr:cxnSp>
      <xdr:nvCxnSpPr>
        <xdr:cNvPr id="12" name="Suora nuoliyhdysviiva 7"/>
        <xdr:cNvCxnSpPr/>
      </xdr:nvCxnSpPr>
      <xdr:spPr>
        <a:xfrm flipH="1">
          <a:off x="16248240" y="424800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428400</xdr:colOff>
      <xdr:row>25</xdr:row>
      <xdr:rowOff>95040</xdr:rowOff>
    </xdr:from>
    <xdr:to>
      <xdr:col>29</xdr:col>
      <xdr:colOff>266400</xdr:colOff>
      <xdr:row>27</xdr:row>
      <xdr:rowOff>47520</xdr:rowOff>
    </xdr:to>
    <xdr:cxnSp>
      <xdr:nvCxnSpPr>
        <xdr:cNvPr id="13" name="Suora nuoliyhdysviiva 15"/>
        <xdr:cNvCxnSpPr/>
      </xdr:nvCxnSpPr>
      <xdr:spPr>
        <a:xfrm flipH="1">
          <a:off x="16742160" y="3904920"/>
          <a:ext cx="399240" cy="257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352080</xdr:colOff>
      <xdr:row>24</xdr:row>
      <xdr:rowOff>0</xdr:rowOff>
    </xdr:from>
    <xdr:to>
      <xdr:col>30</xdr:col>
      <xdr:colOff>190440</xdr:colOff>
      <xdr:row>25</xdr:row>
      <xdr:rowOff>85680</xdr:rowOff>
    </xdr:to>
    <xdr:cxnSp>
      <xdr:nvCxnSpPr>
        <xdr:cNvPr id="14" name="Suora nuoliyhdysviiva 16"/>
        <xdr:cNvCxnSpPr/>
      </xdr:nvCxnSpPr>
      <xdr:spPr>
        <a:xfrm flipH="1">
          <a:off x="17226720" y="365760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314280</xdr:colOff>
      <xdr:row>22</xdr:row>
      <xdr:rowOff>19080</xdr:rowOff>
    </xdr:from>
    <xdr:to>
      <xdr:col>31</xdr:col>
      <xdr:colOff>95040</xdr:colOff>
      <xdr:row>23</xdr:row>
      <xdr:rowOff>75960</xdr:rowOff>
    </xdr:to>
    <xdr:cxnSp>
      <xdr:nvCxnSpPr>
        <xdr:cNvPr id="15" name="Suora nuoliyhdysviiva 17"/>
        <xdr:cNvCxnSpPr/>
      </xdr:nvCxnSpPr>
      <xdr:spPr>
        <a:xfrm flipH="1">
          <a:off x="17740080" y="3371760"/>
          <a:ext cx="33228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218880</xdr:colOff>
      <xdr:row>20</xdr:row>
      <xdr:rowOff>75960</xdr:rowOff>
    </xdr:from>
    <xdr:to>
      <xdr:col>32</xdr:col>
      <xdr:colOff>29520</xdr:colOff>
      <xdr:row>21</xdr:row>
      <xdr:rowOff>133200</xdr:rowOff>
    </xdr:to>
    <xdr:cxnSp>
      <xdr:nvCxnSpPr>
        <xdr:cNvPr id="16" name="Suora nuoliyhdysviiva 18"/>
        <xdr:cNvCxnSpPr/>
      </xdr:nvCxnSpPr>
      <xdr:spPr>
        <a:xfrm flipH="1">
          <a:off x="18195840" y="312408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95040</xdr:colOff>
      <xdr:row>18</xdr:row>
      <xdr:rowOff>123840</xdr:rowOff>
    </xdr:from>
    <xdr:to>
      <xdr:col>32</xdr:col>
      <xdr:colOff>485640</xdr:colOff>
      <xdr:row>20</xdr:row>
      <xdr:rowOff>38160</xdr:rowOff>
    </xdr:to>
    <xdr:cxnSp>
      <xdr:nvCxnSpPr>
        <xdr:cNvPr id="17" name="Suora nuoliyhdysviiva 19"/>
        <xdr:cNvCxnSpPr/>
      </xdr:nvCxnSpPr>
      <xdr:spPr>
        <a:xfrm flipH="1">
          <a:off x="18623160" y="286704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37800</xdr:colOff>
      <xdr:row>16</xdr:row>
      <xdr:rowOff>56880</xdr:rowOff>
    </xdr:from>
    <xdr:to>
      <xdr:col>33</xdr:col>
      <xdr:colOff>457200</xdr:colOff>
      <xdr:row>18</xdr:row>
      <xdr:rowOff>19080</xdr:rowOff>
    </xdr:to>
    <xdr:cxnSp>
      <xdr:nvCxnSpPr>
        <xdr:cNvPr id="18" name="Suora nuoliyhdysviiva 20"/>
        <xdr:cNvCxnSpPr/>
      </xdr:nvCxnSpPr>
      <xdr:spPr>
        <a:xfrm flipH="1">
          <a:off x="19117080" y="249516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409680</xdr:colOff>
      <xdr:row>30</xdr:row>
      <xdr:rowOff>133200</xdr:rowOff>
    </xdr:from>
    <xdr:to>
      <xdr:col>28</xdr:col>
      <xdr:colOff>56520</xdr:colOff>
      <xdr:row>32</xdr:row>
      <xdr:rowOff>141840</xdr:rowOff>
    </xdr:to>
    <xdr:sp>
      <xdr:nvSpPr>
        <xdr:cNvPr id="19" name="Vapaamuotoinen: Muoto 21"/>
        <xdr:cNvSpPr/>
      </xdr:nvSpPr>
      <xdr:spPr>
        <a:xfrm rot="1143000">
          <a:off x="16171920" y="4704840"/>
          <a:ext cx="198000" cy="313560"/>
        </a:xfrm>
        <a:custGeom>
          <a:avLst/>
          <a:gdLst>
            <a:gd name="textAreaLeft" fmla="*/ 0 w 198000"/>
            <a:gd name="textAreaRight" fmla="*/ 198720 w 198000"/>
            <a:gd name="textAreaTop" fmla="*/ 0 h 313560"/>
            <a:gd name="textAreaBottom" fmla="*/ 314280 h 3135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49320</xdr:colOff>
      <xdr:row>19</xdr:row>
      <xdr:rowOff>114120</xdr:rowOff>
    </xdr:from>
    <xdr:to>
      <xdr:col>33</xdr:col>
      <xdr:colOff>247320</xdr:colOff>
      <xdr:row>21</xdr:row>
      <xdr:rowOff>122760</xdr:rowOff>
    </xdr:to>
    <xdr:sp>
      <xdr:nvSpPr>
        <xdr:cNvPr id="20" name="Vapaamuotoinen: Muoto 22"/>
        <xdr:cNvSpPr/>
      </xdr:nvSpPr>
      <xdr:spPr>
        <a:xfrm rot="775800">
          <a:off x="19128600" y="3009240"/>
          <a:ext cx="198000" cy="313560"/>
        </a:xfrm>
        <a:custGeom>
          <a:avLst/>
          <a:gdLst>
            <a:gd name="textAreaLeft" fmla="*/ 0 w 198000"/>
            <a:gd name="textAreaRight" fmla="*/ 198720 w 198000"/>
            <a:gd name="textAreaTop" fmla="*/ 0 h 313560"/>
            <a:gd name="textAreaBottom" fmla="*/ 314280 h 3135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48960</xdr:colOff>
      <xdr:row>21</xdr:row>
      <xdr:rowOff>66600</xdr:rowOff>
    </xdr:from>
    <xdr:to>
      <xdr:col>33</xdr:col>
      <xdr:colOff>113760</xdr:colOff>
      <xdr:row>22</xdr:row>
      <xdr:rowOff>28080</xdr:rowOff>
    </xdr:to>
    <xdr:sp>
      <xdr:nvSpPr>
        <xdr:cNvPr id="21" name="Ellipsi 23"/>
        <xdr:cNvSpPr/>
      </xdr:nvSpPr>
      <xdr:spPr>
        <a:xfrm>
          <a:off x="19128240" y="3267000"/>
          <a:ext cx="6480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200160</xdr:colOff>
      <xdr:row>20</xdr:row>
      <xdr:rowOff>66600</xdr:rowOff>
    </xdr:from>
    <xdr:to>
      <xdr:col>33</xdr:col>
      <xdr:colOff>323280</xdr:colOff>
      <xdr:row>21</xdr:row>
      <xdr:rowOff>28080</xdr:rowOff>
    </xdr:to>
    <xdr:sp>
      <xdr:nvSpPr>
        <xdr:cNvPr id="22" name="Ellipsi 24"/>
        <xdr:cNvSpPr/>
      </xdr:nvSpPr>
      <xdr:spPr>
        <a:xfrm>
          <a:off x="19279440" y="3114720"/>
          <a:ext cx="12312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149760</xdr:rowOff>
    </xdr:to>
    <xdr:pic>
      <xdr:nvPicPr>
        <xdr:cNvPr id="23" name="Kuva 1"/>
        <xdr:cNvPicPr/>
      </xdr:nvPicPr>
      <xdr:blipFill>
        <a:blip r:embed="rId1"/>
        <a:stretch/>
      </xdr:blipFill>
      <xdr:spPr>
        <a:xfrm>
          <a:off x="3843720" y="293760"/>
          <a:ext cx="1478880" cy="229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56880</xdr:rowOff>
    </xdr:from>
    <xdr:to>
      <xdr:col>33</xdr:col>
      <xdr:colOff>47520</xdr:colOff>
      <xdr:row>30</xdr:row>
      <xdr:rowOff>85680</xdr:rowOff>
    </xdr:to>
    <xdr:cxnSp>
      <xdr:nvCxnSpPr>
        <xdr:cNvPr id="24" name="Suora yhdysviiva 2"/>
        <xdr:cNvCxnSpPr/>
      </xdr:nvCxnSpPr>
      <xdr:spPr>
        <a:xfrm flipV="1">
          <a:off x="16760160" y="2952360"/>
          <a:ext cx="291672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85680</xdr:colOff>
      <xdr:row>26</xdr:row>
      <xdr:rowOff>-360</xdr:rowOff>
    </xdr:from>
    <xdr:to>
      <xdr:col>27</xdr:col>
      <xdr:colOff>485640</xdr:colOff>
      <xdr:row>29</xdr:row>
      <xdr:rowOff>47520</xdr:rowOff>
    </xdr:to>
    <xdr:cxnSp>
      <xdr:nvCxnSpPr>
        <xdr:cNvPr id="25" name="Suora nuoliyhdysviiva 3"/>
        <xdr:cNvCxnSpPr/>
      </xdr:nvCxnSpPr>
      <xdr:spPr>
        <a:xfrm>
          <a:off x="16398360" y="396216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37800</xdr:colOff>
      <xdr:row>14</xdr:row>
      <xdr:rowOff>133200</xdr:rowOff>
    </xdr:from>
    <xdr:to>
      <xdr:col>32</xdr:col>
      <xdr:colOff>247320</xdr:colOff>
      <xdr:row>26</xdr:row>
      <xdr:rowOff>9000</xdr:rowOff>
    </xdr:to>
    <xdr:cxnSp>
      <xdr:nvCxnSpPr>
        <xdr:cNvPr id="26" name="Suora yhdysviiva 4"/>
        <xdr:cNvCxnSpPr/>
      </xdr:nvCxnSpPr>
      <xdr:spPr>
        <a:xfrm flipV="1">
          <a:off x="16350480" y="2266920"/>
          <a:ext cx="297504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32</xdr:col>
      <xdr:colOff>237960</xdr:colOff>
      <xdr:row>14</xdr:row>
      <xdr:rowOff>133200</xdr:rowOff>
    </xdr:from>
    <xdr:to>
      <xdr:col>33</xdr:col>
      <xdr:colOff>10800</xdr:colOff>
      <xdr:row>18</xdr:row>
      <xdr:rowOff>38160</xdr:rowOff>
    </xdr:to>
    <xdr:cxnSp>
      <xdr:nvCxnSpPr>
        <xdr:cNvPr id="27" name="Suora nuoliyhdysviiva 10"/>
        <xdr:cNvCxnSpPr/>
      </xdr:nvCxnSpPr>
      <xdr:spPr>
        <a:xfrm>
          <a:off x="19315800" y="226692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324720</xdr:colOff>
      <xdr:row>19</xdr:row>
      <xdr:rowOff>48240</xdr:rowOff>
    </xdr:from>
    <xdr:to>
      <xdr:col>33</xdr:col>
      <xdr:colOff>28800</xdr:colOff>
      <xdr:row>20</xdr:row>
      <xdr:rowOff>152280</xdr:rowOff>
    </xdr:to>
    <xdr:sp>
      <xdr:nvSpPr>
        <xdr:cNvPr id="28" name="Vapaamuotoinen: Muoto 12"/>
        <xdr:cNvSpPr/>
      </xdr:nvSpPr>
      <xdr:spPr>
        <a:xfrm rot="5810400">
          <a:off x="19401840" y="2944080"/>
          <a:ext cx="256680" cy="255240"/>
        </a:xfrm>
        <a:custGeom>
          <a:avLst/>
          <a:gdLst>
            <a:gd name="textAreaLeft" fmla="*/ 0 w 256680"/>
            <a:gd name="textAreaRight" fmla="*/ 257400 w 256680"/>
            <a:gd name="textAreaTop" fmla="*/ 0 h 255240"/>
            <a:gd name="textAreaBottom" fmla="*/ 255960 h 2552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428760</xdr:colOff>
      <xdr:row>20</xdr:row>
      <xdr:rowOff>95400</xdr:rowOff>
    </xdr:from>
    <xdr:to>
      <xdr:col>33</xdr:col>
      <xdr:colOff>720</xdr:colOff>
      <xdr:row>21</xdr:row>
      <xdr:rowOff>56520</xdr:rowOff>
    </xdr:to>
    <xdr:sp>
      <xdr:nvSpPr>
        <xdr:cNvPr id="29" name="Ellipsi 13"/>
        <xdr:cNvSpPr/>
      </xdr:nvSpPr>
      <xdr:spPr>
        <a:xfrm>
          <a:off x="19506600" y="3143520"/>
          <a:ext cx="123120" cy="11340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209520</xdr:colOff>
      <xdr:row>19</xdr:row>
      <xdr:rowOff>38160</xdr:rowOff>
    </xdr:from>
    <xdr:to>
      <xdr:col>32</xdr:col>
      <xdr:colOff>332640</xdr:colOff>
      <xdr:row>19</xdr:row>
      <xdr:rowOff>151920</xdr:rowOff>
    </xdr:to>
    <xdr:sp>
      <xdr:nvSpPr>
        <xdr:cNvPr id="30" name="Ellipsi 14"/>
        <xdr:cNvSpPr/>
      </xdr:nvSpPr>
      <xdr:spPr>
        <a:xfrm>
          <a:off x="19287360" y="2933640"/>
          <a:ext cx="12312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28</xdr:col>
      <xdr:colOff>37800</xdr:colOff>
      <xdr:row>24</xdr:row>
      <xdr:rowOff>0</xdr:rowOff>
    </xdr:from>
    <xdr:to>
      <xdr:col>28</xdr:col>
      <xdr:colOff>438120</xdr:colOff>
      <xdr:row>27</xdr:row>
      <xdr:rowOff>47520</xdr:rowOff>
    </xdr:to>
    <xdr:cxnSp>
      <xdr:nvCxnSpPr>
        <xdr:cNvPr id="31" name="Suora nuoliyhdysviiva 19"/>
        <xdr:cNvCxnSpPr/>
      </xdr:nvCxnSpPr>
      <xdr:spPr>
        <a:xfrm>
          <a:off x="16901640" y="365760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9360</xdr:colOff>
      <xdr:row>21</xdr:row>
      <xdr:rowOff>133200</xdr:rowOff>
    </xdr:from>
    <xdr:to>
      <xdr:col>29</xdr:col>
      <xdr:colOff>409320</xdr:colOff>
      <xdr:row>25</xdr:row>
      <xdr:rowOff>28440</xdr:rowOff>
    </xdr:to>
    <xdr:cxnSp>
      <xdr:nvCxnSpPr>
        <xdr:cNvPr id="32" name="Suora nuoliyhdysviiva 20"/>
        <xdr:cNvCxnSpPr/>
      </xdr:nvCxnSpPr>
      <xdr:spPr>
        <a:xfrm>
          <a:off x="17433720" y="333360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18720</xdr:colOff>
      <xdr:row>19</xdr:row>
      <xdr:rowOff>95040</xdr:rowOff>
    </xdr:from>
    <xdr:to>
      <xdr:col>30</xdr:col>
      <xdr:colOff>419040</xdr:colOff>
      <xdr:row>22</xdr:row>
      <xdr:rowOff>142920</xdr:rowOff>
    </xdr:to>
    <xdr:cxnSp>
      <xdr:nvCxnSpPr>
        <xdr:cNvPr id="33" name="Suora nuoliyhdysviiva 21"/>
        <xdr:cNvCxnSpPr/>
      </xdr:nvCxnSpPr>
      <xdr:spPr>
        <a:xfrm>
          <a:off x="17994240" y="299052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66600</xdr:colOff>
      <xdr:row>17</xdr:row>
      <xdr:rowOff>75960</xdr:rowOff>
    </xdr:from>
    <xdr:to>
      <xdr:col>31</xdr:col>
      <xdr:colOff>466560</xdr:colOff>
      <xdr:row>20</xdr:row>
      <xdr:rowOff>123840</xdr:rowOff>
    </xdr:to>
    <xdr:cxnSp>
      <xdr:nvCxnSpPr>
        <xdr:cNvPr id="34" name="Suora nuoliyhdysviiva 22"/>
        <xdr:cNvCxnSpPr/>
      </xdr:nvCxnSpPr>
      <xdr:spPr>
        <a:xfrm>
          <a:off x="18593280" y="266688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237960</xdr:colOff>
      <xdr:row>30</xdr:row>
      <xdr:rowOff>76320</xdr:rowOff>
    </xdr:from>
    <xdr:to>
      <xdr:col>28</xdr:col>
      <xdr:colOff>37080</xdr:colOff>
      <xdr:row>32</xdr:row>
      <xdr:rowOff>123120</xdr:rowOff>
    </xdr:to>
    <xdr:sp>
      <xdr:nvSpPr>
        <xdr:cNvPr id="35" name="Suorakulmio 23"/>
        <xdr:cNvSpPr/>
      </xdr:nvSpPr>
      <xdr:spPr>
        <a:xfrm>
          <a:off x="16550640" y="4648320"/>
          <a:ext cx="350280" cy="35172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150120</xdr:rowOff>
    </xdr:to>
    <xdr:pic>
      <xdr:nvPicPr>
        <xdr:cNvPr id="36" name="Kuva 6"/>
        <xdr:cNvPicPr/>
      </xdr:nvPicPr>
      <xdr:blipFill>
        <a:blip r:embed="rId1"/>
        <a:stretch/>
      </xdr:blipFill>
      <xdr:spPr>
        <a:xfrm>
          <a:off x="3843720" y="293760"/>
          <a:ext cx="1478880" cy="229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11</xdr:col>
      <xdr:colOff>360</xdr:colOff>
      <xdr:row>96</xdr:row>
      <xdr:rowOff>34920</xdr:rowOff>
    </xdr:to>
    <xdr:pic>
      <xdr:nvPicPr>
        <xdr:cNvPr id="37" name="Kuva 7"/>
        <xdr:cNvPicPr/>
      </xdr:nvPicPr>
      <xdr:blipFill>
        <a:blip r:embed="rId2"/>
        <a:stretch/>
      </xdr:blipFill>
      <xdr:spPr>
        <a:xfrm>
          <a:off x="2842920" y="12369600"/>
          <a:ext cx="3311280" cy="3265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221040</xdr:colOff>
      <xdr:row>90</xdr:row>
      <xdr:rowOff>3240</xdr:rowOff>
    </xdr:to>
    <xdr:pic>
      <xdr:nvPicPr>
        <xdr:cNvPr id="38" name="Kuva 8"/>
        <xdr:cNvPicPr/>
      </xdr:nvPicPr>
      <xdr:blipFill>
        <a:blip r:embed="rId3"/>
        <a:stretch/>
      </xdr:blipFill>
      <xdr:spPr>
        <a:xfrm>
          <a:off x="6642360" y="12244680"/>
          <a:ext cx="3681000" cy="2307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217080</xdr:colOff>
      <xdr:row>18</xdr:row>
      <xdr:rowOff>47880</xdr:rowOff>
    </xdr:from>
    <xdr:to>
      <xdr:col>61</xdr:col>
      <xdr:colOff>365400</xdr:colOff>
      <xdr:row>38</xdr:row>
      <xdr:rowOff>95040</xdr:rowOff>
    </xdr:to>
    <xdr:pic>
      <xdr:nvPicPr>
        <xdr:cNvPr id="39" name="Image 1"/>
        <xdr:cNvPicPr/>
      </xdr:nvPicPr>
      <xdr:blipFill>
        <a:blip r:embed="rId4"/>
        <a:stretch/>
      </xdr:blipFill>
      <xdr:spPr>
        <a:xfrm>
          <a:off x="29358360" y="2791080"/>
          <a:ext cx="604692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F28" colorId="64" zoomScale="100" zoomScaleNormal="100" zoomScalePageLayoutView="100" workbookViewId="0">
      <selection pane="topLeft" activeCell="BB57" activeCellId="0" sqref="BB57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3"/>
    <col collapsed="false" customWidth="true" hidden="false" outlineLevel="0" max="15" min="15" style="1" width="9.42"/>
    <col collapsed="false" customWidth="true" hidden="false" outlineLevel="0" max="17" min="16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1" min="20" style="1" width="9.14"/>
    <col collapsed="false" customWidth="true" hidden="false" outlineLevel="0" max="24" min="22" style="1" width="9.3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2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34" t="s">
        <v>40</v>
      </c>
    </row>
    <row r="43" customFormat="false" ht="12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f aca="false" t="array" ref="BB43:BB44">AX43:AX44</f>
        <v>0</v>
      </c>
      <c r="BC43" s="7"/>
      <c r="BD43" s="7" t="n">
        <f aca="false" t="array" ref="BD43:BD54">MMULT(AK43:AV54,BB43:BB54)-AZ43:AZ54</f>
        <v>-20427.7243418746</v>
      </c>
    </row>
    <row r="44" customFormat="false" ht="12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20" t="n">
        <v>23333.3333333307</v>
      </c>
    </row>
    <row r="45" customFormat="false" ht="12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 t="array" ref="BB45:BB48">AV71:AV74</f>
        <v>-0.0363737839934569</v>
      </c>
      <c r="BC45" s="37"/>
      <c r="BD45" s="20" t="n">
        <v>0</v>
      </c>
    </row>
    <row r="46" customFormat="false" ht="12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45</v>
      </c>
      <c r="AZ46" s="13" t="n">
        <f aca="false">AX9+BN9+AX25</f>
        <v>20000</v>
      </c>
      <c r="BB46" s="36" t="n">
        <v>81.9356733185918</v>
      </c>
      <c r="BC46" s="37"/>
      <c r="BD46" s="20" t="n">
        <v>4.80940798297524E-009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v>-0.0444444444444445</v>
      </c>
      <c r="BC47" s="34"/>
      <c r="BD47" s="34" t="n">
        <v>2.63025867752731E-009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v>-0.00394228224012533</v>
      </c>
      <c r="BC48" s="37"/>
      <c r="BD48" s="20" t="n">
        <v>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f aca="false" t="array" ref="BB49:BB50">AX49:AX50</f>
        <v>0</v>
      </c>
      <c r="BC49" s="37"/>
      <c r="BD49" s="20" t="n">
        <v>427.724341874609</v>
      </c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7" t="n">
        <v>36666.6666666667</v>
      </c>
      <c r="BK50" s="2"/>
      <c r="CW50" s="2"/>
    </row>
    <row r="51" customFormat="false" ht="12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 t="array" ref="BB51:BB54">AV75:AV78</f>
        <v>-0.0274442054245325</v>
      </c>
      <c r="BC51" s="37"/>
      <c r="BD51" s="20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v>81.9077129247945</v>
      </c>
      <c r="BC52" s="41"/>
      <c r="BD52" s="7" t="n">
        <v>-3.98904376197606E-009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53</v>
      </c>
      <c r="AZ53" s="13" t="n">
        <f aca="false">AX16+BN16+AX32</f>
        <v>-30000</v>
      </c>
      <c r="BB53" s="36" t="n">
        <v>-0.0698412698412748</v>
      </c>
      <c r="BC53" s="41"/>
      <c r="BD53" s="7" t="n">
        <v>0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v>0.00107667377451686</v>
      </c>
      <c r="BC54" s="41"/>
      <c r="BD54" s="7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J58" s="2" t="s">
        <v>55</v>
      </c>
      <c r="AY58" s="7"/>
      <c r="AZ58" s="20"/>
      <c r="BA58" s="7"/>
      <c r="BB58" s="20"/>
      <c r="BC58" s="46"/>
      <c r="BD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J59" s="10"/>
      <c r="AK59" s="10" t="n">
        <v>3</v>
      </c>
      <c r="AL59" s="10" t="n">
        <v>4</v>
      </c>
      <c r="AM59" s="10" t="n">
        <v>5</v>
      </c>
      <c r="AN59" s="10" t="n">
        <v>6</v>
      </c>
      <c r="AO59" s="10" t="n">
        <v>9</v>
      </c>
      <c r="AP59" s="10" t="n">
        <v>10</v>
      </c>
      <c r="AQ59" s="10" t="n">
        <v>11</v>
      </c>
      <c r="AR59" s="10" t="n">
        <v>12</v>
      </c>
      <c r="AS59" s="7" t="s">
        <v>37</v>
      </c>
      <c r="AT59" s="10" t="s">
        <v>38</v>
      </c>
      <c r="AU59" s="7" t="s">
        <v>39</v>
      </c>
      <c r="AV59" s="47" t="s">
        <v>10</v>
      </c>
      <c r="BB59" s="20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J60" s="10" t="n">
        <v>3</v>
      </c>
      <c r="AK60" s="13" t="n">
        <f aca="false" t="array" ref="AK60:AN63">AM45:AP48</f>
        <v>1750000000</v>
      </c>
      <c r="AL60" s="13" t="n">
        <v>656250</v>
      </c>
      <c r="AM60" s="13" t="n">
        <v>-4.01837230970225E-011</v>
      </c>
      <c r="AN60" s="13" t="n">
        <v>875000000</v>
      </c>
      <c r="AO60" s="13" t="n">
        <f aca="false" t="array" ref="AO60:AR63">AS45:AV48</f>
        <v>0</v>
      </c>
      <c r="AP60" s="13" t="n">
        <v>0</v>
      </c>
      <c r="AQ60" s="13" t="n">
        <v>0</v>
      </c>
      <c r="AR60" s="13" t="n">
        <v>0</v>
      </c>
      <c r="AS60" s="13"/>
      <c r="AT60" s="21" t="str">
        <f aca="false">AX45</f>
        <v>r13</v>
      </c>
      <c r="AV60" s="50" t="n">
        <f aca="false" t="array" ref="AV60:AV63">AZ45:AZ48</f>
        <v>-13333333.3333333</v>
      </c>
      <c r="BB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V61" s="7"/>
      <c r="AC61" s="7"/>
      <c r="AJ61" s="10" t="n">
        <v>4</v>
      </c>
      <c r="AK61" s="13" t="n">
        <v>656250</v>
      </c>
      <c r="AL61" s="13" t="n">
        <v>700328.125</v>
      </c>
      <c r="AM61" s="13" t="n">
        <v>3.21268866160695E-011</v>
      </c>
      <c r="AN61" s="13" t="n">
        <v>656250</v>
      </c>
      <c r="AO61" s="13" t="n">
        <v>0</v>
      </c>
      <c r="AP61" s="13" t="n">
        <v>-700000</v>
      </c>
      <c r="AQ61" s="13" t="n">
        <v>0</v>
      </c>
      <c r="AR61" s="13" t="n">
        <v>0</v>
      </c>
      <c r="AS61" s="13"/>
      <c r="AT61" s="21" t="str">
        <f aca="false">AX46</f>
        <v>r21</v>
      </c>
      <c r="AV61" s="51" t="n">
        <v>20000</v>
      </c>
      <c r="BA61" s="7"/>
      <c r="BB61" s="20"/>
      <c r="BC61" s="7"/>
      <c r="BD61" s="7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J62" s="10" t="n">
        <v>5</v>
      </c>
      <c r="AK62" s="13" t="n">
        <v>-4.01837230970225E-011</v>
      </c>
      <c r="AL62" s="13" t="n">
        <v>3.21268866160695E-011</v>
      </c>
      <c r="AM62" s="13" t="n">
        <v>525777.777777778</v>
      </c>
      <c r="AN62" s="13" t="n">
        <v>2333333.33333333</v>
      </c>
      <c r="AO62" s="13" t="n">
        <v>0</v>
      </c>
      <c r="AP62" s="13" t="n">
        <v>0</v>
      </c>
      <c r="AQ62" s="13" t="n">
        <v>-777.777777777778</v>
      </c>
      <c r="AR62" s="13" t="n">
        <v>2333333.33333333</v>
      </c>
      <c r="AS62" s="13"/>
      <c r="AT62" s="21" t="str">
        <f aca="false">AX47</f>
        <v>r22</v>
      </c>
      <c r="AV62" s="51" t="n">
        <v>-30000</v>
      </c>
      <c r="BB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0" t="n">
        <v>6</v>
      </c>
      <c r="AK63" s="13" t="n">
        <v>875000000</v>
      </c>
      <c r="AL63" s="13" t="n">
        <v>656250</v>
      </c>
      <c r="AM63" s="13" t="n">
        <v>2333333.33333333</v>
      </c>
      <c r="AN63" s="13" t="n">
        <v>11083333333.3333</v>
      </c>
      <c r="AO63" s="13" t="n">
        <v>0</v>
      </c>
      <c r="AP63" s="13" t="n">
        <v>0</v>
      </c>
      <c r="AQ63" s="13" t="n">
        <v>-2333333.33333333</v>
      </c>
      <c r="AR63" s="13" t="n">
        <v>4666666666.66667</v>
      </c>
      <c r="AS63" s="13"/>
      <c r="AT63" s="21" t="str">
        <f aca="false">AX48</f>
        <v>r23</v>
      </c>
      <c r="AV63" s="51" t="n">
        <v>-16666666.6666667</v>
      </c>
      <c r="BB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J64" s="11" t="n">
        <v>9</v>
      </c>
      <c r="AK64" s="13" t="n">
        <f aca="false" t="array" ref="AK64:AN67">AM51:AP54</f>
        <v>0</v>
      </c>
      <c r="AL64" s="1" t="n">
        <v>0</v>
      </c>
      <c r="AM64" s="1" t="n">
        <v>0</v>
      </c>
      <c r="AN64" s="1" t="n">
        <v>0</v>
      </c>
      <c r="AO64" s="13" t="n">
        <f aca="false" t="array" ref="AO64:AR67">AS51:AV54</f>
        <v>1750000000</v>
      </c>
      <c r="AP64" s="1" t="n">
        <v>656250</v>
      </c>
      <c r="AQ64" s="1" t="n">
        <v>-4.01837230970225E-011</v>
      </c>
      <c r="AR64" s="1" t="n">
        <v>875000000</v>
      </c>
      <c r="AS64" s="1" t="s">
        <v>37</v>
      </c>
      <c r="AT64" s="7" t="s">
        <v>50</v>
      </c>
      <c r="AV64" s="13" t="n">
        <f aca="false" t="array" ref="AV64:AV67">AZ51:AZ54</f>
        <v>6666666.66666667</v>
      </c>
      <c r="BR64" s="54"/>
    </row>
    <row r="65" customFormat="false" ht="12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10</v>
      </c>
      <c r="AK65" s="1" t="n">
        <v>0</v>
      </c>
      <c r="AL65" s="1" t="n">
        <v>-700000</v>
      </c>
      <c r="AM65" s="1" t="n">
        <v>0</v>
      </c>
      <c r="AN65" s="1" t="n">
        <v>0</v>
      </c>
      <c r="AO65" s="1" t="n">
        <v>656250</v>
      </c>
      <c r="AP65" s="1" t="n">
        <v>700328.125</v>
      </c>
      <c r="AQ65" s="1" t="n">
        <v>3.21268866160695E-011</v>
      </c>
      <c r="AR65" s="1" t="n">
        <v>656250</v>
      </c>
      <c r="AT65" s="7" t="s">
        <v>51</v>
      </c>
      <c r="AV65" s="1" t="n">
        <v>-10000</v>
      </c>
      <c r="BR65" s="54"/>
    </row>
    <row r="66" customFormat="false" ht="12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11</v>
      </c>
      <c r="AK66" s="1" t="n">
        <v>0</v>
      </c>
      <c r="AL66" s="1" t="n">
        <v>0</v>
      </c>
      <c r="AM66" s="1" t="n">
        <v>-777.777777777778</v>
      </c>
      <c r="AN66" s="1" t="n">
        <v>-2333333.33333333</v>
      </c>
      <c r="AO66" s="1" t="n">
        <v>-4.01837230970225E-011</v>
      </c>
      <c r="AP66" s="1" t="n">
        <v>3.21268866160695E-011</v>
      </c>
      <c r="AQ66" s="1" t="n">
        <v>525777.777777778</v>
      </c>
      <c r="AR66" s="1" t="n">
        <v>-2333333.33333333</v>
      </c>
      <c r="AT66" s="7" t="s">
        <v>53</v>
      </c>
      <c r="AV66" s="1" t="n">
        <v>-30000</v>
      </c>
      <c r="BC66" s="56"/>
      <c r="BD66" s="56"/>
      <c r="BR66" s="54"/>
    </row>
    <row r="67" customFormat="false" ht="12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12</v>
      </c>
      <c r="AK67" s="1" t="n">
        <v>0</v>
      </c>
      <c r="AL67" s="1" t="n">
        <v>0</v>
      </c>
      <c r="AM67" s="1" t="n">
        <v>2333333.33333333</v>
      </c>
      <c r="AN67" s="1" t="n">
        <v>4666666666.66667</v>
      </c>
      <c r="AO67" s="1" t="n">
        <v>875000000</v>
      </c>
      <c r="AP67" s="1" t="n">
        <v>656250</v>
      </c>
      <c r="AQ67" s="1" t="n">
        <v>-2333333.33333333</v>
      </c>
      <c r="AR67" s="1" t="n">
        <v>11083333333.3333</v>
      </c>
      <c r="AT67" s="7" t="s">
        <v>54</v>
      </c>
      <c r="AV67" s="1" t="n">
        <v>23333333.3333333</v>
      </c>
      <c r="BR67" s="54"/>
    </row>
    <row r="68" customFormat="false" ht="12" hidden="false" customHeight="false" outlineLevel="0" collapsed="false">
      <c r="H68" s="1" t="s">
        <v>76</v>
      </c>
      <c r="M68" s="8" t="s">
        <v>66</v>
      </c>
      <c r="AJ68" s="10"/>
      <c r="AK68" s="10"/>
      <c r="AL68" s="10"/>
      <c r="AM68" s="10"/>
      <c r="AN68" s="10"/>
      <c r="AO68" s="10"/>
      <c r="AP68" s="10"/>
      <c r="AQ68" s="10"/>
      <c r="AR68" s="10"/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BR69" s="54"/>
    </row>
    <row r="70" customFormat="false" ht="12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2"/>
      <c r="AJ70" s="10"/>
      <c r="AK70" s="10" t="n">
        <v>3</v>
      </c>
      <c r="AL70" s="10" t="n">
        <v>4</v>
      </c>
      <c r="AM70" s="10" t="n">
        <v>5</v>
      </c>
      <c r="AN70" s="10" t="n">
        <v>6</v>
      </c>
      <c r="AO70" s="10" t="n">
        <v>9</v>
      </c>
      <c r="AP70" s="10" t="n">
        <v>10</v>
      </c>
      <c r="AQ70" s="10" t="n">
        <v>11</v>
      </c>
      <c r="AR70" s="10" t="n">
        <v>12</v>
      </c>
      <c r="AS70" s="7" t="s">
        <v>37</v>
      </c>
      <c r="AT70" s="47" t="s">
        <v>10</v>
      </c>
      <c r="AU70" s="7" t="s">
        <v>39</v>
      </c>
      <c r="AV70" s="10" t="s">
        <v>38</v>
      </c>
    </row>
    <row r="71" customFormat="false" ht="12" hidden="false" customHeight="false" outlineLevel="0" collapsed="false">
      <c r="AG71" s="2"/>
      <c r="AH71" s="2"/>
      <c r="AI71" s="2"/>
      <c r="AJ71" s="10" t="n">
        <v>3</v>
      </c>
      <c r="AK71" s="1" t="n">
        <f aca="false" t="array" ref="AK71:AR78">MINVERSE(AK60:AR67)</f>
        <v>1.48534059813209E-009</v>
      </c>
      <c r="AL71" s="1" t="n">
        <v>-2.4291188322382E-006</v>
      </c>
      <c r="AM71" s="1" t="n">
        <v>-3.17460317460169E-010</v>
      </c>
      <c r="AN71" s="1" t="n">
        <v>-5.98492922837861E-012</v>
      </c>
      <c r="AO71" s="1" t="n">
        <v>8.72013899222411E-010</v>
      </c>
      <c r="AP71" s="1" t="n">
        <v>-2.42887058575122E-006</v>
      </c>
      <c r="AQ71" s="1" t="n">
        <v>3.17460317460467E-010</v>
      </c>
      <c r="AR71" s="1" t="n">
        <v>7.76251408685903E-011</v>
      </c>
      <c r="AT71" s="13" t="n">
        <f aca="false" t="array" ref="AT71:AT74">AV60:AV63</f>
        <v>-13333333.3333333</v>
      </c>
      <c r="AV71" s="36" t="n">
        <f aca="false" t="array" ref="AV71:AV78">MMULT(AK71:AR78,AT71:AT78)</f>
        <v>-0.0363737839934569</v>
      </c>
      <c r="AW71" s="1" t="s">
        <v>78</v>
      </c>
      <c r="AX71" s="1" t="n">
        <f aca="false">1000*AV71</f>
        <v>-36.3737839934569</v>
      </c>
      <c r="AY71" s="1" t="s">
        <v>79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10" t="n">
        <v>4</v>
      </c>
      <c r="AK72" s="1" t="n">
        <v>-2.4291188322382E-006</v>
      </c>
      <c r="AL72" s="13" t="n">
        <v>0.00666871691488493</v>
      </c>
      <c r="AM72" s="13" t="n">
        <v>1.26984126984086E-006</v>
      </c>
      <c r="AN72" s="1" t="n">
        <v>-1.4330002168729E-007</v>
      </c>
      <c r="AO72" s="1" t="n">
        <v>-2.42887058575122E-006</v>
      </c>
      <c r="AP72" s="1" t="n">
        <v>0.00666800266183465</v>
      </c>
      <c r="AQ72" s="1" t="n">
        <v>-1.26984126984168E-006</v>
      </c>
      <c r="AR72" s="1" t="n">
        <v>-1.43260824873557E-007</v>
      </c>
      <c r="AT72" s="1" t="n">
        <v>20000</v>
      </c>
      <c r="AV72" s="36" t="n">
        <v>81.9356733185918</v>
      </c>
      <c r="AW72" s="1" t="s">
        <v>12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10" t="n">
        <v>5</v>
      </c>
      <c r="AK73" s="1" t="n">
        <v>-3.17460317460492E-010</v>
      </c>
      <c r="AL73" s="13" t="n">
        <v>1.26984126984115E-006</v>
      </c>
      <c r="AM73" s="13" t="n">
        <v>1.9047619047619E-006</v>
      </c>
      <c r="AN73" s="1" t="n">
        <v>-3.17460317460311E-010</v>
      </c>
      <c r="AO73" s="1" t="n">
        <v>-3.17460317460172E-010</v>
      </c>
      <c r="AP73" s="1" t="n">
        <v>1.26984126984118E-006</v>
      </c>
      <c r="AQ73" s="1" t="n">
        <v>0</v>
      </c>
      <c r="AR73" s="1" t="n">
        <v>-3.17460317460388E-010</v>
      </c>
      <c r="AT73" s="1" t="n">
        <v>-30000</v>
      </c>
      <c r="AV73" s="36" t="n">
        <v>-0.0444444444444445</v>
      </c>
      <c r="AW73" s="1" t="s">
        <v>12</v>
      </c>
      <c r="BB73" s="7"/>
      <c r="BK73" s="2"/>
    </row>
    <row r="74" customFormat="false" ht="12" hidden="false" customHeight="false" outlineLevel="0" collapsed="false">
      <c r="M74" s="55" t="s">
        <v>73</v>
      </c>
      <c r="AJ74" s="10" t="n">
        <v>6</v>
      </c>
      <c r="AK74" s="1" t="n">
        <v>-5.98492922837839E-012</v>
      </c>
      <c r="AL74" s="1" t="n">
        <v>-1.43300021687291E-007</v>
      </c>
      <c r="AM74" s="1" t="n">
        <v>-3.17460317460309E-010</v>
      </c>
      <c r="AN74" s="1" t="n">
        <v>1.19444874722225E-010</v>
      </c>
      <c r="AO74" s="1" t="n">
        <v>7.76251408685901E-011</v>
      </c>
      <c r="AP74" s="1" t="n">
        <v>-1.43260824873556E-007</v>
      </c>
      <c r="AQ74" s="1" t="n">
        <v>3.17460317460326E-010</v>
      </c>
      <c r="AR74" s="1" t="n">
        <v>-4.78046630820132E-011</v>
      </c>
      <c r="AT74" s="1" t="n">
        <v>-16666666.6666667</v>
      </c>
      <c r="AV74" s="36" t="n">
        <v>-0.00394228224012533</v>
      </c>
      <c r="AW74" s="1" t="s">
        <v>78</v>
      </c>
      <c r="AX74" s="1" t="n">
        <f aca="false">1000*AV74</f>
        <v>-3.94228224012533</v>
      </c>
      <c r="AY74" s="1" t="s">
        <v>79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2" hidden="false" customHeight="false" outlineLevel="0" collapsed="false">
      <c r="G75" s="59"/>
      <c r="M75" s="8"/>
      <c r="AJ75" s="10" t="n">
        <v>9</v>
      </c>
      <c r="AK75" s="1" t="n">
        <v>8.72013899222411E-010</v>
      </c>
      <c r="AL75" s="1" t="n">
        <v>-2.42887058575122E-006</v>
      </c>
      <c r="AM75" s="1" t="n">
        <v>-3.17460317460169E-010</v>
      </c>
      <c r="AN75" s="1" t="n">
        <v>7.762514086859E-011</v>
      </c>
      <c r="AO75" s="1" t="n">
        <v>1.48534059813209E-009</v>
      </c>
      <c r="AP75" s="1" t="n">
        <v>-2.4291188322382E-006</v>
      </c>
      <c r="AQ75" s="1" t="n">
        <v>3.17460317460467E-010</v>
      </c>
      <c r="AR75" s="1" t="n">
        <v>-5.98492922837822E-012</v>
      </c>
      <c r="AT75" s="13" t="n">
        <f aca="false">AV64</f>
        <v>6666666.66666667</v>
      </c>
      <c r="AV75" s="36" t="n">
        <v>-0.0274442054245325</v>
      </c>
      <c r="AW75" s="1" t="s">
        <v>78</v>
      </c>
      <c r="AX75" s="1" t="n">
        <f aca="false">1000*AV75</f>
        <v>-27.4442054245325</v>
      </c>
      <c r="AY75" s="1" t="s">
        <v>79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F76" s="1" t="s">
        <v>82</v>
      </c>
      <c r="M76" s="8"/>
      <c r="AJ76" s="10" t="n">
        <v>10</v>
      </c>
      <c r="AK76" s="1" t="n">
        <v>-2.42887058575122E-006</v>
      </c>
      <c r="AL76" s="1" t="n">
        <v>0.00666800266183465</v>
      </c>
      <c r="AM76" s="1" t="n">
        <v>1.26984126984086E-006</v>
      </c>
      <c r="AN76" s="1" t="n">
        <v>-1.43260824873556E-007</v>
      </c>
      <c r="AO76" s="13" t="n">
        <v>-2.4291188322382E-006</v>
      </c>
      <c r="AP76" s="1" t="n">
        <v>0.00666871691488493</v>
      </c>
      <c r="AQ76" s="1" t="n">
        <v>-1.26984126984168E-006</v>
      </c>
      <c r="AR76" s="1" t="n">
        <v>-1.43300021687291E-007</v>
      </c>
      <c r="AT76" s="13" t="n">
        <f aca="false">AV65</f>
        <v>-10000</v>
      </c>
      <c r="AV76" s="36" t="n">
        <v>81.9077129247945</v>
      </c>
      <c r="AW76" s="1" t="s">
        <v>12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M77" s="55"/>
      <c r="AJ77" s="10" t="n">
        <v>11</v>
      </c>
      <c r="AK77" s="1" t="n">
        <v>3.17460317460466E-010</v>
      </c>
      <c r="AL77" s="1" t="n">
        <v>-1.26984126984168E-006</v>
      </c>
      <c r="AM77" s="1" t="n">
        <v>0</v>
      </c>
      <c r="AN77" s="1" t="n">
        <v>3.17460317460326E-010</v>
      </c>
      <c r="AO77" s="13" t="n">
        <v>3.17460317460466E-010</v>
      </c>
      <c r="AP77" s="1" t="n">
        <v>-1.26984126984168E-006</v>
      </c>
      <c r="AQ77" s="1" t="n">
        <v>1.9047619047619E-006</v>
      </c>
      <c r="AR77" s="1" t="n">
        <v>3.17460317460326E-010</v>
      </c>
      <c r="AT77" s="13" t="n">
        <f aca="false">AV66</f>
        <v>-30000</v>
      </c>
      <c r="AV77" s="36" t="n">
        <v>-0.0698412698412748</v>
      </c>
      <c r="AW77" s="1" t="s">
        <v>12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AJ78" s="10" t="n">
        <v>12</v>
      </c>
      <c r="AK78" s="1" t="n">
        <v>7.76251408685901E-011</v>
      </c>
      <c r="AL78" s="1" t="n">
        <v>-1.43260824873556E-007</v>
      </c>
      <c r="AM78" s="1" t="n">
        <v>-3.17460317460309E-010</v>
      </c>
      <c r="AN78" s="1" t="n">
        <v>-4.78046630820132E-011</v>
      </c>
      <c r="AO78" s="1" t="n">
        <v>-5.98492922837845E-012</v>
      </c>
      <c r="AP78" s="1" t="n">
        <v>-1.43300021687291E-007</v>
      </c>
      <c r="AQ78" s="1" t="n">
        <v>3.17460317460326E-010</v>
      </c>
      <c r="AR78" s="1" t="n">
        <v>1.19444874722225E-010</v>
      </c>
      <c r="AT78" s="13" t="n">
        <f aca="false">AV67</f>
        <v>23333333.3333333</v>
      </c>
      <c r="AV78" s="36" t="n">
        <v>0.00107667377451686</v>
      </c>
      <c r="AW78" s="1" t="s">
        <v>78</v>
      </c>
      <c r="AX78" s="1" t="n">
        <f aca="false">1000*AV78</f>
        <v>1.07667377451686</v>
      </c>
      <c r="AY78" s="1" t="s">
        <v>79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AJ79" s="10"/>
      <c r="AK79" s="10"/>
      <c r="AL79" s="10"/>
      <c r="AM79" s="10"/>
      <c r="AN79" s="10"/>
      <c r="AO79" s="10"/>
      <c r="AP79" s="10"/>
      <c r="AQ79" s="10"/>
      <c r="AR79" s="10"/>
      <c r="AY79" s="7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AY80" s="7"/>
      <c r="AZ80" s="60"/>
      <c r="BA80" s="7"/>
      <c r="BB80" s="7"/>
      <c r="BC80" s="46"/>
      <c r="BD80" s="46"/>
      <c r="BE80" s="20"/>
    </row>
    <row r="81" customFormat="false" ht="12" hidden="false" customHeight="false" outlineLevel="0" collapsed="false">
      <c r="AZ81" s="7"/>
      <c r="BB81" s="20"/>
      <c r="BE81" s="20"/>
      <c r="BK81" s="2"/>
    </row>
    <row r="82" customFormat="false" ht="12" hidden="false" customHeight="false" outlineLevel="0" collapsed="false"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AJ83" s="1" t="s">
        <v>83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" t="s">
        <v>84</v>
      </c>
      <c r="AT84" s="61" t="s">
        <v>85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AJ85" s="10"/>
      <c r="AK85" s="10" t="n">
        <v>1</v>
      </c>
      <c r="AL85" s="10" t="n">
        <v>2</v>
      </c>
      <c r="AM85" s="10" t="n">
        <v>3</v>
      </c>
      <c r="AN85" s="10" t="n">
        <v>4</v>
      </c>
      <c r="AO85" s="10" t="n">
        <v>5</v>
      </c>
      <c r="AP85" s="10" t="n">
        <v>6</v>
      </c>
      <c r="AQ85" s="7" t="s">
        <v>37</v>
      </c>
      <c r="AR85" s="10" t="s">
        <v>86</v>
      </c>
      <c r="AS85" s="7" t="s">
        <v>87</v>
      </c>
      <c r="AT85" s="61"/>
      <c r="AU85" s="7" t="s">
        <v>39</v>
      </c>
      <c r="AV85" s="10" t="s">
        <v>88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AJ86" s="10" t="n">
        <v>1</v>
      </c>
      <c r="AK86" s="13" t="n">
        <f aca="false">B28</f>
        <v>525000</v>
      </c>
      <c r="AL86" s="13" t="n">
        <f aca="false">C28</f>
        <v>0</v>
      </c>
      <c r="AM86" s="13" t="n">
        <f aca="false">D28</f>
        <v>0</v>
      </c>
      <c r="AN86" s="13" t="n">
        <f aca="false">E28</f>
        <v>-525000</v>
      </c>
      <c r="AO86" s="13" t="n">
        <f aca="false">F28</f>
        <v>0</v>
      </c>
      <c r="AP86" s="13" t="n">
        <f aca="false">G28</f>
        <v>0</v>
      </c>
      <c r="AR86" s="1" t="n">
        <f aca="false" t="array" ref="AR86:AR91">MMULT(B45:G50,BB43:BB48)</f>
        <v>0</v>
      </c>
      <c r="AT86" s="13" t="n">
        <f aca="false">I28</f>
        <v>-0</v>
      </c>
      <c r="AV86" s="13" t="e">
        <f aca="false" t="array" ref="AV86:AV91">MMULT(AK86:AP91,_xlfn.anchorarray(AR86))-AT86:AT91</f>
        <v>#NAME?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AJ87" s="10" t="n">
        <v>2</v>
      </c>
      <c r="AK87" s="13" t="n">
        <f aca="false">B29</f>
        <v>0</v>
      </c>
      <c r="AL87" s="13" t="n">
        <f aca="false">C29</f>
        <v>328.125</v>
      </c>
      <c r="AM87" s="13" t="n">
        <f aca="false">D29</f>
        <v>656250</v>
      </c>
      <c r="AN87" s="13" t="n">
        <f aca="false">E29</f>
        <v>0</v>
      </c>
      <c r="AO87" s="13" t="n">
        <f aca="false">F29</f>
        <v>-328.125</v>
      </c>
      <c r="AP87" s="13" t="n">
        <f aca="false">G29</f>
        <v>656250</v>
      </c>
      <c r="AR87" s="1" t="n">
        <v>0</v>
      </c>
      <c r="AT87" s="13" t="n">
        <f aca="false">I29</f>
        <v>-20000</v>
      </c>
      <c r="AV87" s="1" t="e">
        <v>#NAME?</v>
      </c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2" hidden="false" customHeight="false" outlineLevel="0" collapsed="false">
      <c r="AJ88" s="10" t="n">
        <v>3</v>
      </c>
      <c r="AK88" s="13" t="n">
        <f aca="false">B30</f>
        <v>0</v>
      </c>
      <c r="AL88" s="13" t="n">
        <f aca="false">C30</f>
        <v>656250</v>
      </c>
      <c r="AM88" s="13" t="n">
        <f aca="false">D30</f>
        <v>1750000000</v>
      </c>
      <c r="AN88" s="13" t="n">
        <f aca="false">E30</f>
        <v>0</v>
      </c>
      <c r="AO88" s="13" t="n">
        <f aca="false">F30</f>
        <v>-656250</v>
      </c>
      <c r="AP88" s="13" t="n">
        <f aca="false">G30</f>
        <v>875000000</v>
      </c>
      <c r="AR88" s="1" t="n">
        <v>-0.0363737839934569</v>
      </c>
      <c r="AT88" s="13" t="n">
        <f aca="false">I30</f>
        <v>-13333333.3333333</v>
      </c>
      <c r="AV88" s="1" t="e">
        <v>#NAME?</v>
      </c>
    </row>
    <row r="89" customFormat="false" ht="12" hidden="false" customHeight="false" outlineLevel="0" collapsed="false">
      <c r="AJ89" s="10" t="n">
        <v>4</v>
      </c>
      <c r="AK89" s="13" t="n">
        <f aca="false">B31</f>
        <v>-525000</v>
      </c>
      <c r="AL89" s="13" t="n">
        <f aca="false">C31</f>
        <v>0</v>
      </c>
      <c r="AM89" s="13" t="n">
        <f aca="false">D31</f>
        <v>0</v>
      </c>
      <c r="AN89" s="13" t="n">
        <f aca="false">E31</f>
        <v>525000</v>
      </c>
      <c r="AO89" s="13" t="n">
        <f aca="false">F31</f>
        <v>0</v>
      </c>
      <c r="AP89" s="13" t="n">
        <f aca="false">G31</f>
        <v>0</v>
      </c>
      <c r="AR89" s="1" t="n">
        <v>-0.0444444444444394</v>
      </c>
      <c r="AT89" s="13" t="n">
        <f aca="false">I31</f>
        <v>-0</v>
      </c>
      <c r="AV89" s="1" t="e">
        <v>#NAME?</v>
      </c>
    </row>
    <row r="90" customFormat="false" ht="12" hidden="false" customHeight="false" outlineLevel="0" collapsed="false">
      <c r="AJ90" s="10" t="n">
        <v>5</v>
      </c>
      <c r="AK90" s="13" t="n">
        <f aca="false">B32</f>
        <v>0</v>
      </c>
      <c r="AL90" s="13" t="n">
        <f aca="false">C32</f>
        <v>-328.125</v>
      </c>
      <c r="AM90" s="13" t="n">
        <f aca="false">D32</f>
        <v>-656250</v>
      </c>
      <c r="AN90" s="13" t="n">
        <f aca="false">E32</f>
        <v>0</v>
      </c>
      <c r="AO90" s="13" t="n">
        <f aca="false">F32</f>
        <v>328.125</v>
      </c>
      <c r="AP90" s="13" t="n">
        <f aca="false">G32</f>
        <v>-656250</v>
      </c>
      <c r="AR90" s="1" t="n">
        <v>-81.9356733185918</v>
      </c>
      <c r="AT90" s="13" t="n">
        <f aca="false">I32</f>
        <v>-20000</v>
      </c>
      <c r="AV90" s="1" t="e">
        <v>#NAME?</v>
      </c>
    </row>
    <row r="91" customFormat="false" ht="12" hidden="false" customHeight="false" outlineLevel="0" collapsed="false">
      <c r="AJ91" s="10" t="n">
        <v>6</v>
      </c>
      <c r="AK91" s="13" t="n">
        <f aca="false">B33</f>
        <v>0</v>
      </c>
      <c r="AL91" s="13" t="n">
        <f aca="false">C33</f>
        <v>656250</v>
      </c>
      <c r="AM91" s="13" t="n">
        <f aca="false">D33</f>
        <v>875000000</v>
      </c>
      <c r="AN91" s="13" t="n">
        <f aca="false">E33</f>
        <v>0</v>
      </c>
      <c r="AO91" s="13" t="n">
        <f aca="false">F33</f>
        <v>-656250</v>
      </c>
      <c r="AP91" s="13" t="n">
        <f aca="false">G33</f>
        <v>1750000000</v>
      </c>
      <c r="AR91" s="1" t="n">
        <v>-0.00394228224012533</v>
      </c>
      <c r="AT91" s="13" t="n">
        <f aca="false">I33</f>
        <v>13333333.3333333</v>
      </c>
      <c r="AV91" s="1" t="e">
        <v>#NAME?</v>
      </c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84:AT85"/>
  </mergeCells>
  <conditionalFormatting sqref="AZ43:AZ54">
    <cfRule type="expression" priority="2" aboveAverage="0" equalAverage="0" bottom="0" percent="0" rank="0" text="" dxfId="0">
      <formula>ABS(AZ43)&lt;0.1</formula>
    </cfRule>
  </conditionalFormatting>
  <conditionalFormatting sqref="AK43:AV54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C13" colorId="64" zoomScale="100" zoomScaleNormal="100" zoomScalePageLayoutView="100" workbookViewId="0">
      <selection pane="topLeft" activeCell="BF58" activeCellId="0" sqref="BF58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9.57"/>
    <col collapsed="false" customWidth="true" hidden="false" outlineLevel="0" max="38" min="38" style="34" width="12.57"/>
    <col collapsed="false" customWidth="true" hidden="false" outlineLevel="0" max="39" min="39" style="34" width="10.57"/>
    <col collapsed="false" customWidth="true" hidden="false" outlineLevel="0" max="40" min="40" style="34" width="9.3"/>
    <col collapsed="false" customWidth="true" hidden="false" outlineLevel="0" max="41" min="41" style="34" width="13.13"/>
    <col collapsed="false" customWidth="true" hidden="false" outlineLevel="0" max="43" min="42" style="34" width="9.3"/>
    <col collapsed="false" customWidth="true" hidden="false" outlineLevel="0" max="44" min="44" style="34" width="12.57"/>
    <col collapsed="false" customWidth="true" hidden="false" outlineLevel="0" max="45" min="45" style="34" width="10.57"/>
    <col collapsed="false" customWidth="true" hidden="false" outlineLevel="0" max="46" min="46" style="34" width="12.42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50" min="49" style="34" width="11.57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36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 t="s">
        <v>90</v>
      </c>
      <c r="BD45" s="10" t="s">
        <v>38</v>
      </c>
      <c r="BF45" s="34" t="s">
        <v>40</v>
      </c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D46" s="63" t="n">
        <f aca="false" t="array" ref="BD46:BD48">AZ46:AZ48</f>
        <v>0</v>
      </c>
      <c r="BE46" s="7"/>
      <c r="BF46" s="7" t="n">
        <f aca="false" t="array" ref="BF46:BF59">MMULT(AK46:AX59,BD46:BD59)-BB46:BB59</f>
        <v>-28750.659141066</v>
      </c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D47" s="63" t="n">
        <v>0</v>
      </c>
      <c r="BE47" s="37"/>
      <c r="BF47" s="37" t="n">
        <v>29999.9999999996</v>
      </c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</f>
        <v>1750000000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n">
        <v>0</v>
      </c>
      <c r="BA48" s="1"/>
      <c r="BB48" s="13" t="n">
        <f aca="false">AY8+BO8+AY27</f>
        <v>-13333333.3333333</v>
      </c>
      <c r="BC48" s="1" t="s">
        <v>91</v>
      </c>
      <c r="BD48" s="63" t="n">
        <v>0</v>
      </c>
      <c r="BE48" s="37"/>
      <c r="BF48" s="37" t="n">
        <v>35002636.5642638</v>
      </c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D49" s="36" t="n">
        <f aca="false" t="array" ref="BD49:BD51">AV77:AV79</f>
        <v>45.7223209577564</v>
      </c>
      <c r="BE49" s="37"/>
      <c r="BF49" s="37" t="n">
        <v>-1.05173967313021E-008</v>
      </c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D50" s="36" t="n">
        <v>-0.0571428571428592</v>
      </c>
      <c r="BF50" s="34" t="n">
        <v>3.74711817130446E-010</v>
      </c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D51" s="40" t="n">
        <v>-0.00642857142857143</v>
      </c>
      <c r="BE51" s="37"/>
      <c r="BF51" s="37" t="n">
        <v>0</v>
      </c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D52" s="63" t="n">
        <f aca="false" t="array" ref="BD52:BD54">AZ52:AZ54</f>
        <v>0</v>
      </c>
      <c r="BE52" s="37"/>
      <c r="BF52" s="37" t="n">
        <v>8750.65914106595</v>
      </c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D53" s="63" t="n">
        <v>0</v>
      </c>
      <c r="BE53" s="41"/>
      <c r="BF53" s="41" t="n">
        <v>30000</v>
      </c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</f>
        <v>1750000000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n">
        <v>0</v>
      </c>
      <c r="BA54" s="1"/>
      <c r="BB54" s="13" t="n">
        <f aca="false">AY14+BO14+AY33</f>
        <v>6666666.66666667</v>
      </c>
      <c r="BC54" s="1" t="s">
        <v>92</v>
      </c>
      <c r="BD54" s="63" t="n">
        <v>0</v>
      </c>
      <c r="BE54" s="37"/>
      <c r="BF54" s="37" t="n">
        <v>4997363.43573621</v>
      </c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D55" s="36" t="n">
        <f aca="false" t="array" ref="BD55:BD59">AV80:AV84</f>
        <v>45.7062504708151</v>
      </c>
      <c r="BE55" s="41"/>
      <c r="BF55" s="41" t="n">
        <v>6.7830114858225E-009</v>
      </c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D56" s="36" t="n">
        <v>-0.0571428571428599</v>
      </c>
      <c r="BE56" s="41"/>
      <c r="BF56" s="41" t="n">
        <v>0</v>
      </c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D57" s="40" t="n">
        <v>0.00642857142857143</v>
      </c>
      <c r="BE57" s="41"/>
      <c r="BF57" s="41" t="n">
        <v>0</v>
      </c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D58" s="40" t="n">
        <v>-0.00952682274011103</v>
      </c>
      <c r="BE58" s="41"/>
      <c r="BF58" s="41" t="n">
        <v>0</v>
      </c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D59" s="40" t="n">
        <v>-0.0209493677360795</v>
      </c>
      <c r="BF59" s="34" t="n">
        <v>0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n">
        <f aca="false" t="array" ref="BB64:BB68">BF46:BF50</f>
        <v>-28750.659141066</v>
      </c>
      <c r="BC64" s="34" t="n">
        <f aca="false" t="array" ref="BC64:BC69">MMULT(B45:G50,BB64:BB69)</f>
        <v>29999.9999999996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4</v>
      </c>
      <c r="AL65" s="10" t="n">
        <v>5</v>
      </c>
      <c r="AM65" s="10" t="n">
        <v>6</v>
      </c>
      <c r="AN65" s="10" t="n">
        <v>10</v>
      </c>
      <c r="AO65" s="10" t="n">
        <v>11</v>
      </c>
      <c r="AP65" s="10" t="n">
        <v>12</v>
      </c>
      <c r="AQ65" s="10" t="n">
        <v>13</v>
      </c>
      <c r="AR65" s="10" t="n">
        <v>14</v>
      </c>
      <c r="AS65" s="7" t="s">
        <v>37</v>
      </c>
      <c r="AT65" s="10" t="s">
        <v>38</v>
      </c>
      <c r="AU65" s="7" t="s">
        <v>39</v>
      </c>
      <c r="AV65" s="47" t="s">
        <v>10</v>
      </c>
      <c r="AW65" s="1"/>
      <c r="AX65" s="1"/>
      <c r="BB65" s="132" t="n">
        <v>29999.9999999996</v>
      </c>
      <c r="BC65" s="34" t="n">
        <v>28750.659141066</v>
      </c>
      <c r="BE65" s="132"/>
    </row>
    <row r="66" customFormat="false" ht="12" hidden="false" customHeight="false" outlineLevel="0" collapsed="false">
      <c r="AJ66" s="11" t="n">
        <v>4</v>
      </c>
      <c r="AK66" s="13" t="n">
        <f aca="false" t="array" ref="AK66:AM68">AN49:AP51</f>
        <v>700328.125</v>
      </c>
      <c r="AL66" s="13" t="n">
        <v>3.21268866160695E-011</v>
      </c>
      <c r="AM66" s="13" t="n">
        <v>0</v>
      </c>
      <c r="AN66" s="13" t="n">
        <f aca="false" t="array" ref="AN66:AR68">AT49:AX51</f>
        <v>-700000</v>
      </c>
      <c r="AO66" s="13" t="n">
        <v>0</v>
      </c>
      <c r="AP66" s="13" t="n">
        <v>0</v>
      </c>
      <c r="AQ66" s="13" t="n">
        <v>656250</v>
      </c>
      <c r="AR66" s="13" t="n">
        <v>0</v>
      </c>
      <c r="AS66" s="13"/>
      <c r="AT66" s="21" t="str">
        <f aca="false" t="array" ref="AT66:AT68">AZ49:AZ51</f>
        <v>r21</v>
      </c>
      <c r="AU66" s="1"/>
      <c r="AV66" s="50" t="n">
        <f aca="false" t="array" ref="AV66:AV68">BB49:BB51</f>
        <v>20000</v>
      </c>
      <c r="AW66" s="1"/>
      <c r="AX66" s="1"/>
      <c r="BB66" s="34" t="n">
        <v>35002636.5642638</v>
      </c>
      <c r="BC66" s="34" t="n">
        <v>35002636.5642638</v>
      </c>
    </row>
    <row r="67" customFormat="false" ht="12" hidden="false" customHeight="false" outlineLevel="0" collapsed="false">
      <c r="AJ67" s="11" t="n">
        <v>5</v>
      </c>
      <c r="AK67" s="13" t="n">
        <v>3.21268866160695E-011</v>
      </c>
      <c r="AL67" s="13" t="n">
        <v>525777.777777778</v>
      </c>
      <c r="AM67" s="13" t="n">
        <v>2333333.33333333</v>
      </c>
      <c r="AN67" s="13" t="n">
        <v>0</v>
      </c>
      <c r="AO67" s="13" t="n">
        <v>-777.777777777778</v>
      </c>
      <c r="AP67" s="13" t="n">
        <v>2333333.33333333</v>
      </c>
      <c r="AQ67" s="13" t="n">
        <v>-4.01837230970225E-011</v>
      </c>
      <c r="AR67" s="13" t="n">
        <v>0</v>
      </c>
      <c r="AS67" s="13"/>
      <c r="AT67" s="21" t="str">
        <v>r22</v>
      </c>
      <c r="AU67" s="1"/>
      <c r="AV67" s="51" t="n">
        <v>-30000</v>
      </c>
      <c r="AW67" s="1"/>
      <c r="AX67" s="1"/>
      <c r="BB67" s="34" t="n">
        <v>-1.05173967313021E-008</v>
      </c>
      <c r="BC67" s="34" t="n">
        <v>3.74711817130446E-010</v>
      </c>
    </row>
    <row r="68" customFormat="false" ht="12" hidden="false" customHeight="false" outlineLevel="0" collapsed="false">
      <c r="AJ68" s="11" t="n">
        <v>6</v>
      </c>
      <c r="AK68" s="13" t="n">
        <v>0</v>
      </c>
      <c r="AL68" s="13" t="n">
        <v>2333333.33333333</v>
      </c>
      <c r="AM68" s="13" t="n">
        <v>9333333333.33333</v>
      </c>
      <c r="AN68" s="13" t="n">
        <v>0</v>
      </c>
      <c r="AO68" s="13" t="n">
        <v>-2333333.33333333</v>
      </c>
      <c r="AP68" s="13" t="n">
        <v>4666666666.66667</v>
      </c>
      <c r="AQ68" s="13" t="n">
        <v>0</v>
      </c>
      <c r="AR68" s="13" t="n">
        <v>0</v>
      </c>
      <c r="AS68" s="13"/>
      <c r="AT68" s="21" t="str">
        <v>r23</v>
      </c>
      <c r="AU68" s="1"/>
      <c r="AV68" s="51" t="n">
        <v>-30000000</v>
      </c>
      <c r="AW68" s="1"/>
      <c r="AX68" s="1"/>
      <c r="BB68" s="34" t="n">
        <v>3.74711817130446E-010</v>
      </c>
      <c r="BC68" s="34" t="n">
        <v>1.05173967313021E-008</v>
      </c>
      <c r="BO68" s="100"/>
      <c r="BR68" s="133"/>
    </row>
    <row r="69" customFormat="false" ht="12" hidden="false" customHeight="false" outlineLevel="0" collapsed="false">
      <c r="AJ69" s="11" t="n">
        <v>10</v>
      </c>
      <c r="AK69" s="13" t="n">
        <f aca="false" t="array" ref="AK69:AM73">AN55:AP59</f>
        <v>-700000</v>
      </c>
      <c r="AL69" s="13" t="n">
        <v>0</v>
      </c>
      <c r="AM69" s="13" t="n">
        <v>0</v>
      </c>
      <c r="AN69" s="13" t="n">
        <f aca="false" t="array" ref="AN69:AR73">AT55:AX59</f>
        <v>700328.125</v>
      </c>
      <c r="AO69" s="13" t="n">
        <v>3.21268866160695E-011</v>
      </c>
      <c r="AP69" s="13" t="n">
        <v>0</v>
      </c>
      <c r="AQ69" s="13" t="n">
        <v>0</v>
      </c>
      <c r="AR69" s="13" t="n">
        <v>656250</v>
      </c>
      <c r="AS69" s="13"/>
      <c r="AT69" s="21" t="str">
        <f aca="false" t="array" ref="AT69:AT73">AZ55:AZ59</f>
        <v>r41</v>
      </c>
      <c r="AU69" s="1"/>
      <c r="AV69" s="50" t="n">
        <f aca="false" t="array" ref="AV69:AV73">BB55:BB59</f>
        <v>-10000</v>
      </c>
      <c r="AW69" s="1"/>
      <c r="AX69" s="1"/>
      <c r="BB69" s="34" t="n">
        <f aca="false">BF59</f>
        <v>0</v>
      </c>
      <c r="BC69" s="34" t="n">
        <v>0</v>
      </c>
      <c r="BR69" s="133"/>
    </row>
    <row r="70" customFormat="false" ht="12" hidden="false" customHeight="false" outlineLevel="0" collapsed="false">
      <c r="AJ70" s="11" t="n">
        <v>11</v>
      </c>
      <c r="AK70" s="13" t="n">
        <v>0</v>
      </c>
      <c r="AL70" s="1" t="n">
        <v>-777.777777777778</v>
      </c>
      <c r="AM70" s="1" t="n">
        <v>-2333333.33333333</v>
      </c>
      <c r="AN70" s="1" t="n">
        <v>3.21268866160695E-011</v>
      </c>
      <c r="AO70" s="13" t="n">
        <v>525777.777777778</v>
      </c>
      <c r="AP70" s="1" t="n">
        <v>-2333333.33333333</v>
      </c>
      <c r="AQ70" s="1" t="n">
        <v>0</v>
      </c>
      <c r="AR70" s="1" t="n">
        <v>-4.01837230970225E-011</v>
      </c>
      <c r="AS70" s="1" t="s">
        <v>37</v>
      </c>
      <c r="AT70" s="7" t="str">
        <v>r42</v>
      </c>
      <c r="AU70" s="1"/>
      <c r="AV70" s="13" t="n">
        <v>-30000</v>
      </c>
      <c r="AW70" s="1"/>
      <c r="AX70" s="1"/>
      <c r="BR70" s="133"/>
    </row>
    <row r="71" customFormat="false" ht="12" hidden="false" customHeight="false" outlineLevel="0" collapsed="false">
      <c r="AJ71" s="11" t="n">
        <v>12</v>
      </c>
      <c r="AK71" s="1" t="n">
        <v>0</v>
      </c>
      <c r="AL71" s="1" t="n">
        <v>2333333.33333333</v>
      </c>
      <c r="AM71" s="1" t="n">
        <v>4666666666.66667</v>
      </c>
      <c r="AN71" s="1" t="n">
        <v>0</v>
      </c>
      <c r="AO71" s="1" t="n">
        <v>-2333333.33333333</v>
      </c>
      <c r="AP71" s="1" t="n">
        <v>9333333333.33333</v>
      </c>
      <c r="AQ71" s="1" t="n">
        <v>0</v>
      </c>
      <c r="AR71" s="1" t="n">
        <v>0</v>
      </c>
      <c r="AS71" s="1"/>
      <c r="AT71" s="7" t="str">
        <v>r43</v>
      </c>
      <c r="AU71" s="1"/>
      <c r="AV71" s="1" t="n">
        <v>30000000</v>
      </c>
      <c r="AW71" s="1"/>
      <c r="AX71" s="1"/>
      <c r="BR71" s="133"/>
    </row>
    <row r="72" customFormat="false" ht="12" hidden="false" customHeight="false" outlineLevel="0" collapsed="false">
      <c r="AJ72" s="11" t="n">
        <v>13</v>
      </c>
      <c r="AK72" s="1" t="n">
        <v>656250</v>
      </c>
      <c r="AL72" s="1" t="n">
        <v>-4.01837230970225E-011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1750000000</v>
      </c>
      <c r="AR72" s="1" t="n">
        <v>0</v>
      </c>
      <c r="AS72" s="1"/>
      <c r="AT72" s="7" t="str">
        <v>r24</v>
      </c>
      <c r="AU72" s="1"/>
      <c r="AV72" s="1" t="n">
        <v>13333333.3333333</v>
      </c>
      <c r="AW72" s="1"/>
      <c r="AX72" s="1"/>
      <c r="BC72" s="123"/>
      <c r="BD72" s="123"/>
      <c r="BR72" s="133"/>
    </row>
    <row r="73" customFormat="false" ht="12" hidden="false" customHeight="false" outlineLevel="0" collapsed="false">
      <c r="AJ73" s="11" t="n">
        <v>14</v>
      </c>
      <c r="AK73" s="1" t="n">
        <v>0</v>
      </c>
      <c r="AL73" s="1" t="n">
        <v>0</v>
      </c>
      <c r="AM73" s="1" t="n">
        <v>0</v>
      </c>
      <c r="AN73" s="1" t="n">
        <v>656250</v>
      </c>
      <c r="AO73" s="1" t="n">
        <v>-4.01837230970225E-011</v>
      </c>
      <c r="AP73" s="1" t="n">
        <v>0</v>
      </c>
      <c r="AQ73" s="1" t="n">
        <v>0</v>
      </c>
      <c r="AR73" s="1" t="n">
        <v>1750000000</v>
      </c>
      <c r="AS73" s="1"/>
      <c r="AT73" s="7" t="str">
        <v>r44</v>
      </c>
      <c r="AU73" s="1"/>
      <c r="AV73" s="1" t="n">
        <v>-6666666.66666667</v>
      </c>
      <c r="AW73" s="1"/>
      <c r="AX73" s="1"/>
      <c r="BR73" s="133"/>
    </row>
    <row r="74" customFormat="false" ht="12" hidden="false" customHeight="false" outlineLevel="0" collapsed="false">
      <c r="AJ74" s="10"/>
      <c r="AK74" s="10"/>
      <c r="AL74" s="10"/>
      <c r="AM74" s="10"/>
      <c r="AN74" s="10"/>
      <c r="AO74" s="10"/>
      <c r="AP74" s="10"/>
      <c r="AQ74" s="10"/>
      <c r="AR74" s="10"/>
      <c r="AS74" s="1"/>
      <c r="AT74" s="1"/>
      <c r="AU74" s="1"/>
      <c r="AV74" s="1"/>
      <c r="AW74" s="1"/>
      <c r="AX74" s="1"/>
      <c r="BR74" s="133"/>
    </row>
    <row r="75" customFormat="false" ht="12" hidden="false" customHeight="false" outlineLevel="0" collapsed="false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 t="n">
        <v>4</v>
      </c>
      <c r="AL76" s="10" t="n">
        <v>5</v>
      </c>
      <c r="AM76" s="10" t="n">
        <v>6</v>
      </c>
      <c r="AN76" s="10" t="n">
        <v>10</v>
      </c>
      <c r="AO76" s="10" t="n">
        <v>11</v>
      </c>
      <c r="AP76" s="10" t="n">
        <v>12</v>
      </c>
      <c r="AQ76" s="10" t="n">
        <v>13</v>
      </c>
      <c r="AR76" s="10" t="n">
        <v>14</v>
      </c>
      <c r="AS76" s="7" t="s">
        <v>37</v>
      </c>
      <c r="AT76" s="47" t="s">
        <v>10</v>
      </c>
      <c r="AU76" s="7" t="s">
        <v>39</v>
      </c>
      <c r="AV76" s="10" t="s">
        <v>38</v>
      </c>
      <c r="AW76" s="1"/>
      <c r="AX76" s="1"/>
      <c r="AY76" s="7"/>
    </row>
    <row r="77" customFormat="false" ht="12" hidden="false" customHeight="false" outlineLevel="0" collapsed="false">
      <c r="AG77" s="100"/>
      <c r="AH77" s="100"/>
      <c r="AI77" s="100"/>
      <c r="AJ77" s="10" t="n">
        <v>3</v>
      </c>
      <c r="AK77" s="1" t="n">
        <f aca="false" t="array" ref="AK77:AR84">MINVERSE(AK66:AR73)</f>
        <v>0.00609559521717012</v>
      </c>
      <c r="AL77" s="1" t="n">
        <v>-3.73189238649237E-019</v>
      </c>
      <c r="AM77" s="1" t="n">
        <v>7.28799829072712E-027</v>
      </c>
      <c r="AN77" s="1" t="n">
        <v>0.00609488097330607</v>
      </c>
      <c r="AO77" s="1" t="n">
        <v>-3.73145510659707E-019</v>
      </c>
      <c r="AP77" s="1" t="n">
        <v>7.28799820624129E-027</v>
      </c>
      <c r="AQ77" s="1" t="n">
        <v>-2.2858482064388E-006</v>
      </c>
      <c r="AR77" s="1" t="n">
        <v>-2.28558036498977E-006</v>
      </c>
      <c r="AS77" s="1"/>
      <c r="AT77" s="13" t="n">
        <f aca="false" t="array" ref="AT77:AT84">AV66:AV73</f>
        <v>20000</v>
      </c>
      <c r="AU77" s="1"/>
      <c r="AV77" s="36" t="n">
        <f aca="false" t="array" ref="AV77:AV84">MMULT(AK77:AR84,AT77:AT84)</f>
        <v>45.7223209577564</v>
      </c>
      <c r="AW77" s="1" t="s">
        <v>12</v>
      </c>
      <c r="AX77" s="1"/>
      <c r="AY77" s="7"/>
    </row>
    <row r="78" customFormat="false" ht="12" hidden="false" customHeight="false" outlineLevel="0" collapsed="false">
      <c r="AJ78" s="10" t="n">
        <v>4</v>
      </c>
      <c r="AK78" s="1" t="n">
        <v>-3.73189238649237E-019</v>
      </c>
      <c r="AL78" s="13" t="n">
        <v>1.9047619047619E-006</v>
      </c>
      <c r="AM78" s="13" t="n">
        <v>-3.17460317460314E-010</v>
      </c>
      <c r="AN78" s="1" t="n">
        <v>-3.73145510659707E-019</v>
      </c>
      <c r="AO78" s="1" t="n">
        <v>0</v>
      </c>
      <c r="AP78" s="1" t="n">
        <v>-3.1746031746029E-010</v>
      </c>
      <c r="AQ78" s="1" t="n">
        <v>1.39989701879148E-022</v>
      </c>
      <c r="AR78" s="1" t="n">
        <v>1.3992956649739E-022</v>
      </c>
      <c r="AS78" s="1"/>
      <c r="AT78" s="34" t="n">
        <v>-30000</v>
      </c>
      <c r="AU78" s="1"/>
      <c r="AV78" s="36" t="n">
        <v>-0.0571428571428592</v>
      </c>
      <c r="AW78" s="1" t="s">
        <v>12</v>
      </c>
      <c r="AX78" s="1"/>
      <c r="AY78" s="7"/>
    </row>
    <row r="79" customFormat="false" ht="12" hidden="false" customHeight="false" outlineLevel="0" collapsed="false">
      <c r="AJ79" s="10" t="n">
        <v>5</v>
      </c>
      <c r="AK79" s="1" t="n">
        <v>7.28799825507056E-027</v>
      </c>
      <c r="AL79" s="13" t="n">
        <v>-3.17460317460318E-010</v>
      </c>
      <c r="AM79" s="13" t="n">
        <v>1.42962962962963E-010</v>
      </c>
      <c r="AN79" s="1" t="n">
        <v>-7.28799825507424E-027</v>
      </c>
      <c r="AO79" s="1" t="n">
        <v>3.17460317460318E-010</v>
      </c>
      <c r="AP79" s="1" t="n">
        <v>-7.13227513227513E-011</v>
      </c>
      <c r="AQ79" s="1" t="n">
        <v>-1.00225636262905E-029</v>
      </c>
      <c r="AR79" s="1" t="n">
        <v>1.00225636262911E-029</v>
      </c>
      <c r="AS79" s="1"/>
      <c r="AT79" s="1" t="n">
        <v>-30000000</v>
      </c>
      <c r="AU79" s="1"/>
      <c r="AV79" s="36" t="n">
        <v>-0.00642857142857143</v>
      </c>
      <c r="AW79" s="1" t="s">
        <v>78</v>
      </c>
      <c r="AX79" s="1" t="n">
        <f aca="false">1000*AV79</f>
        <v>-6.42857142857143</v>
      </c>
      <c r="AY79" s="7"/>
      <c r="BK79" s="100"/>
    </row>
    <row r="80" customFormat="false" ht="12" hidden="false" customHeight="false" outlineLevel="0" collapsed="false">
      <c r="AJ80" s="10" t="n">
        <v>6</v>
      </c>
      <c r="AK80" s="1" t="n">
        <v>0.00609488097330607</v>
      </c>
      <c r="AL80" s="1" t="n">
        <v>-3.73145510659707E-019</v>
      </c>
      <c r="AM80" s="1" t="n">
        <v>-7.28799821941333E-027</v>
      </c>
      <c r="AN80" s="1" t="n">
        <v>0.00609559521717012</v>
      </c>
      <c r="AO80" s="1" t="n">
        <v>-3.73189238649237E-019</v>
      </c>
      <c r="AP80" s="1" t="n">
        <v>-7.28799830390796E-027</v>
      </c>
      <c r="AQ80" s="1" t="n">
        <v>-2.28558036498977E-006</v>
      </c>
      <c r="AR80" s="1" t="n">
        <v>-2.2858482064388E-006</v>
      </c>
      <c r="AS80" s="1"/>
      <c r="AT80" s="1" t="n">
        <v>-10000</v>
      </c>
      <c r="AU80" s="1"/>
      <c r="AV80" s="36" t="n">
        <v>45.7062504708151</v>
      </c>
      <c r="AW80" s="1" t="s">
        <v>12</v>
      </c>
      <c r="AX80" s="1"/>
      <c r="AY80" s="7"/>
      <c r="AZ80" s="132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0" t="n">
        <v>9</v>
      </c>
      <c r="AK81" s="1" t="n">
        <v>-3.73145510659707E-019</v>
      </c>
      <c r="AL81" s="1" t="n">
        <v>-3.23939099426459E-025</v>
      </c>
      <c r="AM81" s="1" t="n">
        <v>3.17460317460317E-010</v>
      </c>
      <c r="AN81" s="1" t="n">
        <v>-3.73189238649237E-019</v>
      </c>
      <c r="AO81" s="1" t="n">
        <v>1.9047619047619E-006</v>
      </c>
      <c r="AP81" s="1" t="n">
        <v>3.17460317460317E-010</v>
      </c>
      <c r="AQ81" s="1" t="n">
        <v>1.3992956649739E-022</v>
      </c>
      <c r="AR81" s="1" t="n">
        <v>1.39989701879148E-022</v>
      </c>
      <c r="AS81" s="1"/>
      <c r="AT81" s="13" t="n">
        <v>-30000</v>
      </c>
      <c r="AU81" s="1"/>
      <c r="AV81" s="36" t="n">
        <v>-0.0571428571428599</v>
      </c>
      <c r="AW81" s="1" t="s">
        <v>12</v>
      </c>
      <c r="AX81" s="1"/>
      <c r="AY81" s="7"/>
      <c r="AZ81" s="132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0" t="n">
        <v>10</v>
      </c>
      <c r="AK82" s="1" t="n">
        <v>7.28799825507056E-027</v>
      </c>
      <c r="AL82" s="1" t="n">
        <v>-3.17460317460318E-010</v>
      </c>
      <c r="AM82" s="1" t="n">
        <v>-7.13227513227513E-011</v>
      </c>
      <c r="AN82" s="1" t="n">
        <v>-7.28799825507424E-027</v>
      </c>
      <c r="AO82" s="13" t="n">
        <v>3.17460317460318E-010</v>
      </c>
      <c r="AP82" s="1" t="n">
        <v>1.42962962962963E-010</v>
      </c>
      <c r="AQ82" s="1" t="n">
        <v>-1.00225636262905E-029</v>
      </c>
      <c r="AR82" s="1" t="n">
        <v>1.00225636262911E-029</v>
      </c>
      <c r="AS82" s="1"/>
      <c r="AT82" s="1" t="n">
        <v>30000000</v>
      </c>
      <c r="AU82" s="1"/>
      <c r="AV82" s="36" t="n">
        <v>0.00642857142857143</v>
      </c>
      <c r="AW82" s="1" t="s">
        <v>78</v>
      </c>
      <c r="AX82" s="1" t="n">
        <f aca="false">1000*AV82</f>
        <v>6.42857142857143</v>
      </c>
      <c r="AY82" s="7"/>
      <c r="AZ82" s="132"/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0" t="n">
        <v>11</v>
      </c>
      <c r="AK83" s="1" t="n">
        <v>-2.2858482064388E-006</v>
      </c>
      <c r="AL83" s="1" t="n">
        <v>1.39989701879148E-022</v>
      </c>
      <c r="AM83" s="1" t="n">
        <v>-1.00225636396655E-029</v>
      </c>
      <c r="AN83" s="1" t="n">
        <v>-2.28558036498977E-006</v>
      </c>
      <c r="AO83" s="13" t="n">
        <v>1.3992956649739E-022</v>
      </c>
      <c r="AP83" s="1" t="n">
        <v>-1.00225636079732E-029</v>
      </c>
      <c r="AQ83" s="1" t="n">
        <v>1.42862164884312E-009</v>
      </c>
      <c r="AR83" s="1" t="n">
        <v>8.57092636871165E-010</v>
      </c>
      <c r="AS83" s="1"/>
      <c r="AT83" s="1" t="n">
        <v>13333333.3333333</v>
      </c>
      <c r="AU83" s="1"/>
      <c r="AV83" s="36" t="n">
        <v>-0.00952682274011103</v>
      </c>
      <c r="AW83" s="1" t="s">
        <v>78</v>
      </c>
      <c r="AX83" s="1" t="n">
        <f aca="false">1000*AV83</f>
        <v>-9.52682274011103</v>
      </c>
      <c r="AY83" s="7"/>
      <c r="AZ83" s="137"/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0" t="n">
        <v>12</v>
      </c>
      <c r="AK84" s="1" t="n">
        <v>-2.28558036498977E-006</v>
      </c>
      <c r="AL84" s="1" t="n">
        <v>1.3992956649739E-022</v>
      </c>
      <c r="AM84" s="1" t="n">
        <v>1.0022563612919E-029</v>
      </c>
      <c r="AN84" s="1" t="n">
        <v>-2.2858482064388E-006</v>
      </c>
      <c r="AO84" s="1" t="n">
        <v>1.39989701879148E-022</v>
      </c>
      <c r="AP84" s="1" t="n">
        <v>1.00225636446045E-029</v>
      </c>
      <c r="AQ84" s="1" t="n">
        <v>8.57092636871165E-010</v>
      </c>
      <c r="AR84" s="1" t="n">
        <v>1.42862164884312E-009</v>
      </c>
      <c r="AS84" s="1"/>
      <c r="AT84" s="1" t="n">
        <v>-6666666.66666667</v>
      </c>
      <c r="AU84" s="1"/>
      <c r="AV84" s="36" t="n">
        <v>-0.0209493677360795</v>
      </c>
      <c r="AW84" s="1" t="s">
        <v>78</v>
      </c>
      <c r="AX84" s="1" t="n">
        <f aca="false">1000*AV84</f>
        <v>-20.9493677360795</v>
      </c>
      <c r="AY84" s="7"/>
      <c r="AZ84" s="7"/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0"/>
      <c r="AK85" s="10"/>
      <c r="AL85" s="10"/>
      <c r="AM85" s="10"/>
      <c r="AN85" s="10"/>
      <c r="AO85" s="10"/>
      <c r="AP85" s="10"/>
      <c r="AQ85" s="10"/>
      <c r="AR85" s="10"/>
      <c r="AS85" s="1"/>
      <c r="AT85" s="1"/>
      <c r="AU85" s="1"/>
      <c r="AV85" s="1"/>
      <c r="AW85" s="1"/>
      <c r="AX85" s="1"/>
      <c r="AZ85" s="137"/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Z86" s="137"/>
      <c r="BC86" s="138"/>
      <c r="BD86" s="138"/>
      <c r="BE86" s="132"/>
    </row>
    <row r="87" customFormat="false" ht="12" hidden="false" customHeight="false" outlineLevel="0" collapsed="false">
      <c r="BB87" s="132"/>
      <c r="BE87" s="132"/>
      <c r="BK87" s="100"/>
    </row>
    <row r="88" customFormat="false" ht="12" hidden="false" customHeight="false" outlineLevel="0" collapsed="false"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K91" s="17"/>
      <c r="AL91" s="17"/>
      <c r="AM91" s="17"/>
      <c r="AN91" s="17"/>
      <c r="AO91" s="17"/>
      <c r="AP91" s="17"/>
      <c r="AQ91" s="21"/>
      <c r="AR91" s="21"/>
      <c r="AS91" s="21"/>
      <c r="AT91" s="21"/>
      <c r="AU91" s="21"/>
      <c r="AV91" s="21"/>
      <c r="AW91" s="21"/>
      <c r="AX91" s="21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K92" s="17"/>
      <c r="AL92" s="17"/>
      <c r="AM92" s="17"/>
      <c r="AN92" s="17"/>
      <c r="AO92" s="17"/>
      <c r="AP92" s="17"/>
      <c r="AQ92" s="21"/>
      <c r="AR92" s="21"/>
      <c r="AS92" s="21"/>
      <c r="AT92" s="21"/>
      <c r="AU92" s="21"/>
      <c r="AV92" s="21"/>
      <c r="AW92" s="21"/>
      <c r="AX92" s="21"/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K93" s="17"/>
      <c r="AL93" s="17"/>
      <c r="AM93" s="17"/>
      <c r="AN93" s="17"/>
      <c r="AO93" s="17"/>
      <c r="AP93" s="17"/>
      <c r="AQ93" s="17"/>
      <c r="AR93" s="21"/>
      <c r="AS93" s="21"/>
      <c r="AT93" s="21"/>
      <c r="AU93" s="17"/>
      <c r="AV93" s="17"/>
      <c r="AW93" s="21"/>
      <c r="AX93" s="21"/>
      <c r="AZ93" s="95"/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K94" s="17"/>
      <c r="AL94" s="17"/>
      <c r="AM94" s="17"/>
      <c r="AN94" s="17"/>
      <c r="AO94" s="17"/>
      <c r="AP94" s="17"/>
      <c r="AQ94" s="17"/>
      <c r="AR94" s="21"/>
      <c r="AS94" s="21"/>
      <c r="AT94" s="21"/>
      <c r="AU94" s="17"/>
      <c r="AV94" s="17"/>
      <c r="AW94" s="21"/>
      <c r="AX94" s="21"/>
    </row>
    <row r="95" customFormat="false" ht="12" hidden="false" customHeight="false" outlineLevel="0" collapsed="false">
      <c r="AK95" s="17"/>
      <c r="AL95" s="17"/>
      <c r="AM95" s="17"/>
      <c r="AN95" s="17"/>
      <c r="AO95" s="17"/>
      <c r="AP95" s="17"/>
      <c r="AQ95" s="21"/>
      <c r="AR95" s="21"/>
      <c r="AS95" s="21"/>
      <c r="AT95" s="21"/>
      <c r="AU95" s="21"/>
      <c r="AV95" s="21"/>
      <c r="AW95" s="21"/>
      <c r="AX95" s="21"/>
    </row>
    <row r="96" customFormat="false" ht="12" hidden="false" customHeight="false" outlineLevel="0" collapsed="false">
      <c r="AK96" s="21"/>
      <c r="AL96" s="21"/>
      <c r="AM96" s="21"/>
      <c r="AN96" s="17"/>
      <c r="AO96" s="17"/>
      <c r="AP96" s="21"/>
      <c r="AQ96" s="17"/>
      <c r="AR96" s="21"/>
      <c r="AS96" s="21"/>
      <c r="AT96" s="21"/>
      <c r="AU96" s="17"/>
      <c r="AV96" s="17"/>
      <c r="AW96" s="21"/>
      <c r="AX96" s="21"/>
    </row>
    <row r="97" customFormat="false" ht="12" hidden="false" customHeight="false" outlineLevel="0" collapsed="false">
      <c r="AK97" s="21"/>
      <c r="AL97" s="21"/>
      <c r="AM97" s="21"/>
      <c r="AN97" s="21"/>
      <c r="AO97" s="21"/>
      <c r="AP97" s="21"/>
      <c r="AQ97" s="21"/>
      <c r="AR97" s="17"/>
      <c r="AS97" s="17"/>
      <c r="AT97" s="17"/>
      <c r="AU97" s="17"/>
      <c r="AV97" s="17"/>
      <c r="AW97" s="21"/>
      <c r="AX97" s="21"/>
    </row>
    <row r="98" customFormat="false" ht="12" hidden="false" customHeight="false" outlineLevel="0" collapsed="false">
      <c r="AK98" s="21"/>
      <c r="AL98" s="21"/>
      <c r="AM98" s="21"/>
      <c r="AN98" s="21"/>
      <c r="AO98" s="21"/>
      <c r="AP98" s="21"/>
      <c r="AQ98" s="21"/>
      <c r="AR98" s="17"/>
      <c r="AS98" s="17"/>
      <c r="AT98" s="17"/>
      <c r="AU98" s="17"/>
      <c r="AV98" s="17"/>
      <c r="AW98" s="21"/>
      <c r="AX98" s="21"/>
    </row>
    <row r="99" customFormat="false" ht="12" hidden="false" customHeight="false" outlineLevel="0" collapsed="false">
      <c r="AK99" s="21"/>
      <c r="AL99" s="21"/>
      <c r="AM99" s="21"/>
      <c r="AN99" s="21"/>
      <c r="AO99" s="21"/>
      <c r="AP99" s="21"/>
      <c r="AQ99" s="21"/>
      <c r="AR99" s="17"/>
      <c r="AS99" s="17"/>
      <c r="AT99" s="17"/>
      <c r="AU99" s="17"/>
      <c r="AV99" s="17"/>
      <c r="AW99" s="21"/>
      <c r="AX99" s="21"/>
      <c r="AZ99" s="95"/>
    </row>
    <row r="100" customFormat="false" ht="12" hidden="false" customHeight="false" outlineLevel="0" collapsed="false">
      <c r="AK100" s="21"/>
      <c r="AL100" s="21"/>
      <c r="AM100" s="21"/>
      <c r="AN100" s="17"/>
      <c r="AO100" s="17"/>
      <c r="AP100" s="21"/>
      <c r="AQ100" s="17"/>
      <c r="AR100" s="17"/>
      <c r="AS100" s="17"/>
      <c r="AT100" s="17"/>
      <c r="AU100" s="17"/>
      <c r="AV100" s="17"/>
      <c r="AW100" s="21"/>
      <c r="AX100" s="21"/>
      <c r="BC100" s="123"/>
      <c r="BD100" s="123"/>
    </row>
    <row r="101" customFormat="false" ht="12" hidden="false" customHeight="false" outlineLevel="0" collapsed="false">
      <c r="AK101" s="21"/>
      <c r="AL101" s="21"/>
      <c r="AM101" s="21"/>
      <c r="AN101" s="17"/>
      <c r="AO101" s="17"/>
      <c r="AP101" s="21"/>
      <c r="AQ101" s="17"/>
      <c r="AR101" s="17"/>
      <c r="AS101" s="17"/>
      <c r="AT101" s="17"/>
      <c r="AU101" s="17"/>
      <c r="AV101" s="17"/>
      <c r="AW101" s="21"/>
      <c r="AX101" s="21"/>
    </row>
    <row r="102" customFormat="false" ht="12" hidden="false" customHeight="false" outlineLevel="0" collapsed="false"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customFormat="false" ht="12" hidden="false" customHeight="false" outlineLevel="0" collapsed="false"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6:AV73 AK6:AX60 AK90:AX103 BB46:BB59">
    <cfRule type="expression" priority="2" aboveAverage="0" equalAverage="0" bottom="0" percent="0" rank="0" text="" dxfId="4">
      <formula>ABS(AK6)&lt;0.1</formula>
    </cfRule>
  </conditionalFormatting>
  <conditionalFormatting sqref="BR172:BR174">
    <cfRule type="cellIs" priority="3" operator="equal" aboveAverage="0" equalAverage="0" bottom="0" percent="0" rank="0" text="" dxfId="5">
      <formula>"VIRHE!"</formula>
    </cfRule>
    <cfRule type="cellIs" priority="4" operator="equal" aboveAverage="0" equalAverage="0" bottom="0" percent="0" rank="0" text="" dxfId="6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B9" colorId="64" zoomScale="100" zoomScaleNormal="100" zoomScalePageLayoutView="100" workbookViewId="0">
      <selection pane="topLeft" activeCell="AT45" activeCellId="0" sqref="AT45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12.28"/>
    <col collapsed="false" customWidth="true" hidden="false" outlineLevel="0" max="40" min="38" style="34" width="13.13"/>
    <col collapsed="false" customWidth="true" hidden="false" outlineLevel="0" max="41" min="41" style="34" width="13.28"/>
    <col collapsed="false" customWidth="true" hidden="false" outlineLevel="0" max="44" min="42" style="34" width="13.13"/>
    <col collapsed="false" customWidth="true" hidden="false" outlineLevel="0" max="45" min="45" style="34" width="12.28"/>
    <col collapsed="false" customWidth="true" hidden="false" outlineLevel="0" max="46" min="46" style="34" width="12.57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49" min="49" style="34" width="11.57"/>
    <col collapsed="false" customWidth="true" hidden="false" outlineLevel="0" max="50" min="50" style="34" width="17.14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P40" s="7"/>
      <c r="AQ40" s="7"/>
      <c r="AR40" s="7"/>
      <c r="AS40" s="7"/>
      <c r="AT40" s="7"/>
      <c r="AU40" s="7" t="s">
        <v>97</v>
      </c>
      <c r="AV40" s="7" t="s">
        <v>98</v>
      </c>
      <c r="AW40" s="7"/>
      <c r="AX40" s="34" t="s">
        <v>99</v>
      </c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 t="s">
        <v>100</v>
      </c>
      <c r="AN41" s="7"/>
      <c r="AO41" s="7"/>
      <c r="AP41" s="7"/>
      <c r="AQ41" s="7"/>
      <c r="AR41" s="7"/>
      <c r="AS41" s="7" t="s">
        <v>100</v>
      </c>
      <c r="AT41" s="7"/>
      <c r="AU41" s="21" t="n">
        <v>1000000000000</v>
      </c>
      <c r="AV41" s="21" t="n">
        <v>1000000</v>
      </c>
      <c r="AW41" s="7"/>
      <c r="AX41" s="21" t="n">
        <v>1000000000</v>
      </c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21" t="n">
        <f aca="false">AX41</f>
        <v>1000000000</v>
      </c>
      <c r="AN42" s="7"/>
      <c r="AO42" s="7"/>
      <c r="AP42" s="7"/>
      <c r="AQ42" s="7"/>
      <c r="AR42" s="7"/>
      <c r="AS42" s="21" t="n">
        <f aca="false">AX41</f>
        <v>1000000000</v>
      </c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101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/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E46" s="7"/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E47" s="37"/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AM8+BC8+AM27+AM42</f>
        <v>2750000000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s">
        <v>44</v>
      </c>
      <c r="BA48" s="1"/>
      <c r="BB48" s="13" t="n">
        <f aca="false">AY8+BO8+AY27</f>
        <v>-13333333.3333333</v>
      </c>
      <c r="BC48" s="1" t="s">
        <v>91</v>
      </c>
      <c r="BE48" s="37"/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E49" s="37"/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E51" s="37"/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E52" s="37"/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E53" s="41"/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AS14+BI14+AS33+AS42</f>
        <v>2750000000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s">
        <v>102</v>
      </c>
      <c r="BA54" s="1"/>
      <c r="BB54" s="13" t="n">
        <f aca="false">AY14+BO14+AY33</f>
        <v>6666666.66666667</v>
      </c>
      <c r="BC54" s="1" t="s">
        <v>92</v>
      </c>
      <c r="BE54" s="37"/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E55" s="41"/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E56" s="41"/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E57" s="41"/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E58" s="41"/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e">
        <f aca="false" t="array" ref="BB64:BB68">BB93:BB97</f>
        <v>#NAME?</v>
      </c>
      <c r="BC64" s="34" t="e">
        <f aca="false" t="array" ref="BC64:BC69">MMULT(B45:G50,BB64:BB69)</f>
        <v>#NAME?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3</v>
      </c>
      <c r="AL65" s="10" t="n">
        <v>4</v>
      </c>
      <c r="AM65" s="10" t="n">
        <v>5</v>
      </c>
      <c r="AN65" s="10" t="n">
        <v>6</v>
      </c>
      <c r="AO65" s="10" t="n">
        <v>9</v>
      </c>
      <c r="AP65" s="10" t="n">
        <v>10</v>
      </c>
      <c r="AQ65" s="10" t="n">
        <v>11</v>
      </c>
      <c r="AR65" s="10" t="n">
        <v>12</v>
      </c>
      <c r="AS65" s="10" t="n">
        <v>13</v>
      </c>
      <c r="AT65" s="10" t="n">
        <v>14</v>
      </c>
      <c r="AU65" s="7" t="s">
        <v>37</v>
      </c>
      <c r="AV65" s="10" t="s">
        <v>38</v>
      </c>
      <c r="AW65" s="7" t="s">
        <v>39</v>
      </c>
      <c r="AX65" s="47" t="s">
        <v>10</v>
      </c>
      <c r="AY65" s="1"/>
      <c r="AZ65" s="1"/>
      <c r="BB65" s="132" t="e">
        <v>#NAME?</v>
      </c>
      <c r="BC65" s="34" t="e">
        <v>#NAME?</v>
      </c>
      <c r="BE65" s="132"/>
    </row>
    <row r="66" customFormat="false" ht="12" hidden="false" customHeight="false" outlineLevel="0" collapsed="false">
      <c r="AJ66" s="11" t="n">
        <v>3</v>
      </c>
      <c r="AK66" s="95" t="n">
        <f aca="false" t="array" ref="AK66:AN69">AM48:AP51</f>
        <v>2750000000</v>
      </c>
      <c r="AL66" s="34" t="n">
        <v>656250</v>
      </c>
      <c r="AM66" s="34" t="n">
        <v>-4.01837230970225E-011</v>
      </c>
      <c r="AN66" s="34" t="n">
        <v>0</v>
      </c>
      <c r="AO66" s="95" t="n">
        <f aca="false" t="array" ref="AO66:AT69">AS48:AX51</f>
        <v>0</v>
      </c>
      <c r="AP66" s="34" t="n">
        <v>0</v>
      </c>
      <c r="AQ66" s="34" t="n">
        <v>0</v>
      </c>
      <c r="AR66" s="34" t="n">
        <v>0</v>
      </c>
      <c r="AS66" s="34" t="n">
        <v>875000000</v>
      </c>
      <c r="AT66" s="34" t="n">
        <v>0</v>
      </c>
      <c r="AX66" s="95" t="n">
        <f aca="false" t="array" ref="AX66:AX69">BB48:BB51</f>
        <v>-13333333.3333333</v>
      </c>
      <c r="BB66" s="34" t="e">
        <v>#NAME?</v>
      </c>
      <c r="BC66" s="34" t="e">
        <v>#NAME?</v>
      </c>
    </row>
    <row r="67" customFormat="false" ht="12" hidden="false" customHeight="false" outlineLevel="0" collapsed="false">
      <c r="AJ67" s="11" t="n">
        <v>4</v>
      </c>
      <c r="AK67" s="34" t="n">
        <v>656250</v>
      </c>
      <c r="AL67" s="13" t="n">
        <v>700328.125</v>
      </c>
      <c r="AM67" s="13" t="n">
        <v>3.21268866160695E-011</v>
      </c>
      <c r="AN67" s="13" t="n">
        <v>0</v>
      </c>
      <c r="AO67" s="34" t="n">
        <v>0</v>
      </c>
      <c r="AP67" s="13" t="n">
        <v>-700000</v>
      </c>
      <c r="AQ67" s="13" t="n">
        <v>0</v>
      </c>
      <c r="AR67" s="13" t="n">
        <v>0</v>
      </c>
      <c r="AS67" s="13" t="n">
        <v>656250</v>
      </c>
      <c r="AT67" s="13" t="n">
        <v>0</v>
      </c>
      <c r="AU67" s="13"/>
      <c r="AV67" s="21" t="str">
        <f aca="false" t="array" ref="AV67:AV69">AZ49:AZ51</f>
        <v>r21</v>
      </c>
      <c r="AW67" s="1"/>
      <c r="AX67" s="50" t="n">
        <v>20000</v>
      </c>
      <c r="AY67" s="1"/>
      <c r="AZ67" s="1"/>
      <c r="BB67" s="34" t="e">
        <v>#NAME?</v>
      </c>
      <c r="BC67" s="34" t="e">
        <v>#NAME?</v>
      </c>
    </row>
    <row r="68" customFormat="false" ht="12" hidden="false" customHeight="false" outlineLevel="0" collapsed="false">
      <c r="AJ68" s="11" t="n">
        <v>5</v>
      </c>
      <c r="AK68" s="34" t="n">
        <v>-4.01837230970225E-011</v>
      </c>
      <c r="AL68" s="13" t="n">
        <v>3.21268866160695E-011</v>
      </c>
      <c r="AM68" s="13" t="n">
        <v>525777.777777778</v>
      </c>
      <c r="AN68" s="13" t="n">
        <v>2333333.33333333</v>
      </c>
      <c r="AO68" s="34" t="n">
        <v>0</v>
      </c>
      <c r="AP68" s="13" t="n">
        <v>0</v>
      </c>
      <c r="AQ68" s="13" t="n">
        <v>-777.777777777778</v>
      </c>
      <c r="AR68" s="13" t="n">
        <v>2333333.33333333</v>
      </c>
      <c r="AS68" s="13" t="n">
        <v>-4.01837230970225E-011</v>
      </c>
      <c r="AT68" s="13" t="n">
        <v>0</v>
      </c>
      <c r="AU68" s="13"/>
      <c r="AV68" s="21" t="str">
        <v>r22</v>
      </c>
      <c r="AW68" s="1"/>
      <c r="AX68" s="51" t="n">
        <v>-30000</v>
      </c>
      <c r="AY68" s="1"/>
      <c r="AZ68" s="1"/>
      <c r="BB68" s="34" t="e">
        <v>#NAME?</v>
      </c>
      <c r="BC68" s="34" t="e">
        <v>#NAME?</v>
      </c>
      <c r="BO68" s="100"/>
      <c r="BR68" s="133"/>
    </row>
    <row r="69" customFormat="false" ht="12" hidden="false" customHeight="false" outlineLevel="0" collapsed="false">
      <c r="AJ69" s="11" t="n">
        <v>6</v>
      </c>
      <c r="AK69" s="34" t="n">
        <v>0</v>
      </c>
      <c r="AL69" s="13" t="n">
        <v>0</v>
      </c>
      <c r="AM69" s="13" t="n">
        <v>2333333.33333333</v>
      </c>
      <c r="AN69" s="13" t="n">
        <v>9333333333.33333</v>
      </c>
      <c r="AO69" s="34" t="n">
        <v>0</v>
      </c>
      <c r="AP69" s="13" t="n">
        <v>0</v>
      </c>
      <c r="AQ69" s="13" t="n">
        <v>-2333333.33333333</v>
      </c>
      <c r="AR69" s="13" t="n">
        <v>4666666666.66667</v>
      </c>
      <c r="AS69" s="13" t="n">
        <v>0</v>
      </c>
      <c r="AT69" s="13" t="n">
        <v>0</v>
      </c>
      <c r="AU69" s="13"/>
      <c r="AV69" s="21" t="str">
        <v>r23</v>
      </c>
      <c r="AW69" s="1"/>
      <c r="AX69" s="51" t="n">
        <v>-30000000</v>
      </c>
      <c r="AY69" s="1"/>
      <c r="AZ69" s="1"/>
      <c r="BB69" s="34" t="e">
        <f aca="false">BB106</f>
        <v>#NAME?</v>
      </c>
      <c r="BC69" s="34" t="e">
        <v>#NAME?</v>
      </c>
      <c r="BR69" s="133"/>
    </row>
    <row r="70" customFormat="false" ht="12" hidden="false" customHeight="false" outlineLevel="0" collapsed="false">
      <c r="AJ70" s="11" t="n">
        <v>9</v>
      </c>
      <c r="AK70" s="95" t="n">
        <f aca="false" t="array" ref="AK70:AN75">AM54:AP59</f>
        <v>0</v>
      </c>
      <c r="AL70" s="34" t="n">
        <v>0</v>
      </c>
      <c r="AM70" s="34" t="n">
        <v>0</v>
      </c>
      <c r="AN70" s="34" t="n">
        <v>0</v>
      </c>
      <c r="AO70" s="95" t="n">
        <f aca="false" t="array" ref="AO70:AT75">AS54:AX59</f>
        <v>2750000000</v>
      </c>
      <c r="AP70" s="34" t="n">
        <v>656250</v>
      </c>
      <c r="AQ70" s="34" t="n">
        <v>-4.01837230970225E-011</v>
      </c>
      <c r="AR70" s="34" t="n">
        <v>0</v>
      </c>
      <c r="AS70" s="34" t="n">
        <v>0</v>
      </c>
      <c r="AT70" s="34" t="n">
        <v>875000000</v>
      </c>
      <c r="AX70" s="95" t="n">
        <f aca="false" t="array" ref="AX70:AX75">BB54:BB59</f>
        <v>6666666.66666667</v>
      </c>
      <c r="BR70" s="133"/>
    </row>
    <row r="71" customFormat="false" ht="12" hidden="false" customHeight="false" outlineLevel="0" collapsed="false">
      <c r="AJ71" s="11" t="n">
        <v>10</v>
      </c>
      <c r="AK71" s="34" t="n">
        <v>0</v>
      </c>
      <c r="AL71" s="13" t="n">
        <v>-700000</v>
      </c>
      <c r="AM71" s="13" t="n">
        <v>0</v>
      </c>
      <c r="AN71" s="13" t="n">
        <v>0</v>
      </c>
      <c r="AO71" s="34" t="n">
        <v>656250</v>
      </c>
      <c r="AP71" s="13" t="n">
        <v>700328.125</v>
      </c>
      <c r="AQ71" s="13" t="n">
        <v>3.21268866160695E-011</v>
      </c>
      <c r="AR71" s="13" t="n">
        <v>0</v>
      </c>
      <c r="AS71" s="13" t="n">
        <v>0</v>
      </c>
      <c r="AT71" s="13" t="n">
        <v>656250</v>
      </c>
      <c r="AU71" s="13"/>
      <c r="AV71" s="21" t="str">
        <f aca="false" t="array" ref="AV71:AV75">AZ55:AZ59</f>
        <v>r41</v>
      </c>
      <c r="AW71" s="1"/>
      <c r="AX71" s="50" t="n">
        <v>-10000</v>
      </c>
      <c r="AY71" s="1"/>
      <c r="AZ71" s="1"/>
      <c r="BR71" s="133"/>
    </row>
    <row r="72" customFormat="false" ht="12" hidden="false" customHeight="false" outlineLevel="0" collapsed="false">
      <c r="AJ72" s="11" t="n">
        <v>11</v>
      </c>
      <c r="AK72" s="34" t="n">
        <v>0</v>
      </c>
      <c r="AL72" s="13" t="n">
        <v>0</v>
      </c>
      <c r="AM72" s="1" t="n">
        <v>-777.777777777778</v>
      </c>
      <c r="AN72" s="1" t="n">
        <v>-2333333.33333333</v>
      </c>
      <c r="AO72" s="34" t="n">
        <v>-4.01837230970225E-011</v>
      </c>
      <c r="AP72" s="1" t="n">
        <v>3.21268866160695E-011</v>
      </c>
      <c r="AQ72" s="13" t="n">
        <v>525777.777777778</v>
      </c>
      <c r="AR72" s="1" t="n">
        <v>-2333333.33333333</v>
      </c>
      <c r="AS72" s="1" t="n">
        <v>0</v>
      </c>
      <c r="AT72" s="1" t="n">
        <v>-4.01837230970225E-011</v>
      </c>
      <c r="AU72" s="1" t="s">
        <v>37</v>
      </c>
      <c r="AV72" s="7" t="str">
        <v>r42</v>
      </c>
      <c r="AW72" s="1"/>
      <c r="AX72" s="13" t="n">
        <v>-30000</v>
      </c>
      <c r="AY72" s="1"/>
      <c r="AZ72" s="1"/>
      <c r="BC72" s="123"/>
      <c r="BD72" s="123"/>
      <c r="BR72" s="133"/>
    </row>
    <row r="73" customFormat="false" ht="12" hidden="false" customHeight="false" outlineLevel="0" collapsed="false">
      <c r="AJ73" s="11" t="n">
        <v>12</v>
      </c>
      <c r="AK73" s="34" t="n">
        <v>0</v>
      </c>
      <c r="AL73" s="1" t="n">
        <v>0</v>
      </c>
      <c r="AM73" s="1" t="n">
        <v>2333333.33333333</v>
      </c>
      <c r="AN73" s="1" t="n">
        <v>4666666666.66667</v>
      </c>
      <c r="AO73" s="34" t="n">
        <v>0</v>
      </c>
      <c r="AP73" s="1" t="n">
        <v>0</v>
      </c>
      <c r="AQ73" s="1" t="n">
        <v>-2333333.33333333</v>
      </c>
      <c r="AR73" s="1" t="n">
        <v>9333333333.33333</v>
      </c>
      <c r="AS73" s="1" t="n">
        <v>0</v>
      </c>
      <c r="AT73" s="1" t="n">
        <v>0</v>
      </c>
      <c r="AU73" s="1"/>
      <c r="AV73" s="7" t="str">
        <v>r43</v>
      </c>
      <c r="AW73" s="1"/>
      <c r="AX73" s="1" t="n">
        <v>30000000</v>
      </c>
      <c r="AY73" s="1"/>
      <c r="AZ73" s="1"/>
      <c r="BR73" s="133"/>
    </row>
    <row r="74" customFormat="false" ht="12" hidden="false" customHeight="false" outlineLevel="0" collapsed="false">
      <c r="AJ74" s="11" t="n">
        <v>13</v>
      </c>
      <c r="AK74" s="34" t="n">
        <v>875000000</v>
      </c>
      <c r="AL74" s="1" t="n">
        <v>656250</v>
      </c>
      <c r="AM74" s="1" t="n">
        <v>-4.01837230970225E-011</v>
      </c>
      <c r="AN74" s="1" t="n">
        <v>0</v>
      </c>
      <c r="AO74" s="34" t="n">
        <v>0</v>
      </c>
      <c r="AP74" s="1" t="n">
        <v>0</v>
      </c>
      <c r="AQ74" s="1" t="n">
        <v>0</v>
      </c>
      <c r="AR74" s="1" t="n">
        <v>0</v>
      </c>
      <c r="AS74" s="1" t="n">
        <v>1750000000</v>
      </c>
      <c r="AT74" s="1" t="n">
        <v>0</v>
      </c>
      <c r="AU74" s="1"/>
      <c r="AV74" s="7" t="str">
        <v>r24</v>
      </c>
      <c r="AW74" s="1"/>
      <c r="AX74" s="1" t="n">
        <v>13333333.3333333</v>
      </c>
      <c r="AY74" s="1"/>
      <c r="AZ74" s="1"/>
      <c r="BR74" s="133"/>
    </row>
    <row r="75" customFormat="false" ht="12" hidden="false" customHeight="false" outlineLevel="0" collapsed="false">
      <c r="AJ75" s="11" t="n">
        <v>14</v>
      </c>
      <c r="AK75" s="34" t="n">
        <v>0</v>
      </c>
      <c r="AL75" s="1" t="n">
        <v>0</v>
      </c>
      <c r="AM75" s="1" t="n">
        <v>0</v>
      </c>
      <c r="AN75" s="1" t="n">
        <v>0</v>
      </c>
      <c r="AO75" s="34" t="n">
        <v>875000000</v>
      </c>
      <c r="AP75" s="1" t="n">
        <v>656250</v>
      </c>
      <c r="AQ75" s="1" t="n">
        <v>-4.01837230970225E-011</v>
      </c>
      <c r="AR75" s="1" t="n">
        <v>0</v>
      </c>
      <c r="AS75" s="1" t="n">
        <v>0</v>
      </c>
      <c r="AT75" s="1" t="n">
        <v>1750000000</v>
      </c>
      <c r="AU75" s="1"/>
      <c r="AV75" s="7" t="str">
        <v>r44</v>
      </c>
      <c r="AW75" s="1"/>
      <c r="AX75" s="1" t="n">
        <v>-6666666.66666667</v>
      </c>
      <c r="AY75" s="1"/>
      <c r="AZ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"/>
      <c r="AV76" s="1"/>
      <c r="AW76" s="1"/>
      <c r="AX76" s="1"/>
      <c r="AY76" s="1"/>
      <c r="AZ76" s="1"/>
    </row>
    <row r="77" customFormat="false" ht="12" hidden="false" customHeight="false" outlineLevel="0" collapsed="false">
      <c r="AG77" s="100"/>
      <c r="AH77" s="100"/>
      <c r="AI77" s="100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2" hidden="false" customHeight="false" outlineLevel="0" collapsed="false">
      <c r="AJ78" s="10"/>
      <c r="AK78" s="10" t="n">
        <v>3</v>
      </c>
      <c r="AL78" s="10" t="n">
        <v>4</v>
      </c>
      <c r="AM78" s="10" t="n">
        <v>5</v>
      </c>
      <c r="AN78" s="10" t="n">
        <v>6</v>
      </c>
      <c r="AO78" s="10" t="n">
        <v>9</v>
      </c>
      <c r="AP78" s="10" t="n">
        <v>10</v>
      </c>
      <c r="AQ78" s="10" t="n">
        <v>11</v>
      </c>
      <c r="AR78" s="10" t="n">
        <v>12</v>
      </c>
      <c r="AS78" s="10" t="n">
        <v>13</v>
      </c>
      <c r="AT78" s="10" t="n">
        <v>14</v>
      </c>
      <c r="AU78" s="7" t="s">
        <v>37</v>
      </c>
      <c r="AV78" s="47" t="s">
        <v>10</v>
      </c>
      <c r="AW78" s="7" t="s">
        <v>39</v>
      </c>
      <c r="AX78" s="10" t="s">
        <v>38</v>
      </c>
      <c r="AY78" s="1"/>
      <c r="AZ78" s="1"/>
    </row>
    <row r="79" customFormat="false" ht="12" hidden="false" customHeight="false" outlineLevel="0" collapsed="false">
      <c r="AJ79" s="11" t="n">
        <v>3</v>
      </c>
      <c r="AK79" s="34" t="n">
        <f aca="false" t="array" ref="AK79:AT88">MINVERSE(AK66:AT75)</f>
        <v>7.16223406501651E-010</v>
      </c>
      <c r="AL79" s="1" t="n">
        <v>-2.00005067439259E-006</v>
      </c>
      <c r="AM79" s="1" t="n">
        <v>1.22476057257248E-022</v>
      </c>
      <c r="AN79" s="1" t="n">
        <v>-3.79244748708235E-030</v>
      </c>
      <c r="AO79" s="34" t="n">
        <v>2.83776593498602E-010</v>
      </c>
      <c r="AP79" s="1" t="n">
        <v>-1.9999493256092E-006</v>
      </c>
      <c r="AQ79" s="1" t="n">
        <v>1.22453302572332E-022</v>
      </c>
      <c r="AR79" s="1" t="n">
        <v>-3.79244748713591E-030</v>
      </c>
      <c r="AS79" s="1" t="n">
        <v>3.91907299646395E-010</v>
      </c>
      <c r="AT79" s="1" t="n">
        <v>6.08092700354147E-010</v>
      </c>
      <c r="AU79" s="1"/>
      <c r="AV79" s="13" t="n">
        <f aca="false" t="array" ref="AV79:AV88">AX66:AX75</f>
        <v>-13333333.3333333</v>
      </c>
      <c r="AW79" s="1"/>
      <c r="AX79" s="36" t="e">
        <f aca="false" t="array" ref="AX79:AX88">MMULT(AK79:AT88,_xlfn.anchorarray(AV79))</f>
        <v>#NAME?</v>
      </c>
      <c r="AY79" s="1" t="s">
        <v>78</v>
      </c>
      <c r="AZ79" s="1" t="e">
        <f aca="false">1000*AX79</f>
        <v>#NAME?</v>
      </c>
      <c r="BK79" s="100"/>
    </row>
    <row r="80" customFormat="false" ht="12" hidden="false" customHeight="false" outlineLevel="0" collapsed="false">
      <c r="AJ80" s="11" t="n">
        <v>4</v>
      </c>
      <c r="AK80" s="34" t="n">
        <v>-2.00005067439259E-006</v>
      </c>
      <c r="AL80" s="1" t="n">
        <v>0.0140955952290525</v>
      </c>
      <c r="AM80" s="13" t="n">
        <v>-8.63047960974973E-019</v>
      </c>
      <c r="AN80" s="13" t="n">
        <v>7.2888870653519E-027</v>
      </c>
      <c r="AO80" s="34" t="n">
        <v>-1.9999493256092E-006</v>
      </c>
      <c r="AP80" s="1" t="n">
        <v>0.0140948809614362</v>
      </c>
      <c r="AQ80" s="1" t="n">
        <v>-8.63004227652625E-019</v>
      </c>
      <c r="AR80" s="1" t="n">
        <v>7.28888706573259E-027</v>
      </c>
      <c r="AS80" s="1" t="n">
        <v>-4.28582287369841E-006</v>
      </c>
      <c r="AT80" s="1" t="n">
        <v>-4.28560569773399E-006</v>
      </c>
      <c r="AU80" s="1"/>
      <c r="AV80" s="34" t="n">
        <v>20000</v>
      </c>
      <c r="AW80" s="1"/>
      <c r="AX80" s="36" t="e">
        <v>#NAME?</v>
      </c>
      <c r="AY80" s="1" t="s">
        <v>12</v>
      </c>
      <c r="AZ80" s="1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1" t="n">
        <v>5</v>
      </c>
      <c r="AK81" s="34" t="n">
        <v>1.22476057257248E-022</v>
      </c>
      <c r="AL81" s="1" t="n">
        <v>-8.63047960974972E-019</v>
      </c>
      <c r="AM81" s="13" t="n">
        <v>1.9047619047619E-006</v>
      </c>
      <c r="AN81" s="13" t="n">
        <v>-3.17460317460314E-010</v>
      </c>
      <c r="AO81" s="34" t="n">
        <v>1.22453302572332E-022</v>
      </c>
      <c r="AP81" s="1" t="n">
        <v>-8.63004227652625E-019</v>
      </c>
      <c r="AQ81" s="1" t="n">
        <v>0</v>
      </c>
      <c r="AR81" s="1" t="n">
        <v>-3.1746031746029E-010</v>
      </c>
      <c r="AS81" s="1" t="n">
        <v>2.62448694122674E-022</v>
      </c>
      <c r="AT81" s="1" t="n">
        <v>2.62399934083568E-022</v>
      </c>
      <c r="AU81" s="1"/>
      <c r="AV81" s="1" t="n">
        <v>-30000</v>
      </c>
      <c r="AW81" s="1"/>
      <c r="AX81" s="36" t="e">
        <v>#NAME?</v>
      </c>
      <c r="AY81" s="1" t="s">
        <v>12</v>
      </c>
      <c r="AZ81" s="1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1" t="n">
        <v>6</v>
      </c>
      <c r="AK82" s="34" t="n">
        <v>-3.79244748601887E-030</v>
      </c>
      <c r="AL82" s="1" t="n">
        <v>7.28888705785753E-027</v>
      </c>
      <c r="AM82" s="1" t="n">
        <v>-3.17460317460318E-010</v>
      </c>
      <c r="AN82" s="1" t="n">
        <v>1.42962962962963E-010</v>
      </c>
      <c r="AO82" s="34" t="n">
        <v>3.7924474860221E-030</v>
      </c>
      <c r="AP82" s="1" t="n">
        <v>-7.28888705788977E-027</v>
      </c>
      <c r="AQ82" s="1" t="n">
        <v>3.17460317460318E-010</v>
      </c>
      <c r="AR82" s="1" t="n">
        <v>-7.13227513227513E-011</v>
      </c>
      <c r="AS82" s="1" t="n">
        <v>-8.12667318432615E-030</v>
      </c>
      <c r="AT82" s="1" t="n">
        <v>8.12667318433881E-030</v>
      </c>
      <c r="AU82" s="1"/>
      <c r="AV82" s="1" t="n">
        <v>-30000000</v>
      </c>
      <c r="AW82" s="1"/>
      <c r="AX82" s="36" t="e">
        <v>#NAME?</v>
      </c>
      <c r="AY82" s="1" t="s">
        <v>78</v>
      </c>
      <c r="AZ82" s="1" t="e">
        <f aca="false">1000*AX82</f>
        <v>#NAME?</v>
      </c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1" t="n">
        <v>9</v>
      </c>
      <c r="AK83" s="34" t="n">
        <v>2.83776593498602E-010</v>
      </c>
      <c r="AL83" s="1" t="n">
        <v>-1.9999493256092E-006</v>
      </c>
      <c r="AM83" s="1" t="n">
        <v>1.22453302572332E-022</v>
      </c>
      <c r="AN83" s="1" t="n">
        <v>3.79244748495997E-030</v>
      </c>
      <c r="AO83" s="34" t="n">
        <v>7.16223406501651E-010</v>
      </c>
      <c r="AP83" s="1" t="n">
        <v>-2.00005067439259E-006</v>
      </c>
      <c r="AQ83" s="1" t="n">
        <v>1.22476057257248E-022</v>
      </c>
      <c r="AR83" s="1" t="n">
        <v>3.7924474849058E-030</v>
      </c>
      <c r="AS83" s="1" t="n">
        <v>6.08092700354148E-010</v>
      </c>
      <c r="AT83" s="1" t="n">
        <v>3.91907299646395E-010</v>
      </c>
      <c r="AU83" s="1"/>
      <c r="AV83" s="13" t="n">
        <v>6666666.66666667</v>
      </c>
      <c r="AW83" s="1"/>
      <c r="AX83" s="36" t="e">
        <v>#NAME?</v>
      </c>
      <c r="AY83" s="1" t="s">
        <v>78</v>
      </c>
      <c r="AZ83" s="1" t="e">
        <f aca="false">1000*AX83</f>
        <v>#NAME?</v>
      </c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1" t="n">
        <v>10</v>
      </c>
      <c r="AK84" s="34" t="n">
        <v>-1.9999493256092E-006</v>
      </c>
      <c r="AL84" s="1" t="n">
        <v>0.0140948809614362</v>
      </c>
      <c r="AM84" s="1" t="n">
        <v>-8.63004227652625E-019</v>
      </c>
      <c r="AN84" s="1" t="n">
        <v>-7.28888705039484E-027</v>
      </c>
      <c r="AO84" s="34" t="n">
        <v>-2.00005067439259E-006</v>
      </c>
      <c r="AP84" s="1" t="n">
        <v>0.0140955952290525</v>
      </c>
      <c r="AQ84" s="13" t="n">
        <v>-8.63047960974972E-019</v>
      </c>
      <c r="AR84" s="1" t="n">
        <v>-7.28888705001304E-027</v>
      </c>
      <c r="AS84" s="1" t="n">
        <v>-4.285605697734E-006</v>
      </c>
      <c r="AT84" s="1" t="n">
        <v>-4.2858228736984E-006</v>
      </c>
      <c r="AU84" s="1"/>
      <c r="AV84" s="1" t="n">
        <v>-10000</v>
      </c>
      <c r="AW84" s="1"/>
      <c r="AX84" s="36" t="e">
        <v>#NAME?</v>
      </c>
      <c r="AY84" s="1" t="s">
        <v>12</v>
      </c>
      <c r="AZ84" s="1" t="e">
        <f aca="false">1000*AX84</f>
        <v>#NAME?</v>
      </c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1" t="n">
        <v>11</v>
      </c>
      <c r="AK85" s="34" t="n">
        <v>1.22453302572332E-022</v>
      </c>
      <c r="AL85" s="1" t="n">
        <v>-8.63004227652625E-019</v>
      </c>
      <c r="AM85" s="1" t="n">
        <v>-6.47878198845767E-025</v>
      </c>
      <c r="AN85" s="1" t="n">
        <v>3.17460317460317E-010</v>
      </c>
      <c r="AO85" s="34" t="n">
        <v>1.22476057257248E-022</v>
      </c>
      <c r="AP85" s="1" t="n">
        <v>-8.63047960974972E-019</v>
      </c>
      <c r="AQ85" s="13" t="n">
        <v>1.9047619047619E-006</v>
      </c>
      <c r="AR85" s="1" t="n">
        <v>3.17460317460317E-010</v>
      </c>
      <c r="AS85" s="1" t="n">
        <v>2.62399934083568E-022</v>
      </c>
      <c r="AT85" s="1" t="n">
        <v>2.62448694122674E-022</v>
      </c>
      <c r="AU85" s="1"/>
      <c r="AV85" s="1" t="n">
        <v>-30000</v>
      </c>
      <c r="AW85" s="1"/>
      <c r="AX85" s="36" t="e">
        <v>#NAME?</v>
      </c>
      <c r="AY85" s="1" t="s">
        <v>12</v>
      </c>
      <c r="AZ85" s="1" t="e">
        <f aca="false">1000*AX85</f>
        <v>#NAME?</v>
      </c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J86" s="11" t="n">
        <v>12</v>
      </c>
      <c r="AK86" s="34" t="n">
        <v>-3.79244748601887E-030</v>
      </c>
      <c r="AL86" s="1" t="n">
        <v>7.28888705785753E-027</v>
      </c>
      <c r="AM86" s="1" t="n">
        <v>-3.17460317460318E-010</v>
      </c>
      <c r="AN86" s="1" t="n">
        <v>-7.13227513227513E-011</v>
      </c>
      <c r="AO86" s="34" t="n">
        <v>3.7924474860221E-030</v>
      </c>
      <c r="AP86" s="1" t="n">
        <v>-7.28888705788977E-027</v>
      </c>
      <c r="AQ86" s="1" t="n">
        <v>3.17460317460318E-010</v>
      </c>
      <c r="AR86" s="1" t="n">
        <v>1.42962962962963E-010</v>
      </c>
      <c r="AS86" s="1" t="n">
        <v>-8.12667318432615E-030</v>
      </c>
      <c r="AT86" s="1" t="n">
        <v>8.12667318433881E-030</v>
      </c>
      <c r="AU86" s="1"/>
      <c r="AV86" s="1" t="n">
        <v>30000000</v>
      </c>
      <c r="AW86" s="1"/>
      <c r="AX86" s="36" t="e">
        <v>#NAME?</v>
      </c>
      <c r="AY86" s="1" t="s">
        <v>78</v>
      </c>
      <c r="AZ86" s="1" t="e">
        <f aca="false">1000*AX86</f>
        <v>#NAME?</v>
      </c>
      <c r="BC86" s="138"/>
      <c r="BD86" s="138"/>
      <c r="BE86" s="132"/>
    </row>
    <row r="87" customFormat="false" ht="12" hidden="false" customHeight="false" outlineLevel="0" collapsed="false">
      <c r="AJ87" s="11" t="n">
        <v>13</v>
      </c>
      <c r="AK87" s="34" t="n">
        <v>3.91907299646396E-010</v>
      </c>
      <c r="AL87" s="34" t="n">
        <v>-4.28582287369841E-006</v>
      </c>
      <c r="AM87" s="34" t="n">
        <v>2.62448694122675E-022</v>
      </c>
      <c r="AN87" s="34" t="n">
        <v>-8.12667318660437E-030</v>
      </c>
      <c r="AO87" s="34" t="n">
        <v>6.08092700354148E-010</v>
      </c>
      <c r="AP87" s="34" t="n">
        <v>-4.285605697734E-006</v>
      </c>
      <c r="AQ87" s="34" t="n">
        <v>2.62399934083568E-022</v>
      </c>
      <c r="AR87" s="34" t="n">
        <v>-8.12667318672046E-030</v>
      </c>
      <c r="AS87" s="34" t="n">
        <v>1.98265849924228E-009</v>
      </c>
      <c r="AT87" s="34" t="n">
        <v>1.30305578647317E-009</v>
      </c>
      <c r="AU87" s="1"/>
      <c r="AV87" s="1" t="n">
        <v>13333333.3333333</v>
      </c>
      <c r="AW87" s="1"/>
      <c r="AX87" s="1" t="e">
        <v>#NAME?</v>
      </c>
      <c r="AY87" s="1" t="s">
        <v>78</v>
      </c>
      <c r="AZ87" s="1"/>
      <c r="BB87" s="132"/>
      <c r="BE87" s="132"/>
      <c r="BK87" s="100"/>
    </row>
    <row r="88" customFormat="false" ht="12" hidden="false" customHeight="false" outlineLevel="0" collapsed="false">
      <c r="AJ88" s="11" t="n">
        <v>14</v>
      </c>
      <c r="AK88" s="34" t="n">
        <v>6.08092700354148E-010</v>
      </c>
      <c r="AL88" s="34" t="n">
        <v>-4.28560569773399E-006</v>
      </c>
      <c r="AM88" s="34" t="n">
        <v>2.62399934083568E-022</v>
      </c>
      <c r="AN88" s="34" t="n">
        <v>8.12667318205708E-030</v>
      </c>
      <c r="AO88" s="34" t="n">
        <v>3.91907299646396E-010</v>
      </c>
      <c r="AP88" s="34" t="n">
        <v>-4.28582287369841E-006</v>
      </c>
      <c r="AQ88" s="34" t="n">
        <v>2.62448694122674E-022</v>
      </c>
      <c r="AR88" s="34" t="n">
        <v>8.126673181941E-030</v>
      </c>
      <c r="AS88" s="34" t="n">
        <v>1.30305578647317E-009</v>
      </c>
      <c r="AT88" s="34" t="n">
        <v>1.98265849924227E-009</v>
      </c>
      <c r="AV88" s="34" t="n">
        <v>-6666666.66666667</v>
      </c>
      <c r="AX88" s="34" t="e">
        <v>#NAME?</v>
      </c>
      <c r="AY88" s="34" t="s">
        <v>78</v>
      </c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J91" s="87" t="s">
        <v>103</v>
      </c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J92" s="11"/>
      <c r="AK92" s="11" t="n">
        <v>1</v>
      </c>
      <c r="AL92" s="11" t="n">
        <v>2</v>
      </c>
      <c r="AM92" s="11" t="n">
        <v>3</v>
      </c>
      <c r="AN92" s="11" t="n">
        <v>4</v>
      </c>
      <c r="AO92" s="11" t="n">
        <v>5</v>
      </c>
      <c r="AP92" s="11" t="n">
        <v>6</v>
      </c>
      <c r="AQ92" s="11" t="n">
        <v>7</v>
      </c>
      <c r="AR92" s="11" t="n">
        <v>8</v>
      </c>
      <c r="AS92" s="11" t="n">
        <v>9</v>
      </c>
      <c r="AT92" s="11" t="n">
        <v>10</v>
      </c>
      <c r="AU92" s="11" t="n">
        <v>11</v>
      </c>
      <c r="AV92" s="11" t="n">
        <v>12</v>
      </c>
      <c r="AW92" s="11" t="n">
        <v>13</v>
      </c>
      <c r="AX92" s="11" t="n">
        <v>14</v>
      </c>
      <c r="AZ92" s="10" t="s">
        <v>38</v>
      </c>
      <c r="BB92" s="10" t="s">
        <v>40</v>
      </c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J93" s="11" t="n">
        <v>1</v>
      </c>
      <c r="AK93" s="17" t="n">
        <f aca="false">AK6+BA6+AK25</f>
        <v>328.125</v>
      </c>
      <c r="AL93" s="17" t="n">
        <f aca="false">AL6+BB6+AL25</f>
        <v>3.21268866160695E-011</v>
      </c>
      <c r="AM93" s="17" t="n">
        <f aca="false">AM6+BC6+AM25</f>
        <v>-656250</v>
      </c>
      <c r="AN93" s="17" t="n">
        <f aca="false">AN6+BD6+AN25</f>
        <v>-328.125</v>
      </c>
      <c r="AO93" s="17" t="n">
        <f aca="false">AO6+BE6+AO25</f>
        <v>-3.21268866160695E-011</v>
      </c>
      <c r="AP93" s="17" t="n">
        <f aca="false">AP6+BF6+AP25</f>
        <v>0</v>
      </c>
      <c r="AQ93" s="17" t="n">
        <f aca="false">AQ6+BG6+AQ25</f>
        <v>0</v>
      </c>
      <c r="AR93" s="17" t="n">
        <f aca="false">AR6+BH6+AR25</f>
        <v>0</v>
      </c>
      <c r="AS93" s="17" t="n">
        <f aca="false">AS6+BI6+AS25</f>
        <v>0</v>
      </c>
      <c r="AT93" s="17" t="n">
        <f aca="false">AT6+BJ6+AT25</f>
        <v>0</v>
      </c>
      <c r="AU93" s="17" t="n">
        <f aca="false">AU6+BK6+AU25</f>
        <v>0</v>
      </c>
      <c r="AV93" s="17" t="n">
        <f aca="false">AV6+BL6+AV25</f>
        <v>0</v>
      </c>
      <c r="AW93" s="17" t="n">
        <f aca="false">AW6+BM6+AW25</f>
        <v>-656250</v>
      </c>
      <c r="AX93" s="17" t="n">
        <f aca="false">AX6+BN6+AX25</f>
        <v>0</v>
      </c>
      <c r="AZ93" s="40" t="n">
        <v>0</v>
      </c>
      <c r="BB93" s="7" t="e">
        <f aca="false" t="array" ref="BB93:BB106">MMULT(AK93:AX106,AZ93:AZ106)-BB46:BB59</f>
        <v>#NAME?</v>
      </c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J94" s="11" t="n">
        <v>2</v>
      </c>
      <c r="AK94" s="17" t="n">
        <f aca="false">AK7+BA7+AK26</f>
        <v>3.21268866160695E-011</v>
      </c>
      <c r="AL94" s="17" t="n">
        <f aca="false">AL7+BB7+AL26</f>
        <v>525000</v>
      </c>
      <c r="AM94" s="17" t="n">
        <f aca="false">AM7+BC7+AM26</f>
        <v>4.01837230970225E-011</v>
      </c>
      <c r="AN94" s="17" t="n">
        <f aca="false">AN7+BD7+AN26</f>
        <v>-3.21268866160695E-011</v>
      </c>
      <c r="AO94" s="17" t="n">
        <f aca="false">AO7+BE7+AO26</f>
        <v>-525000</v>
      </c>
      <c r="AP94" s="17" t="n">
        <f aca="false">AP7+BF7+AP26</f>
        <v>0</v>
      </c>
      <c r="AQ94" s="17" t="n">
        <f aca="false">AQ7+BG7+AQ26</f>
        <v>0</v>
      </c>
      <c r="AR94" s="17" t="n">
        <f aca="false">AR7+BH7+AR26</f>
        <v>0</v>
      </c>
      <c r="AS94" s="17" t="n">
        <f aca="false">AS7+BI7+AS26</f>
        <v>0</v>
      </c>
      <c r="AT94" s="17" t="n">
        <f aca="false">AT7+BJ7+AT26</f>
        <v>0</v>
      </c>
      <c r="AU94" s="17" t="n">
        <f aca="false">AU7+BK7+AU26</f>
        <v>0</v>
      </c>
      <c r="AV94" s="17" t="n">
        <f aca="false">AV7+BL7+AV26</f>
        <v>0</v>
      </c>
      <c r="AW94" s="17" t="n">
        <f aca="false">AW7+BM7+AW26</f>
        <v>4.01837230970225E-011</v>
      </c>
      <c r="AX94" s="17" t="n">
        <f aca="false">AX7+BN7+AX26</f>
        <v>0</v>
      </c>
      <c r="AZ94" s="40" t="n">
        <v>0</v>
      </c>
      <c r="BB94" s="37" t="e">
        <v>#NAME?</v>
      </c>
    </row>
    <row r="95" customFormat="false" ht="12" hidden="false" customHeight="false" outlineLevel="0" collapsed="false">
      <c r="AJ95" s="11" t="n">
        <v>3</v>
      </c>
      <c r="AK95" s="17" t="n">
        <f aca="false">AK8+BA8+AK27</f>
        <v>-656250</v>
      </c>
      <c r="AL95" s="17" t="n">
        <f aca="false">AL8+BB8+AL27</f>
        <v>4.01837230970225E-011</v>
      </c>
      <c r="AM95" s="17" t="n">
        <f aca="false">AM8+BC8+AM27</f>
        <v>1750000000</v>
      </c>
      <c r="AN95" s="17" t="n">
        <f aca="false">AN8+BD8+AN27</f>
        <v>656250</v>
      </c>
      <c r="AO95" s="17" t="n">
        <f aca="false">AO8+BE8+AO27</f>
        <v>-4.01837230970225E-011</v>
      </c>
      <c r="AP95" s="17" t="n">
        <f aca="false">AP8+BF8+AP27</f>
        <v>0</v>
      </c>
      <c r="AQ95" s="17" t="n">
        <f aca="false">AQ8+BG8+AQ27</f>
        <v>0</v>
      </c>
      <c r="AR95" s="17" t="n">
        <f aca="false">AR8+BH8+AR27</f>
        <v>0</v>
      </c>
      <c r="AS95" s="17" t="n">
        <f aca="false">AS8+BI8+AS27</f>
        <v>0</v>
      </c>
      <c r="AT95" s="17" t="n">
        <f aca="false">AT8+BJ8+AT27</f>
        <v>0</v>
      </c>
      <c r="AU95" s="17" t="n">
        <f aca="false">AU8+BK8+AU27</f>
        <v>0</v>
      </c>
      <c r="AV95" s="17" t="n">
        <f aca="false">AV8+BL8+AV27</f>
        <v>0</v>
      </c>
      <c r="AW95" s="17" t="n">
        <f aca="false">AW8+BM8+AW27</f>
        <v>875000000</v>
      </c>
      <c r="AX95" s="17" t="n">
        <f aca="false">AX8+BN8+AX27</f>
        <v>0</v>
      </c>
      <c r="AZ95" s="40" t="e">
        <f aca="false" t="array" ref="AZ95:AZ98">AX79:AX82</f>
        <v>#NAME?</v>
      </c>
      <c r="BB95" s="37" t="e">
        <v>#NAME?</v>
      </c>
    </row>
    <row r="96" customFormat="false" ht="12" hidden="false" customHeight="false" outlineLevel="0" collapsed="false">
      <c r="AJ96" s="11" t="n">
        <v>4</v>
      </c>
      <c r="AK96" s="17" t="n">
        <f aca="false">AK9+BA9+AK28</f>
        <v>-328.125</v>
      </c>
      <c r="AL96" s="17" t="n">
        <f aca="false">AL9+BB9+AL28</f>
        <v>-3.21268866160695E-011</v>
      </c>
      <c r="AM96" s="17" t="n">
        <f aca="false">AM9+BC9+AM28</f>
        <v>656250</v>
      </c>
      <c r="AN96" s="17" t="n">
        <f aca="false">AN9+BD9+AN28</f>
        <v>700328.125</v>
      </c>
      <c r="AO96" s="17" t="n">
        <f aca="false">AO9+BE9+AO28</f>
        <v>3.21268866160695E-011</v>
      </c>
      <c r="AP96" s="17" t="n">
        <f aca="false">AP9+BF9+AP28</f>
        <v>0</v>
      </c>
      <c r="AQ96" s="17" t="n">
        <f aca="false">AQ9+BG9+AQ28</f>
        <v>0</v>
      </c>
      <c r="AR96" s="17" t="n">
        <f aca="false">AR9+BH9+AR28</f>
        <v>0</v>
      </c>
      <c r="AS96" s="17" t="n">
        <f aca="false">AS9+BI9+AS28</f>
        <v>0</v>
      </c>
      <c r="AT96" s="17" t="n">
        <f aca="false">AT9+BJ9+AT28</f>
        <v>-700000</v>
      </c>
      <c r="AU96" s="17" t="n">
        <f aca="false">AU9+BK9+AU28</f>
        <v>0</v>
      </c>
      <c r="AV96" s="17" t="n">
        <f aca="false">AV9+BL9+AV28</f>
        <v>0</v>
      </c>
      <c r="AW96" s="17" t="n">
        <f aca="false">AW9+BM9+AW28</f>
        <v>656250</v>
      </c>
      <c r="AX96" s="17" t="n">
        <f aca="false">AX9+BN9+AX28</f>
        <v>0</v>
      </c>
      <c r="AZ96" s="40" t="e">
        <v>#NAME?</v>
      </c>
      <c r="BB96" s="37" t="e">
        <v>#NAME?</v>
      </c>
    </row>
    <row r="97" customFormat="false" ht="12" hidden="false" customHeight="false" outlineLevel="0" collapsed="false">
      <c r="AJ97" s="11" t="n">
        <v>5</v>
      </c>
      <c r="AK97" s="17" t="n">
        <f aca="false">AK10+BA10+AK29</f>
        <v>-3.21268866160695E-011</v>
      </c>
      <c r="AL97" s="17" t="n">
        <f aca="false">AL10+BB10+AL29</f>
        <v>-525000</v>
      </c>
      <c r="AM97" s="17" t="n">
        <f aca="false">AM10+BC10+AM29</f>
        <v>-4.01837230970225E-011</v>
      </c>
      <c r="AN97" s="17" t="n">
        <f aca="false">AN10+BD10+AN29</f>
        <v>3.21268866160695E-011</v>
      </c>
      <c r="AO97" s="17" t="n">
        <f aca="false">AO10+BE10+AO29</f>
        <v>525777.777777778</v>
      </c>
      <c r="AP97" s="17" t="n">
        <f aca="false">AP10+BF10+AP29</f>
        <v>2333333.33333333</v>
      </c>
      <c r="AQ97" s="17" t="n">
        <f aca="false">AQ10+BG10+AQ29</f>
        <v>0</v>
      </c>
      <c r="AR97" s="17" t="n">
        <f aca="false">AR10+BH10+AR29</f>
        <v>0</v>
      </c>
      <c r="AS97" s="17" t="n">
        <f aca="false">AS10+BI10+AS29</f>
        <v>0</v>
      </c>
      <c r="AT97" s="17" t="n">
        <f aca="false">AT10+BJ10+AT29</f>
        <v>0</v>
      </c>
      <c r="AU97" s="17" t="n">
        <f aca="false">AU10+BK10+AU29</f>
        <v>-777.777777777778</v>
      </c>
      <c r="AV97" s="17" t="n">
        <f aca="false">AV10+BL10+AV29</f>
        <v>2333333.33333333</v>
      </c>
      <c r="AW97" s="17" t="n">
        <f aca="false">AW10+BM10+AW29</f>
        <v>-4.01837230970225E-011</v>
      </c>
      <c r="AX97" s="17" t="n">
        <f aca="false">AX10+BN10+AX29</f>
        <v>0</v>
      </c>
      <c r="AZ97" s="40" t="e">
        <v>#NAME?</v>
      </c>
      <c r="BB97" s="34" t="e">
        <v>#NAME?</v>
      </c>
    </row>
    <row r="98" customFormat="false" ht="12" hidden="false" customHeight="false" outlineLevel="0" collapsed="false">
      <c r="AJ98" s="11" t="n">
        <v>6</v>
      </c>
      <c r="AK98" s="17" t="n">
        <f aca="false">AK11+BA11+AK30</f>
        <v>0</v>
      </c>
      <c r="AL98" s="17" t="n">
        <f aca="false">AL11+BB11+AL30</f>
        <v>0</v>
      </c>
      <c r="AM98" s="17" t="n">
        <f aca="false">AM11+BC11+AM30</f>
        <v>0</v>
      </c>
      <c r="AN98" s="17" t="n">
        <f aca="false">AN11+BD11+AN30</f>
        <v>0</v>
      </c>
      <c r="AO98" s="17" t="n">
        <f aca="false">AO11+BE11+AO30</f>
        <v>2333333.33333333</v>
      </c>
      <c r="AP98" s="17" t="n">
        <f aca="false">AP11+BF11+AP30</f>
        <v>9333333333.33333</v>
      </c>
      <c r="AQ98" s="17" t="n">
        <f aca="false">AQ11+BG11+AQ30</f>
        <v>0</v>
      </c>
      <c r="AR98" s="17" t="n">
        <f aca="false">AR11+BH11+AR30</f>
        <v>0</v>
      </c>
      <c r="AS98" s="17" t="n">
        <f aca="false">AS11+BI11+AS30</f>
        <v>0</v>
      </c>
      <c r="AT98" s="17" t="n">
        <f aca="false">AT11+BJ11+AT30</f>
        <v>0</v>
      </c>
      <c r="AU98" s="17" t="n">
        <f aca="false">AU11+BK11+AU30</f>
        <v>-2333333.33333333</v>
      </c>
      <c r="AV98" s="17" t="n">
        <f aca="false">AV11+BL11+AV30</f>
        <v>4666666666.66667</v>
      </c>
      <c r="AW98" s="17" t="n">
        <f aca="false">AW11+BM11+AW30</f>
        <v>0</v>
      </c>
      <c r="AX98" s="17" t="n">
        <f aca="false">AX11+BN11+AX30</f>
        <v>0</v>
      </c>
      <c r="AZ98" s="40" t="e">
        <v>#NAME?</v>
      </c>
      <c r="BB98" s="37" t="e">
        <v>#NAME?</v>
      </c>
    </row>
    <row r="99" customFormat="false" ht="12" hidden="false" customHeight="false" outlineLevel="0" collapsed="false">
      <c r="AJ99" s="11" t="n">
        <v>7</v>
      </c>
      <c r="AK99" s="17" t="n">
        <f aca="false">AK12+BA12+AK31</f>
        <v>0</v>
      </c>
      <c r="AL99" s="17" t="n">
        <f aca="false">AL12+BB12+AL31</f>
        <v>0</v>
      </c>
      <c r="AM99" s="17" t="n">
        <f aca="false">AM12+BC12+AM31</f>
        <v>0</v>
      </c>
      <c r="AN99" s="17" t="n">
        <f aca="false">AN12+BD12+AN31</f>
        <v>0</v>
      </c>
      <c r="AO99" s="17" t="n">
        <f aca="false">AO12+BE12+AO31</f>
        <v>0</v>
      </c>
      <c r="AP99" s="17" t="n">
        <f aca="false">AP12+BF12+AP31</f>
        <v>0</v>
      </c>
      <c r="AQ99" s="17" t="n">
        <f aca="false">AQ12+BG12+AQ31</f>
        <v>328.125</v>
      </c>
      <c r="AR99" s="17" t="n">
        <f aca="false">AR12+BH12+AR31</f>
        <v>3.21268866160695E-011</v>
      </c>
      <c r="AS99" s="17" t="n">
        <f aca="false">AS12+BI12+AS31</f>
        <v>-656250</v>
      </c>
      <c r="AT99" s="17" t="n">
        <f aca="false">AT12+BJ12+AT31</f>
        <v>-328.125</v>
      </c>
      <c r="AU99" s="17" t="n">
        <f aca="false">AU12+BK12+AU31</f>
        <v>-3.21268866160695E-011</v>
      </c>
      <c r="AV99" s="17" t="n">
        <f aca="false">AV12+BL12+AV31</f>
        <v>0</v>
      </c>
      <c r="AW99" s="17" t="n">
        <f aca="false">AW12+BM12+AW31</f>
        <v>0</v>
      </c>
      <c r="AX99" s="17" t="n">
        <f aca="false">AX12+BN12+AX31</f>
        <v>-656250</v>
      </c>
      <c r="AZ99" s="40" t="n">
        <v>0</v>
      </c>
      <c r="BB99" s="37" t="e">
        <v>#NAME?</v>
      </c>
    </row>
    <row r="100" customFormat="false" ht="12" hidden="false" customHeight="false" outlineLevel="0" collapsed="false">
      <c r="AJ100" s="11" t="n">
        <v>8</v>
      </c>
      <c r="AK100" s="17" t="n">
        <f aca="false">AK13+BA13+AK32</f>
        <v>0</v>
      </c>
      <c r="AL100" s="17" t="n">
        <f aca="false">AL13+BB13+AL32</f>
        <v>0</v>
      </c>
      <c r="AM100" s="17" t="n">
        <f aca="false">AM13+BC13+AM32</f>
        <v>0</v>
      </c>
      <c r="AN100" s="17" t="n">
        <f aca="false">AN13+BD13+AN32</f>
        <v>0</v>
      </c>
      <c r="AO100" s="17" t="n">
        <f aca="false">AO13+BE13+AO32</f>
        <v>0</v>
      </c>
      <c r="AP100" s="17" t="n">
        <f aca="false">AP13+BF13+AP32</f>
        <v>0</v>
      </c>
      <c r="AQ100" s="17" t="n">
        <f aca="false">AQ13+BG13+AQ32</f>
        <v>3.21268866160695E-011</v>
      </c>
      <c r="AR100" s="17" t="n">
        <f aca="false">AR13+BH13+AR32</f>
        <v>525000</v>
      </c>
      <c r="AS100" s="17" t="n">
        <f aca="false">AS13+BI13+AS32</f>
        <v>4.01837230970225E-011</v>
      </c>
      <c r="AT100" s="17" t="n">
        <f aca="false">AT13+BJ13+AT32</f>
        <v>-3.21268866160695E-011</v>
      </c>
      <c r="AU100" s="17" t="n">
        <f aca="false">AU13+BK13+AU32</f>
        <v>-525000</v>
      </c>
      <c r="AV100" s="17" t="n">
        <f aca="false">AV13+BL13+AV32</f>
        <v>0</v>
      </c>
      <c r="AW100" s="17" t="n">
        <f aca="false">AW13+BM13+AW32</f>
        <v>0</v>
      </c>
      <c r="AX100" s="17" t="n">
        <f aca="false">AX13+BN13+AX32</f>
        <v>4.01837230970225E-011</v>
      </c>
      <c r="AZ100" s="40" t="n">
        <v>0</v>
      </c>
      <c r="BB100" s="41" t="e">
        <v>#NAME?</v>
      </c>
      <c r="BC100" s="123"/>
      <c r="BD100" s="123"/>
    </row>
    <row r="101" customFormat="false" ht="12" hidden="false" customHeight="false" outlineLevel="0" collapsed="false">
      <c r="AJ101" s="11" t="n">
        <v>9</v>
      </c>
      <c r="AK101" s="17" t="n">
        <f aca="false">AK14+BA14+AK33</f>
        <v>0</v>
      </c>
      <c r="AL101" s="17" t="n">
        <f aca="false">AL14+BB14+AL33</f>
        <v>0</v>
      </c>
      <c r="AM101" s="17" t="n">
        <f aca="false">AM14+BC14+AM33</f>
        <v>0</v>
      </c>
      <c r="AN101" s="17" t="n">
        <f aca="false">AN14+BD14+AN33</f>
        <v>0</v>
      </c>
      <c r="AO101" s="17" t="n">
        <f aca="false">AO14+BE14+AO33</f>
        <v>0</v>
      </c>
      <c r="AP101" s="17" t="n">
        <f aca="false">AP14+BF14+AP33</f>
        <v>0</v>
      </c>
      <c r="AQ101" s="17" t="n">
        <f aca="false">AQ14+BG14+AQ33</f>
        <v>-656250</v>
      </c>
      <c r="AR101" s="17" t="n">
        <f aca="false">AR14+BH14+AR33</f>
        <v>4.01837230970225E-011</v>
      </c>
      <c r="AS101" s="17" t="n">
        <f aca="false">AS14+BI14+AS33</f>
        <v>1750000000</v>
      </c>
      <c r="AT101" s="17" t="n">
        <f aca="false">AT14+BJ14+AT33</f>
        <v>656250</v>
      </c>
      <c r="AU101" s="17" t="n">
        <f aca="false">AU14+BK14+AU33</f>
        <v>-4.01837230970225E-011</v>
      </c>
      <c r="AV101" s="17" t="n">
        <f aca="false">AV14+BL14+AV33</f>
        <v>0</v>
      </c>
      <c r="AW101" s="17" t="n">
        <f aca="false">AW14+BM14+AW33</f>
        <v>0</v>
      </c>
      <c r="AX101" s="17" t="n">
        <f aca="false">AX14+BN14+AX33</f>
        <v>875000000</v>
      </c>
      <c r="AZ101" s="40" t="e">
        <f aca="false" t="array" ref="AZ101:AZ106">AX83:AX88</f>
        <v>#NAME?</v>
      </c>
      <c r="BB101" s="37" t="e">
        <v>#NAME?</v>
      </c>
    </row>
    <row r="102" customFormat="false" ht="12" hidden="false" customHeight="false" outlineLevel="0" collapsed="false">
      <c r="AJ102" s="11" t="n">
        <v>10</v>
      </c>
      <c r="AK102" s="17" t="n">
        <f aca="false">AK15+BA15+AK34</f>
        <v>0</v>
      </c>
      <c r="AL102" s="17" t="n">
        <f aca="false">AL15+BB15+AL34</f>
        <v>0</v>
      </c>
      <c r="AM102" s="17" t="n">
        <f aca="false">AM15+BC15+AM34</f>
        <v>0</v>
      </c>
      <c r="AN102" s="17" t="n">
        <f aca="false">AN15+BD15+AN34</f>
        <v>-700000</v>
      </c>
      <c r="AO102" s="17" t="n">
        <f aca="false">AO15+BE15+AO34</f>
        <v>0</v>
      </c>
      <c r="AP102" s="17" t="n">
        <f aca="false">AP15+BF15+AP34</f>
        <v>0</v>
      </c>
      <c r="AQ102" s="17" t="n">
        <f aca="false">AQ15+BG15+AQ34</f>
        <v>-328.125</v>
      </c>
      <c r="AR102" s="17" t="n">
        <f aca="false">AR15+BH15+AR34</f>
        <v>-3.21268866160695E-011</v>
      </c>
      <c r="AS102" s="17" t="n">
        <f aca="false">AS15+BI15+AS34</f>
        <v>656250</v>
      </c>
      <c r="AT102" s="17" t="n">
        <f aca="false">AT15+BJ15+AT34</f>
        <v>700328.125</v>
      </c>
      <c r="AU102" s="17" t="n">
        <f aca="false">AU15+BK15+AU34</f>
        <v>3.21268866160695E-011</v>
      </c>
      <c r="AV102" s="17" t="n">
        <f aca="false">AV15+BL15+AV34</f>
        <v>0</v>
      </c>
      <c r="AW102" s="17" t="n">
        <f aca="false">AW15+BM15+AW34</f>
        <v>0</v>
      </c>
      <c r="AX102" s="17" t="n">
        <f aca="false">AX15+BN15+AX34</f>
        <v>656250</v>
      </c>
      <c r="AZ102" s="40" t="e">
        <v>#NAME?</v>
      </c>
      <c r="BB102" s="41" t="e">
        <v>#NAME?</v>
      </c>
    </row>
    <row r="103" customFormat="false" ht="12" hidden="false" customHeight="false" outlineLevel="0" collapsed="false">
      <c r="AJ103" s="11" t="n">
        <v>11</v>
      </c>
      <c r="AK103" s="17" t="n">
        <f aca="false">AK16+BA16+AK35</f>
        <v>0</v>
      </c>
      <c r="AL103" s="17" t="n">
        <f aca="false">AL16+BB16+AL35</f>
        <v>0</v>
      </c>
      <c r="AM103" s="17" t="n">
        <f aca="false">AM16+BC16+AM35</f>
        <v>0</v>
      </c>
      <c r="AN103" s="17" t="n">
        <f aca="false">AN16+BD16+AN35</f>
        <v>0</v>
      </c>
      <c r="AO103" s="17" t="n">
        <f aca="false">AO16+BE16+AO35</f>
        <v>-777.777777777778</v>
      </c>
      <c r="AP103" s="17" t="n">
        <f aca="false">AP16+BF16+AP35</f>
        <v>-2333333.33333333</v>
      </c>
      <c r="AQ103" s="17" t="n">
        <f aca="false">AQ16+BG16+AQ35</f>
        <v>-3.21268866160695E-011</v>
      </c>
      <c r="AR103" s="17" t="n">
        <f aca="false">AR16+BH16+AR35</f>
        <v>-525000</v>
      </c>
      <c r="AS103" s="17" t="n">
        <f aca="false">AS16+BI16+AS35</f>
        <v>-4.01837230970225E-011</v>
      </c>
      <c r="AT103" s="17" t="n">
        <f aca="false">AT16+BJ16+AT35</f>
        <v>3.21268866160695E-011</v>
      </c>
      <c r="AU103" s="17" t="n">
        <f aca="false">AU16+BK16+AU35</f>
        <v>525777.777777778</v>
      </c>
      <c r="AV103" s="17" t="n">
        <f aca="false">AV16+BL16+AV35</f>
        <v>-2333333.33333333</v>
      </c>
      <c r="AW103" s="17" t="n">
        <f aca="false">AW16+BM16+AW35</f>
        <v>0</v>
      </c>
      <c r="AX103" s="17" t="n">
        <f aca="false">AX16+BN16+AX35</f>
        <v>-4.01837230970225E-011</v>
      </c>
      <c r="AZ103" s="40" t="e">
        <v>#NAME?</v>
      </c>
      <c r="BB103" s="41" t="e">
        <v>#NAME?</v>
      </c>
    </row>
    <row r="104" customFormat="false" ht="12" hidden="false" customHeight="false" outlineLevel="0" collapsed="false">
      <c r="AJ104" s="11" t="n">
        <v>12</v>
      </c>
      <c r="AK104" s="17" t="n">
        <f aca="false">AK17+BA17+AK36</f>
        <v>0</v>
      </c>
      <c r="AL104" s="17" t="n">
        <f aca="false">AL17+BB17+AL36</f>
        <v>0</v>
      </c>
      <c r="AM104" s="17" t="n">
        <f aca="false">AM17+BC17+AM36</f>
        <v>0</v>
      </c>
      <c r="AN104" s="17" t="n">
        <f aca="false">AN17+BD17+AN36</f>
        <v>0</v>
      </c>
      <c r="AO104" s="17" t="n">
        <f aca="false">AO17+BE17+AO36</f>
        <v>2333333.33333333</v>
      </c>
      <c r="AP104" s="17" t="n">
        <f aca="false">AP17+BF17+AP36</f>
        <v>4666666666.66667</v>
      </c>
      <c r="AQ104" s="17" t="n">
        <f aca="false">AQ17+BG17+AQ36</f>
        <v>0</v>
      </c>
      <c r="AR104" s="17" t="n">
        <f aca="false">AR17+BH17+AR36</f>
        <v>0</v>
      </c>
      <c r="AS104" s="17" t="n">
        <f aca="false">AS17+BI17+AS36</f>
        <v>0</v>
      </c>
      <c r="AT104" s="17" t="n">
        <f aca="false">AT17+BJ17+AT36</f>
        <v>0</v>
      </c>
      <c r="AU104" s="17" t="n">
        <f aca="false">AU17+BK17+AU36</f>
        <v>-2333333.33333333</v>
      </c>
      <c r="AV104" s="17" t="n">
        <f aca="false">AV17+BL17+AV36</f>
        <v>9333333333.33333</v>
      </c>
      <c r="AW104" s="17" t="n">
        <f aca="false">AW17+BM17+AW36</f>
        <v>0</v>
      </c>
      <c r="AX104" s="17" t="n">
        <f aca="false">AX17+BN17+AX36</f>
        <v>0</v>
      </c>
      <c r="AZ104" s="40" t="e">
        <v>#NAME?</v>
      </c>
      <c r="BB104" s="41" t="e">
        <v>#NAME?</v>
      </c>
    </row>
    <row r="105" customFormat="false" ht="12" hidden="false" customHeight="false" outlineLevel="0" collapsed="false">
      <c r="AJ105" s="11" t="n">
        <v>13</v>
      </c>
      <c r="AK105" s="17" t="n">
        <f aca="false">AK18+BA18+AK37</f>
        <v>-656250</v>
      </c>
      <c r="AL105" s="17" t="n">
        <f aca="false">AL18+BB18+AL37</f>
        <v>4.01837230970225E-011</v>
      </c>
      <c r="AM105" s="17" t="n">
        <f aca="false">AM18+BC18+AM37</f>
        <v>875000000</v>
      </c>
      <c r="AN105" s="17" t="n">
        <f aca="false">AN18+BD18+AN37</f>
        <v>656250</v>
      </c>
      <c r="AO105" s="17" t="n">
        <f aca="false">AO18+BE18+AO37</f>
        <v>-4.01837230970225E-011</v>
      </c>
      <c r="AP105" s="17" t="n">
        <f aca="false">AP18+BF18+AP37</f>
        <v>0</v>
      </c>
      <c r="AQ105" s="17" t="n">
        <f aca="false">AQ18+BG18+AQ37</f>
        <v>0</v>
      </c>
      <c r="AR105" s="17" t="n">
        <f aca="false">AR18+BH18+AR37</f>
        <v>0</v>
      </c>
      <c r="AS105" s="17" t="n">
        <f aca="false">AS18+BI18+AS37</f>
        <v>0</v>
      </c>
      <c r="AT105" s="17" t="n">
        <f aca="false">AT18+BJ18+AT37</f>
        <v>0</v>
      </c>
      <c r="AU105" s="17" t="n">
        <f aca="false">AU18+BK18+AU37</f>
        <v>0</v>
      </c>
      <c r="AV105" s="17" t="n">
        <f aca="false">AV18+BL18+AV37</f>
        <v>0</v>
      </c>
      <c r="AW105" s="17" t="n">
        <f aca="false">AW18+BM18+AW37</f>
        <v>1750000000</v>
      </c>
      <c r="AX105" s="17" t="n">
        <f aca="false">AX18+BN18+AX37</f>
        <v>0</v>
      </c>
      <c r="AZ105" s="40" t="e">
        <v>#NAME?</v>
      </c>
      <c r="BB105" s="41" t="e">
        <v>#NAME?</v>
      </c>
    </row>
    <row r="106" customFormat="false" ht="12" hidden="false" customHeight="false" outlineLevel="0" collapsed="false">
      <c r="AJ106" s="11" t="n">
        <v>14</v>
      </c>
      <c r="AK106" s="17" t="n">
        <f aca="false">AK19+BA19+AK38</f>
        <v>0</v>
      </c>
      <c r="AL106" s="17" t="n">
        <f aca="false">AL19+BB19+AL38</f>
        <v>0</v>
      </c>
      <c r="AM106" s="17" t="n">
        <f aca="false">AM19+BC19+AM38</f>
        <v>0</v>
      </c>
      <c r="AN106" s="17" t="n">
        <f aca="false">AN19+BD19+AN38</f>
        <v>0</v>
      </c>
      <c r="AO106" s="17" t="n">
        <f aca="false">AO19+BE19+AO38</f>
        <v>0</v>
      </c>
      <c r="AP106" s="17" t="n">
        <f aca="false">AP19+BF19+AP38</f>
        <v>0</v>
      </c>
      <c r="AQ106" s="17" t="n">
        <f aca="false">AQ19+BG19+AQ38</f>
        <v>-656250</v>
      </c>
      <c r="AR106" s="17" t="n">
        <f aca="false">AR19+BH19+AR38</f>
        <v>4.01837230970225E-011</v>
      </c>
      <c r="AS106" s="17" t="n">
        <f aca="false">AS19+BI19+AS38</f>
        <v>875000000</v>
      </c>
      <c r="AT106" s="17" t="n">
        <f aca="false">AT19+BJ19+AT38</f>
        <v>656250</v>
      </c>
      <c r="AU106" s="17" t="n">
        <f aca="false">AU19+BK19+AU38</f>
        <v>-4.01837230970225E-011</v>
      </c>
      <c r="AV106" s="17" t="n">
        <f aca="false">AV19+BL19+AV38</f>
        <v>0</v>
      </c>
      <c r="AW106" s="17" t="n">
        <f aca="false">AW19+BM19+AW38</f>
        <v>0</v>
      </c>
      <c r="AX106" s="17" t="n">
        <f aca="false">AX19+BN19+AX38</f>
        <v>1750000000</v>
      </c>
      <c r="AZ106" s="40" t="e">
        <v>#NAME?</v>
      </c>
      <c r="BB106" s="34" t="e">
        <v>#NAME?</v>
      </c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39 AK40:AN40 AP40:AW40 AK41:AX60 AL67:AN69 AP67:AX69 AL71:AN75 AP71:AX75 AK90:AX106 BB46:BB59">
    <cfRule type="expression" priority="2" aboveAverage="0" equalAverage="0" bottom="0" percent="0" rank="0" text="" dxfId="7">
      <formula>ABS(AK6)&lt;0.1</formula>
    </cfRule>
  </conditionalFormatting>
  <conditionalFormatting sqref="BR172:BR174">
    <cfRule type="cellIs" priority="3" operator="equal" aboveAverage="0" equalAverage="0" bottom="0" percent="0" rank="0" text="" dxfId="8">
      <formula>"VIRHE!"</formula>
    </cfRule>
    <cfRule type="cellIs" priority="4" operator="equal" aboveAverage="0" equalAverage="0" bottom="0" percent="0" rank="0" text="" dxfId="9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L1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79296875" defaultRowHeight="15" customHeight="false" zeroHeight="false" outlineLevelRow="0" outlineLevelCol="0"/>
  <sheetData>
    <row r="14" customFormat="false" ht="15" hidden="false" customHeight="false" outlineLevel="0" collapsed="false">
      <c r="L14" s="157" t="s">
        <v>104</v>
      </c>
    </row>
    <row r="15" customFormat="false" ht="15" hidden="false" customHeight="false" outlineLevel="0" collapsed="false">
      <c r="L15" s="158" t="n">
        <v>10000000</v>
      </c>
      <c r="M15" s="157" t="n">
        <f aca="false">6*N31*O31/M31^3*L15</f>
        <v>3750</v>
      </c>
      <c r="N15" s="157" t="n">
        <f aca="false">O31*(2*N31-O31)/M31^2*L15</f>
        <v>2500000</v>
      </c>
    </row>
    <row r="30" customFormat="false" ht="15" hidden="false" customHeight="false" outlineLevel="0" collapsed="false">
      <c r="M30" s="157" t="s">
        <v>105</v>
      </c>
      <c r="N30" s="157" t="s">
        <v>106</v>
      </c>
      <c r="O30" s="157" t="s">
        <v>75</v>
      </c>
      <c r="P30" s="157" t="s">
        <v>107</v>
      </c>
      <c r="Q30" s="157" t="s">
        <v>108</v>
      </c>
      <c r="R30" s="157" t="s">
        <v>104</v>
      </c>
    </row>
    <row r="31" customFormat="false" ht="15" hidden="false" customHeight="false" outlineLevel="0" collapsed="false">
      <c r="M31" s="157" t="n">
        <v>4000</v>
      </c>
      <c r="N31" s="157" t="n">
        <v>2000</v>
      </c>
      <c r="O31" s="157" t="n">
        <f aca="false">M31-N31</f>
        <v>2000</v>
      </c>
      <c r="P31" s="157" t="n">
        <v>2500</v>
      </c>
      <c r="Q31" s="157" t="n">
        <v>1250</v>
      </c>
      <c r="R31" s="157" t="n">
        <v>10</v>
      </c>
    </row>
    <row r="33" customFormat="false" ht="15" hidden="false" customHeight="false" outlineLevel="0" collapsed="false">
      <c r="M33" s="157" t="n">
        <f aca="false">P31/M31^3*((2*N31+M31)*O31^2+1/4*(N31-O31)*P31^2)*R31</f>
        <v>12500</v>
      </c>
    </row>
    <row r="34" customFormat="false" ht="15" hidden="false" customHeight="false" outlineLevel="0" collapsed="false">
      <c r="M34" s="157" t="n">
        <f aca="false">P31/M31^2*(N31*O31^2+1/12*(N31-2*O31)*P31^2)*R31</f>
        <v>10872395.8333333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V43" activeCellId="0" sqref="V43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-14142.135623731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1.63286239886314E-009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-14142.135623731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-1.63286239886314E-009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9" t="n">
        <v>0</v>
      </c>
      <c r="P12" s="7" t="s">
        <v>111</v>
      </c>
      <c r="Q12" s="159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-14142.135623731</v>
      </c>
      <c r="W22" s="1" t="s">
        <v>41</v>
      </c>
      <c r="X22" s="36" t="n">
        <f aca="false" t="array" ref="X22:X23">T22:T23</f>
        <v>0</v>
      </c>
      <c r="Y22" s="7"/>
      <c r="Z22" s="7" t="n">
        <f aca="false" t="array" ref="Z22:Z27">MMULT(M22:R27,X22:X27)-V22:V27</f>
        <v>28284.2712474619</v>
      </c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 t="n">
        <v>28284.2712474619</v>
      </c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s">
        <v>44</v>
      </c>
      <c r="V24" s="13" t="n">
        <f aca="false">S7</f>
        <v>1.63286239886314E-009</v>
      </c>
      <c r="X24" s="36" t="n">
        <f aca="false">U59</f>
        <v>1.24408563722906E-018</v>
      </c>
      <c r="Y24" s="37"/>
      <c r="Z24" s="20" t="n">
        <v>0</v>
      </c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s">
        <v>102</v>
      </c>
      <c r="V25" s="13" t="n">
        <f aca="false">S8</f>
        <v>-14142.135623731</v>
      </c>
      <c r="W25" s="1" t="s">
        <v>113</v>
      </c>
      <c r="X25" s="36" t="n">
        <f aca="false">U66</f>
        <v>-0.026937401188059</v>
      </c>
      <c r="Y25" s="37"/>
      <c r="Z25" s="20" t="n">
        <v>0</v>
      </c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n">
        <v>0</v>
      </c>
      <c r="V26" s="13" t="n">
        <f aca="false">S9</f>
        <v>-14142.135623731</v>
      </c>
      <c r="W26" s="1" t="s">
        <v>114</v>
      </c>
      <c r="X26" s="36" t="n">
        <f aca="false">U67</f>
        <v>-0.026937401188059</v>
      </c>
      <c r="Y26" s="34"/>
      <c r="Z26" s="34" t="n">
        <v>0</v>
      </c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-1.63286239886314E-009</v>
      </c>
      <c r="X27" s="40" t="n">
        <f aca="false">U61</f>
        <v>-6.22042818614529E-019</v>
      </c>
      <c r="Y27" s="37"/>
      <c r="Z27" s="20" t="n">
        <v>1.63286239886314E-009</v>
      </c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-14142.135623731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1.63286239886314E-009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-20000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-1.63286239886314E-009</v>
      </c>
      <c r="Y36" s="1" t="n">
        <f aca="false" t="array" ref="Y36:AA41">MMULT(P22:R27,T13:V15)</f>
        <v>-262664.0625</v>
      </c>
      <c r="Z36" s="1" t="n">
        <v>-262335.9375</v>
      </c>
      <c r="AA36" s="1" t="n">
        <v>-464038.825153672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2" t="s">
        <v>120</v>
      </c>
      <c r="Y37" s="1" t="n">
        <v>-262335.9375</v>
      </c>
      <c r="Z37" s="1" t="n">
        <v>-262664.0625</v>
      </c>
      <c r="AA37" s="1" t="n">
        <v>464038.825153672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Y38" s="1" t="n">
        <v>464038.825153672</v>
      </c>
      <c r="Z38" s="1" t="n">
        <v>-464038.825153672</v>
      </c>
      <c r="AA38" s="1" t="n">
        <v>875000000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28284.2712474619</v>
      </c>
      <c r="Y39" s="1" t="n">
        <v>262664.0625</v>
      </c>
      <c r="Z39" s="1" t="n">
        <v>262335.9375</v>
      </c>
      <c r="AA39" s="1" t="n">
        <v>464038.825153672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Y40" s="1" t="n">
        <v>262335.9375</v>
      </c>
      <c r="Z40" s="1" t="n">
        <v>262664.0625</v>
      </c>
      <c r="AA40" s="1" t="n">
        <v>-464038.825153672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f aca="false">U59</f>
        <v>1.24408563722906E-018</v>
      </c>
      <c r="V41" s="69" t="n">
        <v>0</v>
      </c>
      <c r="Y41" s="1" t="n">
        <v>464038.825153672</v>
      </c>
      <c r="Z41" s="1" t="n">
        <v>-464038.825153672</v>
      </c>
      <c r="AA41" s="1" t="n">
        <v>1750000000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f aca="false">U60</f>
        <v>-0.0380952380952381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1" t="n">
        <v>0</v>
      </c>
      <c r="V43" s="69" t="n">
        <v>-4.08215599715785E-013</v>
      </c>
      <c r="Y43" s="1" t="n">
        <f aca="false" t="array" ref="Y43:AD45">MMULT(M13:O15,M34:R36)</f>
        <v>-262664.0625</v>
      </c>
      <c r="Z43" s="1" t="n">
        <v>-262335.9375</v>
      </c>
      <c r="AA43" s="1" t="n">
        <v>464038.825153672</v>
      </c>
      <c r="AB43" s="1" t="n">
        <v>371231.060122938</v>
      </c>
      <c r="AC43" s="1" t="n">
        <v>-232.019412576832</v>
      </c>
      <c r="AD43" s="1" t="n">
        <v>464038.825153672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U61</f>
        <v>-6.22042818614529E-019</v>
      </c>
      <c r="V44" s="69" t="n">
        <v>1.63286239886314E-009</v>
      </c>
      <c r="Y44" s="1" t="n">
        <v>-262335.9375</v>
      </c>
      <c r="Z44" s="1" t="n">
        <v>-262664.0625</v>
      </c>
      <c r="AA44" s="1" t="n">
        <v>-464038.825153672</v>
      </c>
      <c r="AB44" s="1" t="n">
        <v>371231.060122938</v>
      </c>
      <c r="AC44" s="1" t="n">
        <v>232.019412576832</v>
      </c>
      <c r="AD44" s="1" t="n">
        <v>-464038.825153672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Y45" s="1" t="n">
        <v>-464038.825153672</v>
      </c>
      <c r="Z45" s="1" t="n">
        <v>464038.825153672</v>
      </c>
      <c r="AA45" s="1" t="n">
        <v>875000000</v>
      </c>
      <c r="AB45" s="1" t="n">
        <v>0</v>
      </c>
      <c r="AC45" s="1" t="n">
        <v>-656250</v>
      </c>
      <c r="AD45" s="1" t="n">
        <v>1750000000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 t="n">
        <v>3</v>
      </c>
      <c r="N47" s="10" t="n">
        <v>4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 t="n">
        <v>3</v>
      </c>
      <c r="M48" s="13" t="n">
        <f aca="false" t="array" ref="M48:N49">O41:P42</f>
        <v>1750000000</v>
      </c>
      <c r="N48" s="13" t="n">
        <v>0</v>
      </c>
      <c r="O48" s="13" t="n">
        <f aca="false" t="array" ref="O48:O49">R41:R42</f>
        <v>875000000</v>
      </c>
      <c r="P48" s="13"/>
      <c r="Q48" s="13"/>
      <c r="R48" s="13"/>
      <c r="S48" s="21" t="str">
        <f aca="false">T24</f>
        <v>r13</v>
      </c>
      <c r="U48" s="50" t="n">
        <f aca="false" t="array" ref="U48:U49">V33:V34</f>
        <v>1.63286239886314E-009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4</v>
      </c>
      <c r="M49" s="13" t="n">
        <v>0</v>
      </c>
      <c r="N49" s="13" t="n">
        <v>525000</v>
      </c>
      <c r="O49" s="1" t="n">
        <v>0</v>
      </c>
      <c r="P49" s="13"/>
      <c r="Q49" s="13"/>
      <c r="R49" s="13"/>
      <c r="S49" s="21" t="str">
        <f aca="false">T25</f>
        <v>r14</v>
      </c>
      <c r="U49" s="51" t="n">
        <v>-20000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 t="n">
        <f aca="false" t="array" ref="M50:N50">O44:P44</f>
        <v>875000000</v>
      </c>
      <c r="N50" s="13" t="n">
        <v>0</v>
      </c>
      <c r="O50" s="13" t="n">
        <f aca="false">R44</f>
        <v>1750000000</v>
      </c>
      <c r="P50" s="13"/>
      <c r="S50" s="21" t="str">
        <f aca="false">T27</f>
        <v>r16</v>
      </c>
      <c r="U50" s="13" t="n">
        <f aca="false">V35</f>
        <v>0</v>
      </c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3</v>
      </c>
      <c r="N58" s="10" t="n">
        <v>4</v>
      </c>
      <c r="O58" s="10" t="n">
        <v>5</v>
      </c>
      <c r="P58" s="10" t="n">
        <v>6</v>
      </c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3</v>
      </c>
      <c r="M59" s="1" t="n">
        <f aca="false" t="array" ref="M59:O61">MINVERSE(M48:O50)</f>
        <v>7.61904761904762E-010</v>
      </c>
      <c r="N59" s="1" t="n">
        <v>0</v>
      </c>
      <c r="O59" s="1" t="n">
        <v>-3.80952380952381E-010</v>
      </c>
      <c r="S59" s="13" t="n">
        <f aca="false" t="array" ref="S59:S61">U48:U50</f>
        <v>1.63286239886314E-009</v>
      </c>
      <c r="U59" s="36" t="n">
        <f aca="false" t="array" ref="U59:U61">MMULT(M59:O61,S59:S61)</f>
        <v>1.24408563722906E-018</v>
      </c>
      <c r="V59" s="1" t="s">
        <v>78</v>
      </c>
      <c r="W59" s="1" t="n">
        <f aca="false">1000*U59</f>
        <v>1.24408563722906E-015</v>
      </c>
      <c r="X59" s="1" t="s">
        <v>79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4</v>
      </c>
      <c r="M60" s="1" t="n">
        <v>0</v>
      </c>
      <c r="N60" s="13" t="n">
        <v>1.9047619047619E-006</v>
      </c>
      <c r="O60" s="1" t="n">
        <v>0</v>
      </c>
      <c r="P60" s="13"/>
      <c r="S60" s="1" t="n">
        <v>-20000</v>
      </c>
      <c r="U60" s="36" t="n">
        <v>-0.0380952380952381</v>
      </c>
      <c r="V60" s="1" t="s">
        <v>12</v>
      </c>
      <c r="W60" s="1" t="s">
        <v>121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 t="n">
        <v>5</v>
      </c>
      <c r="M61" s="1" t="n">
        <v>-3.80952380952381E-010</v>
      </c>
      <c r="N61" s="13" t="n">
        <v>0</v>
      </c>
      <c r="O61" s="1" t="n">
        <v>7.61904761904762E-010</v>
      </c>
      <c r="P61" s="13"/>
      <c r="S61" s="1" t="n">
        <v>0</v>
      </c>
      <c r="U61" s="36" t="n">
        <v>-6.22042818614529E-019</v>
      </c>
      <c r="V61" s="1" t="s">
        <v>78</v>
      </c>
      <c r="W61" s="1" t="n">
        <f aca="false">1000*U61</f>
        <v>-6.22042818614529E-016</v>
      </c>
      <c r="X61" s="1" t="s">
        <v>79</v>
      </c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 t="n">
        <v>6</v>
      </c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COS(RADIANS(Q12))*U60</f>
        <v>-0.026937401188059</v>
      </c>
      <c r="V66" s="1" t="s">
        <v>12</v>
      </c>
      <c r="X66" s="36" t="n">
        <f aca="false">U60</f>
        <v>-0.0380952380952381</v>
      </c>
      <c r="Y66" s="1" t="n">
        <f aca="false" t="array" ref="Y66:Y67">MMULT(W16:X17,X66:X67)</f>
        <v>-0.026937401188059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SIN(RADIANS(Q12))*U60</f>
        <v>-0.026937401188059</v>
      </c>
      <c r="V67" s="1" t="s">
        <v>12</v>
      </c>
      <c r="X67" s="1" t="n">
        <v>0</v>
      </c>
      <c r="Y67" s="1" t="n">
        <v>-0.026937401188059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1.24408563722906E-018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-0.0380952380952381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0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-6.22042818614529E-019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0">
      <formula>ABS(V22)&lt;0.1</formula>
    </cfRule>
  </conditionalFormatting>
  <conditionalFormatting sqref="M22:R27 M13:R18 T13:Y18 M31:R36 M39:R44">
    <cfRule type="expression" priority="3" aboveAverage="0" equalAverage="0" bottom="0" percent="0" rank="0" text="" dxfId="11">
      <formula>ABS(M13)&lt;0.1</formula>
    </cfRule>
  </conditionalFormatting>
  <conditionalFormatting sqref="BR166:BR168">
    <cfRule type="cellIs" priority="4" operator="equal" aboveAverage="0" equalAverage="0" bottom="0" percent="0" rank="0" text="" dxfId="12">
      <formula>"VIRHE!"</formula>
    </cfRule>
    <cfRule type="cellIs" priority="5" operator="equal" aboveAverage="0" equalAverage="0" bottom="0" percent="0" rank="0" text="" dxfId="1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V42" activeCellId="0" sqref="V42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12.42"/>
    <col collapsed="false" customWidth="false" hidden="false" outlineLevel="0" max="20" min="20" style="1" width="9.14"/>
    <col collapsed="false" customWidth="true" hidden="false" outlineLevel="0" max="21" min="21" style="1" width="12.42"/>
    <col collapsed="false" customWidth="true" hidden="false" outlineLevel="0" max="22" min="22" style="1" width="13.86"/>
    <col collapsed="false" customWidth="true" hidden="false" outlineLevel="0" max="23" min="23" style="1" width="10.42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-13333333.3333333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13333333.3333333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9" t="n">
        <v>0</v>
      </c>
      <c r="P12" s="7" t="s">
        <v>111</v>
      </c>
      <c r="Q12" s="159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B17" s="1" t="s">
        <v>124</v>
      </c>
      <c r="E17" s="1" t="n">
        <f aca="false">C5*E6</f>
        <v>2828.42712474619</v>
      </c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B18" s="1" t="s">
        <v>125</v>
      </c>
      <c r="E18" s="1" t="n">
        <f aca="false">E5*E6</f>
        <v>2828.42712474619</v>
      </c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14142.135623731</v>
      </c>
      <c r="W22" s="1" t="s">
        <v>41</v>
      </c>
      <c r="X22" s="36" t="n">
        <f aca="false" t="array" ref="X22:X24">T22:T24</f>
        <v>0</v>
      </c>
      <c r="Y22" s="7"/>
      <c r="Z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n">
        <v>0</v>
      </c>
      <c r="V24" s="13" t="n">
        <f aca="false">S7</f>
        <v>-13333333.3333333</v>
      </c>
      <c r="X24" s="36" t="n">
        <v>0</v>
      </c>
      <c r="Y24" s="37"/>
      <c r="Z24" s="20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n">
        <v>0</v>
      </c>
      <c r="V25" s="13" t="n">
        <f aca="false">S8</f>
        <v>14142.135623731</v>
      </c>
      <c r="W25" s="1" t="s">
        <v>113</v>
      </c>
      <c r="X25" s="36" t="n">
        <f aca="false">U66</f>
        <v>129.299525702692</v>
      </c>
      <c r="Y25" s="37"/>
      <c r="Z25" s="20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s">
        <v>102</v>
      </c>
      <c r="V26" s="13" t="n">
        <f aca="false">S9</f>
        <v>-14142.135623731</v>
      </c>
      <c r="W26" s="1" t="s">
        <v>114</v>
      </c>
      <c r="X26" s="36" t="n">
        <f aca="false">U67</f>
        <v>-129.299525702692</v>
      </c>
      <c r="Y26" s="34"/>
      <c r="Z26" s="34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13333333.3333333</v>
      </c>
      <c r="X27" s="40" t="n">
        <f aca="false">U60</f>
        <v>-0.0609523809523856</v>
      </c>
      <c r="Y27" s="37"/>
      <c r="Z27" s="20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1.22464679914735E-012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1.22464679914735E-012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-13333333.3333333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-20000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13333333.3333333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2" t="s">
        <v>120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-6.12323399573677E-017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-28284.2712474619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v>0</v>
      </c>
      <c r="V41" s="69" t="n">
        <v>80000000.000004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v>0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36" t="n">
        <f aca="false">U59</f>
        <v>-182.857142857155</v>
      </c>
      <c r="V43" s="69" t="n">
        <v>0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U60</f>
        <v>-0.0609523809523856</v>
      </c>
      <c r="V44" s="69" t="n">
        <v>0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/>
      <c r="N47" s="10" t="n">
        <v>5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/>
      <c r="M48" s="13" t="n">
        <f aca="false" t="array" ref="M48:N49">Q43:R44</f>
        <v>328.124999999995</v>
      </c>
      <c r="N48" s="1" t="n">
        <v>-656250</v>
      </c>
      <c r="O48" s="13"/>
      <c r="P48" s="13"/>
      <c r="Q48" s="13"/>
      <c r="R48" s="13"/>
      <c r="S48" s="21" t="str">
        <f aca="false" t="array" ref="S48:S49">T26:T27</f>
        <v>r14</v>
      </c>
      <c r="U48" s="50" t="n">
        <f aca="false" t="array" ref="U48:U49">V35:V36</f>
        <v>-20000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5</v>
      </c>
      <c r="M49" s="13" t="n">
        <v>-656250</v>
      </c>
      <c r="N49" s="13" t="n">
        <v>1750000000</v>
      </c>
      <c r="P49" s="13"/>
      <c r="Q49" s="13"/>
      <c r="R49" s="13"/>
      <c r="S49" s="21" t="str">
        <v>r16</v>
      </c>
      <c r="U49" s="13" t="n">
        <v>13333333.3333333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/>
      <c r="P50" s="13"/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5</v>
      </c>
      <c r="N58" s="10" t="n">
        <v>6</v>
      </c>
      <c r="O58" s="10"/>
      <c r="P58" s="10"/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5</v>
      </c>
      <c r="M59" s="1" t="n">
        <f aca="false" t="array" ref="M59:N60">MINVERSE(M48:N49)</f>
        <v>0.012190476190477</v>
      </c>
      <c r="N59" s="1" t="n">
        <v>4.57142857142888E-006</v>
      </c>
      <c r="S59" s="13" t="n">
        <f aca="false" t="array" ref="S59:S60">U48:U49</f>
        <v>-20000</v>
      </c>
      <c r="U59" s="36" t="n">
        <f aca="false" t="array" ref="U59:U60">MMULT(M59:N60,S59:S60)</f>
        <v>-182.857142857155</v>
      </c>
      <c r="V59" s="1" t="s">
        <v>12</v>
      </c>
      <c r="W59" s="1" t="s">
        <v>126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6</v>
      </c>
      <c r="M60" s="1" t="n">
        <v>4.57142857142888E-006</v>
      </c>
      <c r="N60" s="13" t="n">
        <v>2.2857142857144E-009</v>
      </c>
      <c r="P60" s="13"/>
      <c r="S60" s="1" t="n">
        <v>13333333.3333333</v>
      </c>
      <c r="U60" s="36" t="n">
        <v>-0.0609523809523856</v>
      </c>
      <c r="V60" s="1" t="s">
        <v>78</v>
      </c>
      <c r="W60" s="1" t="n">
        <f aca="false">1000*U60</f>
        <v>-60.9523809523856</v>
      </c>
      <c r="X60" s="1" t="s">
        <v>79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/>
      <c r="N61" s="13"/>
      <c r="P61" s="13"/>
      <c r="U61" s="36"/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/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-SIN(RADIANS(Q12))*U59</f>
        <v>129.299525702692</v>
      </c>
      <c r="V66" s="1" t="s">
        <v>12</v>
      </c>
      <c r="W66" s="1" t="n">
        <v>0</v>
      </c>
      <c r="X66" s="1" t="n">
        <f aca="false" t="array" ref="X66:X67">MMULT(W16:X17,W66:W67)</f>
        <v>129.299525702692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COS(RADIANS(Q12))*U59</f>
        <v>-129.299525702692</v>
      </c>
      <c r="V67" s="1" t="s">
        <v>12</v>
      </c>
      <c r="W67" s="36" t="n">
        <f aca="false">U59</f>
        <v>-182.857142857155</v>
      </c>
      <c r="X67" s="1" t="n">
        <v>-129.299525702692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1.22464679914735E-012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0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0</v>
      </c>
      <c r="V80" s="13" t="n">
        <f aca="false">I31</f>
        <v>1.22464679914735E-012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-182.857142857155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-0.0609523809523856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4">
      <formula>ABS(V22)&lt;0.1</formula>
    </cfRule>
  </conditionalFormatting>
  <conditionalFormatting sqref="M22:R27 M13:R18 T13:Y18 M39:R44 M31:R36">
    <cfRule type="expression" priority="3" aboveAverage="0" equalAverage="0" bottom="0" percent="0" rank="0" text="" dxfId="15">
      <formula>ABS(M13)&lt;0.1</formula>
    </cfRule>
  </conditionalFormatting>
  <conditionalFormatting sqref="BR166:BR168">
    <cfRule type="cellIs" priority="4" operator="equal" aboveAverage="0" equalAverage="0" bottom="0" percent="0" rank="0" text="" dxfId="16">
      <formula>"VIRHE!"</formula>
    </cfRule>
    <cfRule type="cellIs" priority="5" operator="equal" aboveAverage="0" equalAverage="0" bottom="0" percent="0" rank="0" text="" dxfId="17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true" showOutlineSymbols="true" defaultGridColor="true" view="normal" topLeftCell="AF73" colorId="64" zoomScale="100" zoomScaleNormal="100" zoomScalePageLayoutView="100" workbookViewId="0">
      <selection pane="topLeft" activeCell="AT108" activeCellId="0" sqref="AT108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3"/>
    <col collapsed="false" customWidth="true" hidden="false" outlineLevel="0" max="15" min="15" style="1" width="9.42"/>
    <col collapsed="false" customWidth="true" hidden="false" outlineLevel="0" max="17" min="16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1" min="20" style="1" width="9.14"/>
    <col collapsed="false" customWidth="true" hidden="false" outlineLevel="0" max="24" min="22" style="1" width="9.3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2.8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10" t="s">
        <v>40</v>
      </c>
    </row>
    <row r="43" customFormat="false" ht="12.8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v>0</v>
      </c>
      <c r="BC43" s="7"/>
      <c r="BD43" s="69" t="n">
        <f aca="false" t="array" ref="BD43:BD54">MMULT(AK43:AV54,BB43:BB54)-AZ43:AZ54</f>
        <v>-14286.8688001871</v>
      </c>
    </row>
    <row r="44" customFormat="false" ht="12.8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62" t="n">
        <v>31520.766314083</v>
      </c>
    </row>
    <row r="45" customFormat="false" ht="12.8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>AT116</f>
        <v>-0.006532371505047</v>
      </c>
      <c r="BC45" s="37"/>
      <c r="BD45" s="62" t="n">
        <v>0</v>
      </c>
    </row>
    <row r="46" customFormat="false" ht="12.8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127</v>
      </c>
      <c r="AZ46" s="13" t="n">
        <f aca="false">AX9+BN9+AX25</f>
        <v>20000</v>
      </c>
      <c r="BB46" s="36" t="n">
        <f aca="false">AZ117</f>
        <v>0</v>
      </c>
      <c r="BC46" s="37"/>
      <c r="BD46" s="62" t="n">
        <v>-12281.1494711254</v>
      </c>
      <c r="CE46" s="2"/>
    </row>
    <row r="47" customFormat="false" ht="12.8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f aca="false">AZ118</f>
        <v>-0.0600395548839677</v>
      </c>
      <c r="BC47" s="34"/>
      <c r="BD47" s="161" t="n">
        <v>5.56610757485032E-010</v>
      </c>
      <c r="BS47" s="13"/>
      <c r="CE47" s="2"/>
    </row>
    <row r="48" customFormat="false" ht="12.8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f aca="false">AT118</f>
        <v>-0.00217335222800124</v>
      </c>
      <c r="BC48" s="37"/>
      <c r="BD48" s="62" t="n">
        <v>0</v>
      </c>
    </row>
    <row r="49" customFormat="false" ht="12.8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v>0</v>
      </c>
      <c r="BC49" s="37"/>
      <c r="BD49" s="62" t="n">
        <v>6568.01827131248</v>
      </c>
      <c r="CW49" s="2"/>
    </row>
    <row r="50" customFormat="false" ht="12.8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69" t="n">
        <v>2.146786259989E-013</v>
      </c>
      <c r="BK50" s="2"/>
      <c r="CW50" s="2"/>
    </row>
    <row r="51" customFormat="false" ht="12.8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>AT119</f>
        <v>0.00239415831166498</v>
      </c>
      <c r="BC51" s="37"/>
      <c r="BD51" s="62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.8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f aca="false">AZ120</f>
        <v>-0.0191885453266965</v>
      </c>
      <c r="BC52" s="41"/>
      <c r="BD52" s="69" t="n">
        <v>0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.8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128</v>
      </c>
      <c r="AZ53" s="13" t="n">
        <f aca="false">AX16+BN16+AX32</f>
        <v>-30000</v>
      </c>
      <c r="BB53" s="36" t="n">
        <f aca="false">AZ121</f>
        <v>0</v>
      </c>
      <c r="BC53" s="41"/>
      <c r="BD53" s="69" t="n">
        <v>28479.2336859164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.8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f aca="false">AT121</f>
        <v>0.00284512240471268</v>
      </c>
      <c r="BC54" s="41"/>
      <c r="BD54" s="69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3.8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E58" s="1" t="s">
        <v>129</v>
      </c>
      <c r="AF58" s="1" t="s">
        <v>130</v>
      </c>
      <c r="AG58" s="1" t="s">
        <v>131</v>
      </c>
      <c r="AH58" s="1" t="s">
        <v>132</v>
      </c>
      <c r="AI58" s="0"/>
      <c r="AJ58" s="2" t="s">
        <v>133</v>
      </c>
      <c r="AL58" s="0"/>
      <c r="AM58" s="0"/>
      <c r="AN58" s="0"/>
      <c r="AO58" s="0"/>
      <c r="AP58" s="0"/>
      <c r="AQ58" s="0"/>
      <c r="AR58" s="0"/>
      <c r="AS58" s="0"/>
      <c r="AT58" s="0"/>
      <c r="AU58" s="0"/>
      <c r="AV58" s="0"/>
      <c r="AW58" s="0"/>
      <c r="AX58" s="2" t="s">
        <v>134</v>
      </c>
      <c r="BB58" s="20"/>
      <c r="BE58" s="20"/>
      <c r="BK58" s="2"/>
    </row>
    <row r="59" customFormat="false" ht="13.8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E59" s="1" t="n">
        <v>1</v>
      </c>
      <c r="AF59" s="1" t="n">
        <v>0</v>
      </c>
      <c r="AG59" s="0" t="n">
        <f aca="false">COS(RADIANS(AF59))</f>
        <v>1</v>
      </c>
      <c r="AH59" s="0" t="n">
        <f aca="false">SIN(RADIANS(AF59))</f>
        <v>0</v>
      </c>
      <c r="AI59" s="0"/>
      <c r="AJ59" s="10"/>
      <c r="AK59" s="11" t="n">
        <v>1</v>
      </c>
      <c r="AL59" s="11" t="n">
        <v>2</v>
      </c>
      <c r="AM59" s="11" t="n">
        <v>3</v>
      </c>
      <c r="AN59" s="11" t="n">
        <v>4</v>
      </c>
      <c r="AO59" s="11" t="n">
        <v>5</v>
      </c>
      <c r="AP59" s="11" t="n">
        <v>6</v>
      </c>
      <c r="AQ59" s="11" t="n">
        <v>7</v>
      </c>
      <c r="AR59" s="11" t="n">
        <v>8</v>
      </c>
      <c r="AS59" s="11" t="n">
        <v>9</v>
      </c>
      <c r="AT59" s="11" t="n">
        <v>10</v>
      </c>
      <c r="AU59" s="11" t="n">
        <v>11</v>
      </c>
      <c r="AV59" s="11" t="n">
        <v>12</v>
      </c>
      <c r="AW59" s="0"/>
      <c r="AX59" s="10"/>
      <c r="AY59" s="11" t="n">
        <v>1</v>
      </c>
      <c r="AZ59" s="11" t="n">
        <v>2</v>
      </c>
      <c r="BA59" s="11" t="n">
        <v>3</v>
      </c>
      <c r="BB59" s="11" t="n">
        <v>4</v>
      </c>
      <c r="BC59" s="11" t="n">
        <v>5</v>
      </c>
      <c r="BD59" s="11" t="n">
        <v>6</v>
      </c>
      <c r="BE59" s="11" t="n">
        <v>7</v>
      </c>
      <c r="BF59" s="11" t="n">
        <v>8</v>
      </c>
      <c r="BG59" s="11" t="n">
        <v>9</v>
      </c>
      <c r="BH59" s="11" t="n">
        <v>10</v>
      </c>
      <c r="BI59" s="11" t="n">
        <v>11</v>
      </c>
      <c r="BJ59" s="11" t="n">
        <v>12</v>
      </c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3.8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E60" s="1" t="n">
        <v>2</v>
      </c>
      <c r="AF60" s="1" t="n">
        <v>0</v>
      </c>
      <c r="AG60" s="0" t="n">
        <f aca="false">COS(RADIANS(AF60))</f>
        <v>1</v>
      </c>
      <c r="AH60" s="0" t="n">
        <f aca="false">SIN(RADIANS(AF60))</f>
        <v>0</v>
      </c>
      <c r="AI60" s="0"/>
      <c r="AJ60" s="11" t="n">
        <v>1</v>
      </c>
      <c r="AK60" s="17" t="n">
        <f aca="false">AG59</f>
        <v>1</v>
      </c>
      <c r="AL60" s="17" t="n">
        <f aca="false">AH59</f>
        <v>0</v>
      </c>
      <c r="AM60" s="17" t="n">
        <v>0</v>
      </c>
      <c r="AN60" s="17" t="n">
        <v>0</v>
      </c>
      <c r="AO60" s="17" t="n">
        <v>0</v>
      </c>
      <c r="AP60" s="17" t="n">
        <v>0</v>
      </c>
      <c r="AQ60" s="17" t="n">
        <v>0</v>
      </c>
      <c r="AR60" s="17" t="n">
        <v>0</v>
      </c>
      <c r="AS60" s="17" t="n">
        <v>0</v>
      </c>
      <c r="AT60" s="17" t="n">
        <v>0</v>
      </c>
      <c r="AU60" s="17" t="n">
        <v>0</v>
      </c>
      <c r="AV60" s="17" t="n">
        <v>0</v>
      </c>
      <c r="AW60" s="0"/>
      <c r="AX60" s="11" t="n">
        <v>1</v>
      </c>
      <c r="AY60" s="7" t="n">
        <f aca="false" t="array" ref="AY60:BJ71">TRANSPOSE(AK60:AV71)</f>
        <v>1</v>
      </c>
      <c r="AZ60" s="7" t="n">
        <v>-0</v>
      </c>
      <c r="BA60" s="7" t="n">
        <v>0</v>
      </c>
      <c r="BB60" s="20" t="n">
        <v>0</v>
      </c>
      <c r="BC60" s="7" t="n">
        <v>0</v>
      </c>
      <c r="BD60" s="7" t="n">
        <v>0</v>
      </c>
      <c r="BE60" s="20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3.8" hidden="false" customHeight="false" outlineLevel="0" collapsed="false">
      <c r="V61" s="7"/>
      <c r="AC61" s="7"/>
      <c r="AE61" s="1" t="n">
        <v>3</v>
      </c>
      <c r="AF61" s="1" t="n">
        <v>0</v>
      </c>
      <c r="AG61" s="0" t="n">
        <f aca="false">COS(RADIANS(AF61))</f>
        <v>1</v>
      </c>
      <c r="AH61" s="0" t="n">
        <f aca="false">SIN(RADIANS(AF61))</f>
        <v>0</v>
      </c>
      <c r="AI61" s="0"/>
      <c r="AJ61" s="11" t="n">
        <v>2</v>
      </c>
      <c r="AK61" s="17" t="n">
        <f aca="false">-AH59</f>
        <v>-0</v>
      </c>
      <c r="AL61" s="17" t="n">
        <f aca="false">AG59</f>
        <v>1</v>
      </c>
      <c r="AM61" s="17" t="n">
        <v>0</v>
      </c>
      <c r="AN61" s="17" t="n">
        <v>0</v>
      </c>
      <c r="AO61" s="17" t="n">
        <v>0</v>
      </c>
      <c r="AP61" s="17" t="n">
        <v>0</v>
      </c>
      <c r="AQ61" s="17" t="n">
        <v>0</v>
      </c>
      <c r="AR61" s="17" t="n">
        <v>0</v>
      </c>
      <c r="AS61" s="17" t="n">
        <v>0</v>
      </c>
      <c r="AT61" s="17" t="n">
        <v>0</v>
      </c>
      <c r="AU61" s="17" t="n">
        <v>0</v>
      </c>
      <c r="AV61" s="17" t="n">
        <v>0</v>
      </c>
      <c r="AW61" s="0"/>
      <c r="AX61" s="11" t="n">
        <v>2</v>
      </c>
      <c r="AY61" s="7" t="n">
        <v>0</v>
      </c>
      <c r="AZ61" s="7" t="n">
        <v>1</v>
      </c>
      <c r="BA61" s="7" t="n">
        <v>0</v>
      </c>
      <c r="BB61" s="20" t="n">
        <v>0</v>
      </c>
      <c r="BC61" s="7" t="n">
        <v>0</v>
      </c>
      <c r="BD61" s="7" t="n">
        <v>0</v>
      </c>
      <c r="BE61" s="20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3.8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E62" s="1" t="n">
        <v>4</v>
      </c>
      <c r="AF62" s="1" t="n">
        <v>0</v>
      </c>
      <c r="AG62" s="0" t="n">
        <f aca="false">COS(RADIANS(AF62))</f>
        <v>1</v>
      </c>
      <c r="AH62" s="0" t="n">
        <f aca="false">SIN(RADIANS(AF62))</f>
        <v>0</v>
      </c>
      <c r="AI62" s="0"/>
      <c r="AJ62" s="11" t="n">
        <v>3</v>
      </c>
      <c r="AK62" s="17" t="n">
        <v>0</v>
      </c>
      <c r="AL62" s="17" t="n">
        <v>0</v>
      </c>
      <c r="AM62" s="17" t="n">
        <v>1</v>
      </c>
      <c r="AN62" s="17" t="n">
        <v>0</v>
      </c>
      <c r="AO62" s="17" t="n">
        <v>0</v>
      </c>
      <c r="AP62" s="17" t="n">
        <v>0</v>
      </c>
      <c r="AQ62" s="17" t="n">
        <v>0</v>
      </c>
      <c r="AR62" s="17" t="n">
        <v>0</v>
      </c>
      <c r="AS62" s="17" t="n">
        <v>0</v>
      </c>
      <c r="AT62" s="17" t="n">
        <v>0</v>
      </c>
      <c r="AU62" s="17" t="n">
        <v>0</v>
      </c>
      <c r="AV62" s="17" t="n">
        <v>0</v>
      </c>
      <c r="AW62" s="0"/>
      <c r="AX62" s="11" t="n">
        <v>3</v>
      </c>
      <c r="AY62" s="7" t="n">
        <v>0</v>
      </c>
      <c r="AZ62" s="7" t="n">
        <v>0</v>
      </c>
      <c r="BA62" s="7" t="n">
        <v>1</v>
      </c>
      <c r="BB62" s="20" t="n">
        <v>0</v>
      </c>
      <c r="BC62" s="7" t="n">
        <v>0</v>
      </c>
      <c r="BD62" s="7" t="n">
        <v>0</v>
      </c>
      <c r="BE62" s="20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3.8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H63" s="0"/>
      <c r="AI63" s="0"/>
      <c r="AJ63" s="11" t="n">
        <v>4</v>
      </c>
      <c r="AK63" s="17" t="n">
        <v>0</v>
      </c>
      <c r="AL63" s="17" t="n">
        <v>0</v>
      </c>
      <c r="AM63" s="17" t="n">
        <v>0</v>
      </c>
      <c r="AN63" s="17" t="n">
        <f aca="false">AG60</f>
        <v>1</v>
      </c>
      <c r="AO63" s="17" t="n">
        <f aca="false">AH60</f>
        <v>0</v>
      </c>
      <c r="AP63" s="17" t="n">
        <v>0</v>
      </c>
      <c r="AQ63" s="17" t="n">
        <v>0</v>
      </c>
      <c r="AR63" s="17" t="n">
        <v>0</v>
      </c>
      <c r="AS63" s="17" t="n">
        <v>0</v>
      </c>
      <c r="AT63" s="17" t="n">
        <v>0</v>
      </c>
      <c r="AU63" s="17" t="n">
        <v>0</v>
      </c>
      <c r="AV63" s="17" t="n">
        <v>0</v>
      </c>
      <c r="AW63" s="0"/>
      <c r="AX63" s="11" t="n">
        <v>4</v>
      </c>
      <c r="AY63" s="7" t="n">
        <v>0</v>
      </c>
      <c r="AZ63" s="7" t="n">
        <v>0</v>
      </c>
      <c r="BA63" s="7" t="n">
        <v>0</v>
      </c>
      <c r="BB63" s="7" t="n">
        <v>1</v>
      </c>
      <c r="BC63" s="7" t="n">
        <v>-0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3.8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H64" s="0"/>
      <c r="AI64" s="0"/>
      <c r="AJ64" s="11" t="n">
        <v>5</v>
      </c>
      <c r="AK64" s="17" t="n">
        <v>0</v>
      </c>
      <c r="AL64" s="17" t="n">
        <v>0</v>
      </c>
      <c r="AM64" s="17" t="n">
        <v>0</v>
      </c>
      <c r="AN64" s="17" t="n">
        <f aca="false">-AH60</f>
        <v>-0</v>
      </c>
      <c r="AO64" s="17" t="n">
        <f aca="false">AG60</f>
        <v>1</v>
      </c>
      <c r="AP64" s="17" t="n">
        <v>0</v>
      </c>
      <c r="AQ64" s="17" t="n">
        <v>0</v>
      </c>
      <c r="AR64" s="17" t="n">
        <v>0</v>
      </c>
      <c r="AS64" s="17" t="n">
        <v>0</v>
      </c>
      <c r="AT64" s="17" t="n">
        <v>0</v>
      </c>
      <c r="AU64" s="17" t="n">
        <v>0</v>
      </c>
      <c r="AV64" s="17" t="n">
        <v>0</v>
      </c>
      <c r="AW64" s="0"/>
      <c r="AX64" s="11" t="n">
        <v>5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1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R64" s="54"/>
    </row>
    <row r="65" customFormat="false" ht="13.8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H65" s="0"/>
      <c r="AI65" s="0"/>
      <c r="AJ65" s="11" t="n">
        <v>6</v>
      </c>
      <c r="AK65" s="17" t="n">
        <v>0</v>
      </c>
      <c r="AL65" s="17" t="n">
        <v>0</v>
      </c>
      <c r="AM65" s="17" t="n">
        <v>0</v>
      </c>
      <c r="AN65" s="17" t="n">
        <v>0</v>
      </c>
      <c r="AO65" s="17" t="n">
        <v>0</v>
      </c>
      <c r="AP65" s="17" t="n">
        <v>1</v>
      </c>
      <c r="AQ65" s="17" t="n">
        <v>0</v>
      </c>
      <c r="AR65" s="17" t="n">
        <v>0</v>
      </c>
      <c r="AS65" s="17" t="n">
        <v>0</v>
      </c>
      <c r="AT65" s="17" t="n">
        <v>0</v>
      </c>
      <c r="AU65" s="17" t="n">
        <v>0</v>
      </c>
      <c r="AV65" s="17" t="n">
        <v>0</v>
      </c>
      <c r="AW65" s="0"/>
      <c r="AX65" s="11" t="n">
        <v>6</v>
      </c>
      <c r="AY65" s="7" t="n">
        <v>0</v>
      </c>
      <c r="AZ65" s="7" t="n">
        <v>0</v>
      </c>
      <c r="BA65" s="7" t="n">
        <v>0</v>
      </c>
      <c r="BB65" s="7" t="n">
        <v>0</v>
      </c>
      <c r="BC65" s="42" t="n">
        <v>0</v>
      </c>
      <c r="BD65" s="42" t="n">
        <v>1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R65" s="54"/>
    </row>
    <row r="66" customFormat="false" ht="13.8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H66" s="0"/>
      <c r="AI66" s="0"/>
      <c r="AJ66" s="11" t="n">
        <v>7</v>
      </c>
      <c r="AK66" s="17" t="n">
        <v>0</v>
      </c>
      <c r="AL66" s="17" t="n">
        <v>0</v>
      </c>
      <c r="AM66" s="17" t="n">
        <v>0</v>
      </c>
      <c r="AN66" s="17" t="n">
        <v>0</v>
      </c>
      <c r="AO66" s="17" t="n">
        <v>0</v>
      </c>
      <c r="AP66" s="17" t="n">
        <v>0</v>
      </c>
      <c r="AQ66" s="17" t="n">
        <f aca="false">AG61</f>
        <v>1</v>
      </c>
      <c r="AR66" s="17" t="n">
        <f aca="false">AH61</f>
        <v>0</v>
      </c>
      <c r="AS66" s="17" t="n">
        <v>0</v>
      </c>
      <c r="AT66" s="17" t="n">
        <v>0</v>
      </c>
      <c r="AU66" s="17" t="n">
        <v>0</v>
      </c>
      <c r="AV66" s="17" t="n">
        <v>0</v>
      </c>
      <c r="AW66" s="0"/>
      <c r="AX66" s="11" t="n">
        <v>7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1</v>
      </c>
      <c r="BF66" s="7" t="n">
        <v>-0</v>
      </c>
      <c r="BG66" s="7" t="n">
        <v>0</v>
      </c>
      <c r="BH66" s="7" t="n">
        <v>0</v>
      </c>
      <c r="BI66" s="7" t="n">
        <v>0</v>
      </c>
      <c r="BJ66" s="7" t="n">
        <v>0</v>
      </c>
      <c r="BR66" s="54"/>
    </row>
    <row r="67" customFormat="false" ht="13.8" hidden="false" customHeight="false" outlineLevel="0" collapsed="false">
      <c r="H67" s="1" t="s">
        <v>75</v>
      </c>
      <c r="I67" s="57" t="n">
        <f aca="false">E6-I66</f>
        <v>2000</v>
      </c>
      <c r="M67" s="8"/>
      <c r="AH67" s="0"/>
      <c r="AI67" s="0"/>
      <c r="AJ67" s="11" t="n">
        <v>8</v>
      </c>
      <c r="AK67" s="17" t="n">
        <v>0</v>
      </c>
      <c r="AL67" s="17" t="n">
        <v>0</v>
      </c>
      <c r="AM67" s="17" t="n">
        <v>0</v>
      </c>
      <c r="AN67" s="17" t="n">
        <v>0</v>
      </c>
      <c r="AO67" s="17" t="n">
        <v>0</v>
      </c>
      <c r="AP67" s="17" t="n">
        <v>0</v>
      </c>
      <c r="AQ67" s="17" t="n">
        <f aca="false">-AH61</f>
        <v>-0</v>
      </c>
      <c r="AR67" s="17" t="n">
        <f aca="false">AG61</f>
        <v>1</v>
      </c>
      <c r="AS67" s="17" t="n">
        <v>0</v>
      </c>
      <c r="AT67" s="17" t="n">
        <v>0</v>
      </c>
      <c r="AU67" s="17" t="n">
        <v>0</v>
      </c>
      <c r="AV67" s="17" t="n">
        <v>0</v>
      </c>
      <c r="AW67" s="0"/>
      <c r="AX67" s="11" t="n">
        <v>8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1</v>
      </c>
      <c r="BG67" s="7" t="n">
        <v>0</v>
      </c>
      <c r="BH67" s="7" t="n">
        <v>0</v>
      </c>
      <c r="BI67" s="7" t="n">
        <v>0</v>
      </c>
      <c r="BJ67" s="7" t="n">
        <v>0</v>
      </c>
      <c r="BR67" s="54"/>
    </row>
    <row r="68" customFormat="false" ht="13.8" hidden="false" customHeight="false" outlineLevel="0" collapsed="false">
      <c r="H68" s="1" t="s">
        <v>76</v>
      </c>
      <c r="M68" s="8" t="s">
        <v>66</v>
      </c>
      <c r="AH68" s="0"/>
      <c r="AI68" s="0"/>
      <c r="AJ68" s="11" t="n">
        <v>9</v>
      </c>
      <c r="AK68" s="17" t="n">
        <v>0</v>
      </c>
      <c r="AL68" s="17" t="n">
        <v>0</v>
      </c>
      <c r="AM68" s="17" t="n">
        <v>0</v>
      </c>
      <c r="AN68" s="17" t="n">
        <v>0</v>
      </c>
      <c r="AO68" s="17" t="n">
        <v>0</v>
      </c>
      <c r="AP68" s="17" t="n">
        <v>0</v>
      </c>
      <c r="AQ68" s="17" t="n">
        <v>0</v>
      </c>
      <c r="AR68" s="17" t="n">
        <v>0</v>
      </c>
      <c r="AS68" s="17" t="n">
        <v>1</v>
      </c>
      <c r="AT68" s="17" t="n">
        <v>0</v>
      </c>
      <c r="AU68" s="17" t="n">
        <v>0</v>
      </c>
      <c r="AV68" s="17" t="n">
        <v>0</v>
      </c>
      <c r="AW68" s="0"/>
      <c r="AX68" s="11" t="n">
        <v>9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1</v>
      </c>
      <c r="BH68" s="7" t="n">
        <v>0</v>
      </c>
      <c r="BI68" s="7" t="n">
        <v>0</v>
      </c>
      <c r="BJ68" s="7" t="n">
        <v>0</v>
      </c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AH69" s="0"/>
      <c r="AI69" s="0"/>
      <c r="AJ69" s="11" t="n">
        <v>10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f aca="false">AG62</f>
        <v>1</v>
      </c>
      <c r="AU69" s="17" t="n">
        <f aca="false">AH62</f>
        <v>0</v>
      </c>
      <c r="AV69" s="17" t="n">
        <v>0</v>
      </c>
      <c r="AW69" s="0"/>
      <c r="AX69" s="11" t="n">
        <v>10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7" t="n">
        <v>1</v>
      </c>
      <c r="BI69" s="7" t="n">
        <v>-0</v>
      </c>
      <c r="BJ69" s="7" t="n">
        <v>0</v>
      </c>
      <c r="BR69" s="54"/>
    </row>
    <row r="70" customFormat="false" ht="13.8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0"/>
      <c r="AI70" s="0"/>
      <c r="AJ70" s="11" t="n">
        <v>11</v>
      </c>
      <c r="AK70" s="17" t="n">
        <v>0</v>
      </c>
      <c r="AL70" s="17" t="n">
        <v>0</v>
      </c>
      <c r="AM70" s="17" t="n">
        <v>0</v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f aca="false">-AH62</f>
        <v>-0</v>
      </c>
      <c r="AU70" s="17" t="n">
        <f aca="false">AG62</f>
        <v>1</v>
      </c>
      <c r="AV70" s="17" t="n">
        <v>0</v>
      </c>
      <c r="AW70" s="0"/>
      <c r="AX70" s="11" t="n">
        <v>11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0</v>
      </c>
      <c r="BI70" s="7" t="n">
        <v>1</v>
      </c>
      <c r="BJ70" s="7" t="n">
        <v>0</v>
      </c>
    </row>
    <row r="71" customFormat="false" ht="13.8" hidden="false" customHeight="false" outlineLevel="0" collapsed="false">
      <c r="AG71" s="2"/>
      <c r="AH71" s="0"/>
      <c r="AI71" s="0"/>
      <c r="AJ71" s="11" t="n">
        <v>12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1</v>
      </c>
      <c r="AW71" s="0"/>
      <c r="AX71" s="11" t="n">
        <v>12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0"/>
      <c r="AK72" s="0"/>
      <c r="AL72" s="0"/>
      <c r="AM72" s="0"/>
      <c r="AN72" s="0"/>
      <c r="AO72" s="0"/>
      <c r="AP72" s="0"/>
      <c r="AQ72" s="0"/>
      <c r="AR72" s="0"/>
      <c r="AS72" s="0"/>
      <c r="AT72" s="0"/>
      <c r="AU72" s="0"/>
      <c r="AV72" s="0"/>
      <c r="AW72" s="0"/>
      <c r="AX72" s="0"/>
      <c r="AY72" s="0"/>
      <c r="AZ72" s="0"/>
      <c r="BA72" s="0"/>
      <c r="BB72" s="0"/>
      <c r="BC72" s="0"/>
      <c r="BD72" s="0"/>
      <c r="BE72" s="0"/>
      <c r="BF72" s="0"/>
      <c r="BG72" s="0"/>
      <c r="BH72" s="0"/>
      <c r="BI72" s="0"/>
      <c r="BJ72" s="0"/>
    </row>
    <row r="73" customFormat="false" ht="15" hidden="false" customHeight="true" outlineLevel="0" collapsed="false">
      <c r="H73" s="1" t="s">
        <v>81</v>
      </c>
      <c r="M73" s="8" t="s">
        <v>70</v>
      </c>
      <c r="AH73" s="0"/>
      <c r="AI73" s="0"/>
      <c r="AJ73" s="2" t="s">
        <v>135</v>
      </c>
      <c r="AL73" s="0"/>
      <c r="AM73" s="0"/>
      <c r="AN73" s="0"/>
      <c r="AO73" s="0"/>
      <c r="AP73" s="0"/>
      <c r="AQ73" s="0"/>
      <c r="AR73" s="0"/>
      <c r="AS73" s="0"/>
      <c r="AT73" s="0"/>
      <c r="AU73" s="0"/>
      <c r="AV73" s="0"/>
      <c r="AW73" s="0"/>
      <c r="AX73" s="0"/>
      <c r="AY73" s="0"/>
      <c r="BB73" s="7"/>
      <c r="BK73" s="2"/>
    </row>
    <row r="74" customFormat="false" ht="13.8" hidden="false" customHeight="false" outlineLevel="0" collapsed="false">
      <c r="M74" s="55" t="s">
        <v>73</v>
      </c>
      <c r="AH74" s="0"/>
      <c r="AI74" s="0"/>
      <c r="AJ74" s="10"/>
      <c r="AK74" s="11" t="n">
        <v>1</v>
      </c>
      <c r="AL74" s="11" t="n">
        <v>2</v>
      </c>
      <c r="AM74" s="11" t="n">
        <v>3</v>
      </c>
      <c r="AN74" s="11" t="n">
        <v>4</v>
      </c>
      <c r="AO74" s="11" t="n">
        <v>5</v>
      </c>
      <c r="AP74" s="11" t="n">
        <v>6</v>
      </c>
      <c r="AQ74" s="11" t="n">
        <v>7</v>
      </c>
      <c r="AR74" s="11" t="n">
        <v>8</v>
      </c>
      <c r="AS74" s="11" t="n">
        <v>9</v>
      </c>
      <c r="AT74" s="11" t="n">
        <v>10</v>
      </c>
      <c r="AU74" s="11" t="n">
        <v>11</v>
      </c>
      <c r="AV74" s="11" t="n">
        <v>12</v>
      </c>
      <c r="AW74" s="0"/>
      <c r="AX74" s="0"/>
      <c r="AY74" s="0"/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3.8" hidden="false" customHeight="false" outlineLevel="0" collapsed="false">
      <c r="G75" s="59"/>
      <c r="M75" s="8"/>
      <c r="AH75" s="0"/>
      <c r="AI75" s="0"/>
      <c r="AJ75" s="11" t="n">
        <v>1</v>
      </c>
      <c r="AK75" s="12" t="n">
        <f aca="false" t="array" ref="AK75:AV86">MMULT(AK43:AV54,AY60:BJ71)</f>
        <v>328.125</v>
      </c>
      <c r="AL75" s="12" t="n">
        <v>3.21268866160695E-011</v>
      </c>
      <c r="AM75" s="12" t="n">
        <v>-656250</v>
      </c>
      <c r="AN75" s="12" t="n">
        <v>-328.125</v>
      </c>
      <c r="AO75" s="12" t="n">
        <v>-3.21268866160695E-011</v>
      </c>
      <c r="AP75" s="12" t="n">
        <v>-656250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0"/>
      <c r="AX75" s="0"/>
      <c r="AY75" s="0"/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3.8" hidden="false" customHeight="false" outlineLevel="0" collapsed="false">
      <c r="F76" s="1" t="s">
        <v>82</v>
      </c>
      <c r="M76" s="8"/>
      <c r="AH76" s="0"/>
      <c r="AI76" s="0"/>
      <c r="AJ76" s="11" t="n">
        <v>2</v>
      </c>
      <c r="AK76" s="12" t="n">
        <v>3.21268866160695E-011</v>
      </c>
      <c r="AL76" s="12" t="n">
        <v>525000</v>
      </c>
      <c r="AM76" s="12" t="n">
        <v>4.01837230970225E-011</v>
      </c>
      <c r="AN76" s="12" t="n">
        <v>-3.21268866160695E-011</v>
      </c>
      <c r="AO76" s="12" t="n">
        <v>-525000</v>
      </c>
      <c r="AP76" s="12" t="n">
        <v>4.01837230970225E-011</v>
      </c>
      <c r="AQ76" s="21" t="n">
        <v>0</v>
      </c>
      <c r="AR76" s="21" t="n">
        <v>0</v>
      </c>
      <c r="AS76" s="21" t="n">
        <v>0</v>
      </c>
      <c r="AT76" s="21" t="n">
        <v>0</v>
      </c>
      <c r="AU76" s="21" t="n">
        <v>0</v>
      </c>
      <c r="AV76" s="21" t="n">
        <v>0</v>
      </c>
      <c r="AW76" s="0"/>
      <c r="AX76" s="0"/>
      <c r="AY76" s="0"/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3.8" hidden="false" customHeight="false" outlineLevel="0" collapsed="false">
      <c r="M77" s="55"/>
      <c r="AH77" s="0"/>
      <c r="AI77" s="0"/>
      <c r="AJ77" s="11" t="n">
        <v>3</v>
      </c>
      <c r="AK77" s="12" t="n">
        <v>-656250</v>
      </c>
      <c r="AL77" s="12" t="n">
        <v>4.01837230970225E-011</v>
      </c>
      <c r="AM77" s="12" t="n">
        <v>1750000000</v>
      </c>
      <c r="AN77" s="12" t="n">
        <v>656250</v>
      </c>
      <c r="AO77" s="12" t="n">
        <v>-4.01837230970225E-011</v>
      </c>
      <c r="AP77" s="12" t="n">
        <v>875000000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0"/>
      <c r="AX77" s="0"/>
      <c r="AY77" s="0"/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3.8" hidden="false" customHeight="false" outlineLevel="0" collapsed="false">
      <c r="AH78" s="0"/>
      <c r="AI78" s="0"/>
      <c r="AJ78" s="11" t="n">
        <v>4</v>
      </c>
      <c r="AK78" s="12" t="n">
        <v>-328.125</v>
      </c>
      <c r="AL78" s="12" t="n">
        <v>-3.21268866160695E-011</v>
      </c>
      <c r="AM78" s="12" t="n">
        <v>656250</v>
      </c>
      <c r="AN78" s="39" t="n">
        <v>700328.125</v>
      </c>
      <c r="AO78" s="39" t="n">
        <v>3.21268866160695E-011</v>
      </c>
      <c r="AP78" s="39" t="n">
        <v>656250</v>
      </c>
      <c r="AQ78" s="17" t="n">
        <v>0</v>
      </c>
      <c r="AR78" s="21" t="n">
        <v>0</v>
      </c>
      <c r="AS78" s="21" t="n">
        <v>0</v>
      </c>
      <c r="AT78" s="24" t="n">
        <v>-700000</v>
      </c>
      <c r="AU78" s="16" t="n">
        <v>0</v>
      </c>
      <c r="AV78" s="16" t="n">
        <v>0</v>
      </c>
      <c r="AW78" s="0"/>
      <c r="AX78" s="0"/>
      <c r="AY78" s="0"/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3.8" hidden="false" customHeight="false" outlineLevel="0" collapsed="false">
      <c r="AH79" s="0"/>
      <c r="AI79" s="0"/>
      <c r="AJ79" s="11" t="n">
        <v>5</v>
      </c>
      <c r="AK79" s="12" t="n">
        <v>-3.21268866160695E-011</v>
      </c>
      <c r="AL79" s="12" t="n">
        <v>-525000</v>
      </c>
      <c r="AM79" s="12" t="n">
        <v>-4.01837230970225E-011</v>
      </c>
      <c r="AN79" s="39" t="n">
        <v>3.21268866160695E-011</v>
      </c>
      <c r="AO79" s="39" t="n">
        <v>525777.777777778</v>
      </c>
      <c r="AP79" s="39" t="n">
        <v>2333333.33333333</v>
      </c>
      <c r="AQ79" s="17" t="n">
        <v>0</v>
      </c>
      <c r="AR79" s="21" t="n">
        <v>0</v>
      </c>
      <c r="AS79" s="21" t="n">
        <v>0</v>
      </c>
      <c r="AT79" s="24" t="n">
        <v>0</v>
      </c>
      <c r="AU79" s="16" t="n">
        <v>-777.777777777778</v>
      </c>
      <c r="AV79" s="16" t="n">
        <v>2333333.33333333</v>
      </c>
      <c r="AW79" s="0"/>
      <c r="AX79" s="0"/>
      <c r="AY79" s="0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3.8" hidden="false" customHeight="false" outlineLevel="0" collapsed="false">
      <c r="AH80" s="0"/>
      <c r="AI80" s="0"/>
      <c r="AJ80" s="11" t="n">
        <v>6</v>
      </c>
      <c r="AK80" s="12" t="n">
        <v>-656250</v>
      </c>
      <c r="AL80" s="12" t="n">
        <v>4.01837230970225E-011</v>
      </c>
      <c r="AM80" s="12" t="n">
        <v>875000000</v>
      </c>
      <c r="AN80" s="39" t="n">
        <v>656250</v>
      </c>
      <c r="AO80" s="39" t="n">
        <v>2333333.33333333</v>
      </c>
      <c r="AP80" s="39" t="n">
        <v>11083333333.3333</v>
      </c>
      <c r="AQ80" s="21" t="n">
        <v>0</v>
      </c>
      <c r="AR80" s="21" t="n">
        <v>0</v>
      </c>
      <c r="AS80" s="21" t="n">
        <v>0</v>
      </c>
      <c r="AT80" s="24" t="n">
        <v>0</v>
      </c>
      <c r="AU80" s="24" t="n">
        <v>-2333333.33333333</v>
      </c>
      <c r="AV80" s="24" t="n">
        <v>4666666666.66667</v>
      </c>
      <c r="AW80" s="0"/>
      <c r="AX80" s="0"/>
      <c r="AY80" s="0"/>
      <c r="AZ80" s="60"/>
      <c r="BA80" s="7"/>
      <c r="BB80" s="7"/>
      <c r="BC80" s="46"/>
      <c r="BD80" s="46"/>
      <c r="BE80" s="20"/>
    </row>
    <row r="81" customFormat="false" ht="13.8" hidden="false" customHeight="false" outlineLevel="0" collapsed="false">
      <c r="AH81" s="0"/>
      <c r="AI81" s="0"/>
      <c r="AJ81" s="11" t="n">
        <v>7</v>
      </c>
      <c r="AK81" s="21" t="n">
        <v>0</v>
      </c>
      <c r="AL81" s="21" t="n">
        <v>0</v>
      </c>
      <c r="AM81" s="21" t="n">
        <v>0</v>
      </c>
      <c r="AN81" s="17" t="n">
        <v>0</v>
      </c>
      <c r="AO81" s="17" t="n">
        <v>0</v>
      </c>
      <c r="AP81" s="21" t="n">
        <v>0</v>
      </c>
      <c r="AQ81" s="31" t="n">
        <v>328.125</v>
      </c>
      <c r="AR81" s="26" t="n">
        <v>3.21268866160695E-011</v>
      </c>
      <c r="AS81" s="26" t="n">
        <v>-656250</v>
      </c>
      <c r="AT81" s="26" t="n">
        <v>-328.125</v>
      </c>
      <c r="AU81" s="31" t="n">
        <v>-3.21268866160695E-011</v>
      </c>
      <c r="AV81" s="31" t="n">
        <v>-656250</v>
      </c>
      <c r="AW81" s="0"/>
      <c r="AX81" s="0"/>
      <c r="AY81" s="0"/>
      <c r="AZ81" s="7"/>
      <c r="BB81" s="20"/>
      <c r="BE81" s="20"/>
      <c r="BK81" s="2"/>
    </row>
    <row r="82" customFormat="false" ht="13.8" hidden="false" customHeight="false" outlineLevel="0" collapsed="false">
      <c r="AH82" s="0"/>
      <c r="AI82" s="0"/>
      <c r="AJ82" s="11" t="n">
        <v>8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6" t="n">
        <v>3.21268866160695E-011</v>
      </c>
      <c r="AR82" s="31" t="n">
        <v>525000</v>
      </c>
      <c r="AS82" s="31" t="n">
        <v>4.01837230970225E-011</v>
      </c>
      <c r="AT82" s="31" t="n">
        <v>-3.21268866160695E-011</v>
      </c>
      <c r="AU82" s="31" t="n">
        <v>-525000</v>
      </c>
      <c r="AV82" s="31" t="n">
        <v>4.01837230970225E-011</v>
      </c>
      <c r="AW82" s="0"/>
      <c r="AX82" s="0"/>
      <c r="AY82" s="0"/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3.8" hidden="false" customHeight="false" outlineLevel="0" collapsed="false">
      <c r="AH83" s="0"/>
      <c r="AI83" s="0"/>
      <c r="AJ83" s="11" t="n">
        <v>9</v>
      </c>
      <c r="AK83" s="21" t="n">
        <v>0</v>
      </c>
      <c r="AL83" s="21" t="n">
        <v>0</v>
      </c>
      <c r="AM83" s="21" t="n">
        <v>0</v>
      </c>
      <c r="AN83" s="21" t="n">
        <v>0</v>
      </c>
      <c r="AO83" s="21" t="n">
        <v>0</v>
      </c>
      <c r="AP83" s="21" t="n">
        <v>0</v>
      </c>
      <c r="AQ83" s="26" t="n">
        <v>-656250</v>
      </c>
      <c r="AR83" s="31" t="n">
        <v>4.01837230970225E-011</v>
      </c>
      <c r="AS83" s="31" t="n">
        <v>1750000000</v>
      </c>
      <c r="AT83" s="31" t="n">
        <v>656250</v>
      </c>
      <c r="AU83" s="31" t="n">
        <v>-4.01837230970225E-011</v>
      </c>
      <c r="AV83" s="31" t="n">
        <v>875000000</v>
      </c>
      <c r="AW83" s="0"/>
      <c r="AX83" s="0"/>
      <c r="AY83" s="0"/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H84" s="0"/>
      <c r="AI84" s="0"/>
      <c r="AJ84" s="11" t="n">
        <v>10</v>
      </c>
      <c r="AK84" s="21" t="n">
        <v>0</v>
      </c>
      <c r="AL84" s="21" t="n">
        <v>0</v>
      </c>
      <c r="AM84" s="21" t="n">
        <v>0</v>
      </c>
      <c r="AN84" s="24" t="n">
        <v>-700000</v>
      </c>
      <c r="AO84" s="24" t="n">
        <v>0</v>
      </c>
      <c r="AP84" s="24" t="n">
        <v>0</v>
      </c>
      <c r="AQ84" s="26" t="n">
        <v>-328.125</v>
      </c>
      <c r="AR84" s="31" t="n">
        <v>-3.21268866160695E-011</v>
      </c>
      <c r="AS84" s="31" t="n">
        <v>656250</v>
      </c>
      <c r="AT84" s="43" t="n">
        <v>700328.125</v>
      </c>
      <c r="AU84" s="43" t="n">
        <v>3.21268866160695E-011</v>
      </c>
      <c r="AV84" s="43" t="n">
        <v>656250</v>
      </c>
      <c r="AW84" s="0"/>
      <c r="AX84" s="0"/>
      <c r="AY84" s="0"/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3.8" hidden="false" customHeight="false" outlineLevel="0" collapsed="false">
      <c r="AH85" s="0"/>
      <c r="AI85" s="0"/>
      <c r="AJ85" s="11" t="n">
        <v>11</v>
      </c>
      <c r="AK85" s="21" t="n">
        <v>0</v>
      </c>
      <c r="AL85" s="21" t="n">
        <v>0</v>
      </c>
      <c r="AM85" s="21" t="n">
        <v>0</v>
      </c>
      <c r="AN85" s="16" t="n">
        <v>0</v>
      </c>
      <c r="AO85" s="16" t="n">
        <v>-777.777777777778</v>
      </c>
      <c r="AP85" s="24" t="n">
        <v>-2333333.33333333</v>
      </c>
      <c r="AQ85" s="31" t="n">
        <v>-3.21268866160695E-011</v>
      </c>
      <c r="AR85" s="31" t="n">
        <v>-525000</v>
      </c>
      <c r="AS85" s="31" t="n">
        <v>-4.01837230970225E-011</v>
      </c>
      <c r="AT85" s="43" t="n">
        <v>3.21268866160695E-011</v>
      </c>
      <c r="AU85" s="43" t="n">
        <v>525777.777777778</v>
      </c>
      <c r="AV85" s="43" t="n">
        <v>-2333333.33333333</v>
      </c>
      <c r="AW85" s="0"/>
      <c r="AX85" s="0"/>
      <c r="AY85" s="0"/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3.8" hidden="false" customHeight="false" outlineLevel="0" collapsed="false">
      <c r="AH86" s="0"/>
      <c r="AI86" s="0"/>
      <c r="AJ86" s="11" t="n">
        <v>12</v>
      </c>
      <c r="AK86" s="21" t="n">
        <v>0</v>
      </c>
      <c r="AL86" s="21" t="n">
        <v>0</v>
      </c>
      <c r="AM86" s="21" t="n">
        <v>0</v>
      </c>
      <c r="AN86" s="16" t="n">
        <v>0</v>
      </c>
      <c r="AO86" s="16" t="n">
        <v>2333333.33333333</v>
      </c>
      <c r="AP86" s="24" t="n">
        <v>4666666666.66667</v>
      </c>
      <c r="AQ86" s="31" t="n">
        <v>-656250</v>
      </c>
      <c r="AR86" s="31" t="n">
        <v>4.01837230970225E-011</v>
      </c>
      <c r="AS86" s="31" t="n">
        <v>875000000</v>
      </c>
      <c r="AT86" s="43" t="n">
        <v>656250</v>
      </c>
      <c r="AU86" s="43" t="n">
        <v>-2333333.33333333</v>
      </c>
      <c r="AV86" s="43" t="n">
        <v>11083333333.3333</v>
      </c>
      <c r="AW86" s="0"/>
      <c r="AX86" s="0"/>
      <c r="AY86" s="0"/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3.8" hidden="false" customHeight="false" outlineLevel="0" collapsed="false">
      <c r="AJ87" s="0"/>
      <c r="AK87" s="0"/>
      <c r="AL87" s="0"/>
      <c r="AM87" s="0"/>
      <c r="AN87" s="0"/>
      <c r="AO87" s="0"/>
      <c r="AP87" s="0"/>
      <c r="AQ87" s="0"/>
      <c r="AR87" s="0"/>
      <c r="AS87" s="0"/>
      <c r="AT87" s="0"/>
      <c r="AU87" s="0"/>
      <c r="AV87" s="0"/>
      <c r="AW87" s="0"/>
      <c r="AX87" s="0"/>
      <c r="AY87" s="0"/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3.8" hidden="false" customHeight="false" outlineLevel="0" collapsed="false">
      <c r="AH88" s="0"/>
      <c r="AI88" s="0"/>
      <c r="AJ88" s="2" t="s">
        <v>136</v>
      </c>
      <c r="AL88" s="0"/>
      <c r="AM88" s="0"/>
      <c r="AN88" s="0"/>
      <c r="AO88" s="0"/>
      <c r="AP88" s="0"/>
      <c r="AQ88" s="0"/>
      <c r="AR88" s="0"/>
      <c r="AS88" s="0"/>
      <c r="AT88" s="0"/>
      <c r="AU88" s="0"/>
      <c r="AV88" s="0"/>
      <c r="AW88" s="0"/>
      <c r="AX88" s="0"/>
      <c r="AY88" s="0"/>
      <c r="AZ88" s="0" t="s">
        <v>137</v>
      </c>
    </row>
    <row r="89" customFormat="false" ht="13.8" hidden="false" customHeight="false" outlineLevel="0" collapsed="false">
      <c r="AH89" s="0"/>
      <c r="AI89" s="0"/>
      <c r="AJ89" s="10"/>
      <c r="AK89" s="11" t="n">
        <v>1</v>
      </c>
      <c r="AL89" s="11" t="n">
        <v>2</v>
      </c>
      <c r="AM89" s="11" t="n">
        <v>3</v>
      </c>
      <c r="AN89" s="11" t="n">
        <v>4</v>
      </c>
      <c r="AO89" s="11" t="n">
        <v>5</v>
      </c>
      <c r="AP89" s="11" t="n">
        <v>6</v>
      </c>
      <c r="AQ89" s="11" t="n">
        <v>7</v>
      </c>
      <c r="AR89" s="11" t="n">
        <v>8</v>
      </c>
      <c r="AS89" s="11" t="n">
        <v>9</v>
      </c>
      <c r="AT89" s="11" t="n">
        <v>10</v>
      </c>
      <c r="AU89" s="11" t="n">
        <v>11</v>
      </c>
      <c r="AV89" s="11" t="n">
        <v>12</v>
      </c>
      <c r="AW89" s="0"/>
      <c r="AX89" s="0"/>
      <c r="AY89" s="0"/>
      <c r="AZ89" s="0"/>
    </row>
    <row r="90" customFormat="false" ht="13.8" hidden="false" customHeight="false" outlineLevel="0" collapsed="false">
      <c r="AH90" s="0"/>
      <c r="AI90" s="0"/>
      <c r="AJ90" s="11" t="n">
        <v>1</v>
      </c>
      <c r="AK90" s="12" t="n">
        <f aca="false" t="array" ref="AK90:AV101">MMULT(AK60:AV71,AK75:AV86)</f>
        <v>328.125</v>
      </c>
      <c r="AL90" s="12" t="n">
        <v>3.21268866160695E-011</v>
      </c>
      <c r="AM90" s="12" t="n">
        <v>-656250</v>
      </c>
      <c r="AN90" s="12" t="n">
        <v>-328.125</v>
      </c>
      <c r="AO90" s="12" t="n">
        <v>-3.21268866160695E-011</v>
      </c>
      <c r="AP90" s="12" t="n">
        <v>-656250</v>
      </c>
      <c r="AQ90" s="21" t="n">
        <v>0</v>
      </c>
      <c r="AR90" s="21" t="n">
        <v>0</v>
      </c>
      <c r="AS90" s="21" t="n">
        <v>0</v>
      </c>
      <c r="AT90" s="21" t="n">
        <v>0</v>
      </c>
      <c r="AU90" s="21" t="n">
        <v>0</v>
      </c>
      <c r="AV90" s="21" t="n">
        <v>0</v>
      </c>
      <c r="AW90" s="0"/>
      <c r="AX90" s="0" t="n">
        <v>0</v>
      </c>
      <c r="AY90" s="0"/>
      <c r="AZ90" s="13" t="n">
        <f aca="false" t="array" ref="AZ90:AZ101">MMULT(AK60:AV71,AZ43:AZ54)</f>
        <v>20000</v>
      </c>
      <c r="BB90" s="63" t="n">
        <f aca="false" t="array" ref="BB90:BB101">MMULT(AK90:AV101,AX90:AX101)-AZ90:AZ101</f>
        <v>-14286.8688001871</v>
      </c>
    </row>
    <row r="91" customFormat="false" ht="13.8" hidden="false" customHeight="false" outlineLevel="0" collapsed="false">
      <c r="AH91" s="0"/>
      <c r="AI91" s="0"/>
      <c r="AJ91" s="11" t="n">
        <v>2</v>
      </c>
      <c r="AK91" s="12" t="n">
        <v>3.21268866160695E-011</v>
      </c>
      <c r="AL91" s="12" t="n">
        <v>525000</v>
      </c>
      <c r="AM91" s="12" t="n">
        <v>4.01837230970225E-011</v>
      </c>
      <c r="AN91" s="12" t="n">
        <v>-3.21268866160695E-011</v>
      </c>
      <c r="AO91" s="12" t="n">
        <v>-525000</v>
      </c>
      <c r="AP91" s="12" t="n">
        <v>4.01837230970225E-011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0"/>
      <c r="AX91" s="0" t="n">
        <v>0</v>
      </c>
      <c r="AY91" s="0"/>
      <c r="AZ91" s="13" t="n">
        <v>-1.22464679914735E-012</v>
      </c>
      <c r="BB91" s="63" t="n">
        <v>31520.766314083</v>
      </c>
    </row>
    <row r="92" customFormat="false" ht="13.8" hidden="false" customHeight="false" outlineLevel="0" collapsed="false">
      <c r="AH92" s="0"/>
      <c r="AI92" s="0"/>
      <c r="AJ92" s="11" t="n">
        <v>3</v>
      </c>
      <c r="AK92" s="12" t="n">
        <v>-656250</v>
      </c>
      <c r="AL92" s="12" t="n">
        <v>4.01837230970225E-011</v>
      </c>
      <c r="AM92" s="12" t="n">
        <v>1750000000</v>
      </c>
      <c r="AN92" s="12" t="n">
        <v>656250</v>
      </c>
      <c r="AO92" s="12" t="n">
        <v>-4.01837230970225E-011</v>
      </c>
      <c r="AP92" s="12" t="n">
        <v>875000000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X92" s="162" t="n">
        <f aca="false">AT116</f>
        <v>-0.006532371505047</v>
      </c>
      <c r="AZ92" s="13" t="n">
        <v>-13333333.3333333</v>
      </c>
      <c r="BB92" s="63" t="n">
        <v>0</v>
      </c>
    </row>
    <row r="93" customFormat="false" ht="13.8" hidden="false" customHeight="false" outlineLevel="0" collapsed="false">
      <c r="AH93" s="0"/>
      <c r="AI93" s="0"/>
      <c r="AJ93" s="11" t="n">
        <v>4</v>
      </c>
      <c r="AK93" s="12" t="n">
        <v>-328.125</v>
      </c>
      <c r="AL93" s="12" t="n">
        <v>-3.21268866160695E-011</v>
      </c>
      <c r="AM93" s="12" t="n">
        <v>656250</v>
      </c>
      <c r="AN93" s="39" t="n">
        <v>700328.125</v>
      </c>
      <c r="AO93" s="39" t="n">
        <v>3.21268866160695E-011</v>
      </c>
      <c r="AP93" s="39" t="n">
        <v>656250</v>
      </c>
      <c r="AQ93" s="17" t="n">
        <v>0</v>
      </c>
      <c r="AR93" s="21" t="n">
        <v>0</v>
      </c>
      <c r="AS93" s="21" t="n">
        <v>0</v>
      </c>
      <c r="AT93" s="24" t="n">
        <v>-700000</v>
      </c>
      <c r="AU93" s="16" t="n">
        <v>0</v>
      </c>
      <c r="AV93" s="16" t="n">
        <v>0</v>
      </c>
      <c r="AX93" s="0" t="n">
        <v>0</v>
      </c>
      <c r="AZ93" s="13" t="n">
        <v>20000</v>
      </c>
      <c r="BB93" s="63" t="n">
        <v>-12281.1494711254</v>
      </c>
    </row>
    <row r="94" customFormat="false" ht="13.8" hidden="false" customHeight="false" outlineLevel="0" collapsed="false">
      <c r="AH94" s="0"/>
      <c r="AI94" s="0"/>
      <c r="AJ94" s="11" t="n">
        <v>5</v>
      </c>
      <c r="AK94" s="12" t="n">
        <v>-3.21268866160695E-011</v>
      </c>
      <c r="AL94" s="12" t="n">
        <v>-525000</v>
      </c>
      <c r="AM94" s="12" t="n">
        <v>-4.01837230970225E-011</v>
      </c>
      <c r="AN94" s="39" t="n">
        <v>3.21268866160695E-011</v>
      </c>
      <c r="AO94" s="39" t="n">
        <v>525777.777777778</v>
      </c>
      <c r="AP94" s="39" t="n">
        <v>2333333.33333333</v>
      </c>
      <c r="AQ94" s="17" t="n">
        <v>0</v>
      </c>
      <c r="AR94" s="21" t="n">
        <v>0</v>
      </c>
      <c r="AS94" s="21" t="n">
        <v>0</v>
      </c>
      <c r="AT94" s="24" t="n">
        <v>0</v>
      </c>
      <c r="AU94" s="16" t="n">
        <v>-777.777777777778</v>
      </c>
      <c r="AV94" s="16" t="n">
        <v>2333333.33333333</v>
      </c>
      <c r="AX94" s="162" t="n">
        <f aca="false">AT117</f>
        <v>-0.0600395548839677</v>
      </c>
      <c r="AZ94" s="13" t="n">
        <v>-30000</v>
      </c>
      <c r="BB94" s="63" t="n">
        <v>5.56610757485032E-010</v>
      </c>
      <c r="BC94" s="56"/>
      <c r="BD94" s="56"/>
    </row>
    <row r="95" customFormat="false" ht="13.8" hidden="false" customHeight="false" outlineLevel="0" collapsed="false">
      <c r="AH95" s="0"/>
      <c r="AI95" s="0"/>
      <c r="AJ95" s="11" t="n">
        <v>6</v>
      </c>
      <c r="AK95" s="12" t="n">
        <v>-656250</v>
      </c>
      <c r="AL95" s="12" t="n">
        <v>4.01837230970225E-011</v>
      </c>
      <c r="AM95" s="12" t="n">
        <v>875000000</v>
      </c>
      <c r="AN95" s="39" t="n">
        <v>656250</v>
      </c>
      <c r="AO95" s="39" t="n">
        <v>2333333.33333333</v>
      </c>
      <c r="AP95" s="39" t="n">
        <v>11083333333.3333</v>
      </c>
      <c r="AQ95" s="21" t="n">
        <v>0</v>
      </c>
      <c r="AR95" s="21" t="n">
        <v>0</v>
      </c>
      <c r="AS95" s="21" t="n">
        <v>0</v>
      </c>
      <c r="AT95" s="24" t="n">
        <v>0</v>
      </c>
      <c r="AU95" s="24" t="n">
        <v>-2333333.33333333</v>
      </c>
      <c r="AV95" s="24" t="n">
        <v>4666666666.66667</v>
      </c>
      <c r="AX95" s="162" t="n">
        <f aca="false">AT118</f>
        <v>-0.00217335222800124</v>
      </c>
      <c r="AZ95" s="13" t="n">
        <v>-16666666.6666667</v>
      </c>
      <c r="BB95" s="63" t="n">
        <v>0</v>
      </c>
    </row>
    <row r="96" customFormat="false" ht="13.8" hidden="false" customHeight="false" outlineLevel="0" collapsed="false">
      <c r="AH96" s="0"/>
      <c r="AI96" s="0"/>
      <c r="AJ96" s="11" t="n">
        <v>7</v>
      </c>
      <c r="AK96" s="21" t="n">
        <v>0</v>
      </c>
      <c r="AL96" s="21" t="n">
        <v>0</v>
      </c>
      <c r="AM96" s="21" t="n">
        <v>0</v>
      </c>
      <c r="AN96" s="17" t="n">
        <v>0</v>
      </c>
      <c r="AO96" s="17" t="n">
        <v>0</v>
      </c>
      <c r="AP96" s="21" t="n">
        <v>0</v>
      </c>
      <c r="AQ96" s="31" t="n">
        <v>328.125</v>
      </c>
      <c r="AR96" s="26" t="n">
        <v>3.21268866160695E-011</v>
      </c>
      <c r="AS96" s="26" t="n">
        <v>-656250</v>
      </c>
      <c r="AT96" s="26" t="n">
        <v>-328.125</v>
      </c>
      <c r="AU96" s="31" t="n">
        <v>-3.21268866160695E-011</v>
      </c>
      <c r="AV96" s="31" t="n">
        <v>-656250</v>
      </c>
      <c r="AX96" s="0" t="n">
        <v>0</v>
      </c>
      <c r="AZ96" s="13" t="n">
        <v>-10000</v>
      </c>
      <c r="BB96" s="63" t="n">
        <v>6568.01827131248</v>
      </c>
    </row>
    <row r="97" customFormat="false" ht="13.8" hidden="false" customHeight="false" outlineLevel="0" collapsed="false">
      <c r="AH97" s="0"/>
      <c r="AI97" s="0"/>
      <c r="AJ97" s="11" t="n">
        <v>8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6" t="n">
        <v>3.21268866160695E-011</v>
      </c>
      <c r="AR97" s="31" t="n">
        <v>525000</v>
      </c>
      <c r="AS97" s="31" t="n">
        <v>4.01837230970225E-011</v>
      </c>
      <c r="AT97" s="31" t="n">
        <v>-3.21268866160695E-011</v>
      </c>
      <c r="AU97" s="31" t="n">
        <v>-525000</v>
      </c>
      <c r="AV97" s="31" t="n">
        <v>4.01837230970225E-011</v>
      </c>
      <c r="AX97" s="0" t="n">
        <v>0</v>
      </c>
      <c r="AZ97" s="13" t="n">
        <v>6.12323399573677E-013</v>
      </c>
      <c r="BB97" s="63" t="n">
        <v>2.146786259989E-013</v>
      </c>
    </row>
    <row r="98" customFormat="false" ht="13.8" hidden="false" customHeight="false" outlineLevel="0" collapsed="false">
      <c r="AH98" s="0"/>
      <c r="AI98" s="0"/>
      <c r="AJ98" s="11" t="n">
        <v>9</v>
      </c>
      <c r="AK98" s="21" t="n">
        <v>0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0</v>
      </c>
      <c r="AQ98" s="26" t="n">
        <v>-656250</v>
      </c>
      <c r="AR98" s="31" t="n">
        <v>4.01837230970225E-011</v>
      </c>
      <c r="AS98" s="31" t="n">
        <v>1750000000</v>
      </c>
      <c r="AT98" s="31" t="n">
        <v>656250</v>
      </c>
      <c r="AU98" s="31" t="n">
        <v>-4.01837230970225E-011</v>
      </c>
      <c r="AV98" s="31" t="n">
        <v>875000000</v>
      </c>
      <c r="AX98" s="162" t="n">
        <f aca="false">AT119</f>
        <v>0.00239415831166498</v>
      </c>
      <c r="AZ98" s="13" t="n">
        <v>6666666.66666667</v>
      </c>
      <c r="BB98" s="63" t="n">
        <v>0</v>
      </c>
    </row>
    <row r="99" customFormat="false" ht="13.8" hidden="false" customHeight="false" outlineLevel="0" collapsed="false">
      <c r="AH99" s="0"/>
      <c r="AI99" s="0"/>
      <c r="AJ99" s="11" t="n">
        <v>10</v>
      </c>
      <c r="AK99" s="21" t="n">
        <v>0</v>
      </c>
      <c r="AL99" s="21" t="n">
        <v>0</v>
      </c>
      <c r="AM99" s="21" t="n">
        <v>0</v>
      </c>
      <c r="AN99" s="24" t="n">
        <v>-700000</v>
      </c>
      <c r="AO99" s="24" t="n">
        <v>0</v>
      </c>
      <c r="AP99" s="24" t="n">
        <v>0</v>
      </c>
      <c r="AQ99" s="26" t="n">
        <v>-328.125</v>
      </c>
      <c r="AR99" s="31" t="n">
        <v>-3.21268866160695E-011</v>
      </c>
      <c r="AS99" s="31" t="n">
        <v>656250</v>
      </c>
      <c r="AT99" s="43" t="n">
        <v>700328.125</v>
      </c>
      <c r="AU99" s="43" t="n">
        <v>3.21268866160695E-011</v>
      </c>
      <c r="AV99" s="43" t="n">
        <v>656250</v>
      </c>
      <c r="AX99" s="162" t="n">
        <f aca="false">AT120</f>
        <v>-0.0191885453266965</v>
      </c>
      <c r="AZ99" s="13" t="n">
        <v>-10000</v>
      </c>
      <c r="BB99" s="63" t="n">
        <v>0</v>
      </c>
    </row>
    <row r="100" customFormat="false" ht="13.8" hidden="false" customHeight="false" outlineLevel="0" collapsed="false">
      <c r="AH100" s="0"/>
      <c r="AI100" s="0"/>
      <c r="AJ100" s="11" t="n">
        <v>11</v>
      </c>
      <c r="AK100" s="21" t="n">
        <v>0</v>
      </c>
      <c r="AL100" s="21" t="n">
        <v>0</v>
      </c>
      <c r="AM100" s="21" t="n">
        <v>0</v>
      </c>
      <c r="AN100" s="16" t="n">
        <v>0</v>
      </c>
      <c r="AO100" s="16" t="n">
        <v>-777.777777777778</v>
      </c>
      <c r="AP100" s="24" t="n">
        <v>-2333333.33333333</v>
      </c>
      <c r="AQ100" s="31" t="n">
        <v>-3.21268866160695E-011</v>
      </c>
      <c r="AR100" s="31" t="n">
        <v>-525000</v>
      </c>
      <c r="AS100" s="31" t="n">
        <v>-4.01837230970225E-011</v>
      </c>
      <c r="AT100" s="43" t="n">
        <v>3.21268866160695E-011</v>
      </c>
      <c r="AU100" s="43" t="n">
        <v>525777.777777778</v>
      </c>
      <c r="AV100" s="43" t="n">
        <v>-2333333.33333333</v>
      </c>
      <c r="AX100" s="0" t="n">
        <v>0</v>
      </c>
      <c r="AZ100" s="13" t="n">
        <v>-30000</v>
      </c>
      <c r="BB100" s="63" t="n">
        <v>28479.2336859164</v>
      </c>
    </row>
    <row r="101" customFormat="false" ht="13.8" hidden="false" customHeight="false" outlineLevel="0" collapsed="false">
      <c r="AH101" s="0"/>
      <c r="AI101" s="0"/>
      <c r="AJ101" s="11" t="n">
        <v>12</v>
      </c>
      <c r="AK101" s="21" t="n">
        <v>0</v>
      </c>
      <c r="AL101" s="21" t="n">
        <v>0</v>
      </c>
      <c r="AM101" s="21" t="n">
        <v>0</v>
      </c>
      <c r="AN101" s="16" t="n">
        <v>0</v>
      </c>
      <c r="AO101" s="16" t="n">
        <v>2333333.33333333</v>
      </c>
      <c r="AP101" s="24" t="n">
        <v>4666666666.66667</v>
      </c>
      <c r="AQ101" s="31" t="n">
        <v>-656250</v>
      </c>
      <c r="AR101" s="31" t="n">
        <v>4.01837230970225E-011</v>
      </c>
      <c r="AS101" s="31" t="n">
        <v>875000000</v>
      </c>
      <c r="AT101" s="43" t="n">
        <v>656250</v>
      </c>
      <c r="AU101" s="43" t="n">
        <v>-2333333.33333333</v>
      </c>
      <c r="AV101" s="43" t="n">
        <v>11083333333.3333</v>
      </c>
      <c r="AX101" s="162" t="n">
        <f aca="false">AT121</f>
        <v>0.00284512240471268</v>
      </c>
      <c r="AZ101" s="13" t="n">
        <v>23333333.3333333</v>
      </c>
      <c r="BB101" s="63" t="n">
        <v>0</v>
      </c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.8" hidden="false" customHeight="false" outlineLevel="0" collapsed="false">
      <c r="AJ103" s="2" t="s">
        <v>55</v>
      </c>
      <c r="AY103" s="7"/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3.8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J104" s="10"/>
      <c r="AK104" s="10" t="n">
        <v>3</v>
      </c>
      <c r="AL104" s="10" t="n">
        <v>5</v>
      </c>
      <c r="AM104" s="10" t="n">
        <v>6</v>
      </c>
      <c r="AN104" s="10" t="n">
        <v>9</v>
      </c>
      <c r="AO104" s="10" t="n">
        <v>10</v>
      </c>
      <c r="AP104" s="10" t="n">
        <v>12</v>
      </c>
      <c r="AQ104" s="7" t="s">
        <v>37</v>
      </c>
      <c r="AR104" s="10" t="s">
        <v>38</v>
      </c>
      <c r="AS104" s="7" t="s">
        <v>39</v>
      </c>
      <c r="AT104" s="47"/>
      <c r="AU104" s="0"/>
      <c r="AV104" s="0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.8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J105" s="11" t="n">
        <v>3</v>
      </c>
      <c r="AK105" s="13" t="n">
        <f aca="false">AM92</f>
        <v>1750000000</v>
      </c>
      <c r="AL105" s="13" t="n">
        <f aca="false">AO92</f>
        <v>-4.01837230970225E-011</v>
      </c>
      <c r="AM105" s="13" t="n">
        <f aca="false">AP92</f>
        <v>875000000</v>
      </c>
      <c r="AN105" s="13" t="n">
        <f aca="false">AS92</f>
        <v>0</v>
      </c>
      <c r="AO105" s="13" t="n">
        <f aca="false">AT92</f>
        <v>0</v>
      </c>
      <c r="AP105" s="13" t="n">
        <f aca="false">AV92</f>
        <v>0</v>
      </c>
      <c r="AQ105" s="13"/>
      <c r="AR105" s="13" t="str">
        <f aca="false">AX45</f>
        <v>r13</v>
      </c>
      <c r="AS105" s="13"/>
      <c r="AT105" s="21"/>
      <c r="AV105" s="50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.8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J106" s="11" t="n">
        <v>5</v>
      </c>
      <c r="AK106" s="13" t="n">
        <f aca="false">AM94</f>
        <v>-4.01837230970225E-011</v>
      </c>
      <c r="AL106" s="13" t="n">
        <f aca="false">AO94</f>
        <v>525777.777777778</v>
      </c>
      <c r="AM106" s="13" t="n">
        <f aca="false">AP94</f>
        <v>2333333.33333333</v>
      </c>
      <c r="AN106" s="13" t="n">
        <f aca="false">AS94</f>
        <v>0</v>
      </c>
      <c r="AO106" s="13" t="n">
        <f aca="false">AT94</f>
        <v>0</v>
      </c>
      <c r="AP106" s="13" t="n">
        <f aca="false">AV94</f>
        <v>2333333.33333333</v>
      </c>
      <c r="AQ106" s="13"/>
      <c r="AR106" s="13" t="s">
        <v>138</v>
      </c>
      <c r="AS106" s="13"/>
      <c r="AT106" s="21"/>
      <c r="AV106" s="5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.8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J107" s="11" t="n">
        <v>6</v>
      </c>
      <c r="AK107" s="13" t="n">
        <f aca="false">AM95</f>
        <v>875000000</v>
      </c>
      <c r="AL107" s="13" t="n">
        <f aca="false">AO95</f>
        <v>2333333.33333333</v>
      </c>
      <c r="AM107" s="13" t="n">
        <f aca="false">AP95</f>
        <v>11083333333.3333</v>
      </c>
      <c r="AN107" s="13" t="n">
        <f aca="false">AS95</f>
        <v>0</v>
      </c>
      <c r="AO107" s="13" t="n">
        <f aca="false">AT95</f>
        <v>0</v>
      </c>
      <c r="AP107" s="13" t="n">
        <f aca="false">AV95</f>
        <v>4666666666.66667</v>
      </c>
      <c r="AQ107" s="13"/>
      <c r="AR107" s="13" t="str">
        <f aca="false">AX48</f>
        <v>r23</v>
      </c>
      <c r="AS107" s="13"/>
      <c r="AT107" s="21"/>
      <c r="AV107" s="51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.8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J108" s="11" t="n">
        <v>9</v>
      </c>
      <c r="AK108" s="13" t="n">
        <f aca="false">AM98</f>
        <v>0</v>
      </c>
      <c r="AL108" s="13" t="n">
        <f aca="false">AO98</f>
        <v>0</v>
      </c>
      <c r="AM108" s="13" t="n">
        <f aca="false">AP98</f>
        <v>0</v>
      </c>
      <c r="AN108" s="13" t="n">
        <f aca="false">AS98</f>
        <v>1750000000</v>
      </c>
      <c r="AO108" s="13" t="n">
        <f aca="false">AT98</f>
        <v>656250</v>
      </c>
      <c r="AP108" s="13" t="n">
        <f aca="false">AV98</f>
        <v>875000000</v>
      </c>
      <c r="AQ108" s="13"/>
      <c r="AR108" s="13" t="str">
        <f aca="false">AX51</f>
        <v>r33</v>
      </c>
      <c r="AS108" s="13"/>
      <c r="AT108" s="21"/>
      <c r="AV108" s="5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.8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J109" s="11" t="n">
        <v>10</v>
      </c>
      <c r="AK109" s="13" t="n">
        <f aca="false">AM99</f>
        <v>0</v>
      </c>
      <c r="AL109" s="13" t="n">
        <f aca="false">AO99</f>
        <v>0</v>
      </c>
      <c r="AM109" s="13" t="n">
        <f aca="false">AP99</f>
        <v>0</v>
      </c>
      <c r="AN109" s="13" t="n">
        <f aca="false">AS99</f>
        <v>656250</v>
      </c>
      <c r="AO109" s="13" t="n">
        <f aca="false">AT99</f>
        <v>700328.125</v>
      </c>
      <c r="AP109" s="13" t="n">
        <f aca="false">AV99</f>
        <v>656250</v>
      </c>
      <c r="AR109" s="1" t="s">
        <v>139</v>
      </c>
      <c r="AT109" s="7"/>
      <c r="AV109" s="13"/>
      <c r="AZ109" s="7"/>
      <c r="BB109" s="20"/>
      <c r="BE109" s="62"/>
    </row>
    <row r="110" customFormat="false" ht="12.8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J110" s="11" t="n">
        <v>12</v>
      </c>
      <c r="AK110" s="13" t="n">
        <f aca="false">AM101</f>
        <v>0</v>
      </c>
      <c r="AL110" s="13" t="n">
        <f aca="false">AO101</f>
        <v>2333333.33333333</v>
      </c>
      <c r="AM110" s="13" t="n">
        <f aca="false">AP101</f>
        <v>4666666666.66667</v>
      </c>
      <c r="AN110" s="13" t="n">
        <f aca="false">AS101</f>
        <v>875000000</v>
      </c>
      <c r="AO110" s="13" t="n">
        <f aca="false">AT101</f>
        <v>656250</v>
      </c>
      <c r="AP110" s="13" t="n">
        <f aca="false">AV101</f>
        <v>11083333333.3333</v>
      </c>
      <c r="AR110" s="1" t="str">
        <f aca="false">AX54</f>
        <v>r43</v>
      </c>
      <c r="AT110" s="7"/>
      <c r="AZ110" s="20"/>
      <c r="BB110" s="20"/>
      <c r="BE110" s="62"/>
      <c r="BK110" s="2"/>
    </row>
    <row r="111" customFormat="false" ht="13.8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J111" s="0"/>
      <c r="AT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3.8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J112" s="0"/>
      <c r="AT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.8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J113" s="10"/>
      <c r="AK113" s="10"/>
      <c r="AL113" s="10"/>
      <c r="AM113" s="10"/>
      <c r="AN113" s="10"/>
      <c r="AO113" s="10"/>
      <c r="AP113" s="10"/>
      <c r="AQ113" s="10"/>
      <c r="AR113" s="10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.8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163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3.8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J115" s="10"/>
      <c r="AK115" s="10" t="n">
        <v>3</v>
      </c>
      <c r="AL115" s="10" t="n">
        <v>5</v>
      </c>
      <c r="AM115" s="10" t="n">
        <v>6</v>
      </c>
      <c r="AN115" s="10" t="n">
        <v>9</v>
      </c>
      <c r="AO115" s="10" t="n">
        <v>10</v>
      </c>
      <c r="AP115" s="10" t="n">
        <v>12</v>
      </c>
      <c r="AQ115" s="7" t="s">
        <v>37</v>
      </c>
      <c r="AR115" s="47" t="s">
        <v>10</v>
      </c>
      <c r="AS115" s="7" t="s">
        <v>39</v>
      </c>
      <c r="AT115" s="10" t="s">
        <v>38</v>
      </c>
      <c r="AX115" s="0"/>
      <c r="AY115" s="0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3.8" hidden="false" customHeight="false" outlineLevel="0" collapsed="false">
      <c r="AJ116" s="10" t="n">
        <v>3</v>
      </c>
      <c r="AK116" s="1" t="n">
        <f aca="false" t="array" ref="AK116:AP121">MINVERSE(AK105:AP110)</f>
        <v>6.00508915512716E-010</v>
      </c>
      <c r="AL116" s="1" t="n">
        <v>1.4510515386466E-010</v>
      </c>
      <c r="AM116" s="1" t="n">
        <v>-5.81606881682883E-011</v>
      </c>
      <c r="AN116" s="1" t="n">
        <v>-1.27273545725196E-011</v>
      </c>
      <c r="AO116" s="1" t="n">
        <v>-1.19346921051993E-011</v>
      </c>
      <c r="AP116" s="1" t="n">
        <v>2.54636601641182E-011</v>
      </c>
      <c r="AR116" s="13" t="n">
        <f aca="false">AZ92</f>
        <v>-13333333.3333333</v>
      </c>
      <c r="AT116" s="36" t="n">
        <f aca="false" t="array" ref="AT116:AT121">MMULT(AK116:AP121,AR116:AR121)</f>
        <v>-0.006532371505047</v>
      </c>
      <c r="AU116" s="1" t="s">
        <v>78</v>
      </c>
      <c r="AV116" s="1" t="n">
        <f aca="false">1000*AT116</f>
        <v>-6.532371505047</v>
      </c>
      <c r="AW116" s="1" t="s">
        <v>79</v>
      </c>
      <c r="AX116" s="0"/>
      <c r="AY116" s="0"/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7" customFormat="false" ht="12.8" hidden="false" customHeight="false" outlineLevel="0" collapsed="false">
      <c r="AJ117" s="10" t="n">
        <v>5</v>
      </c>
      <c r="AK117" s="1" t="n">
        <v>1.45105153864626E-010</v>
      </c>
      <c r="AL117" s="13" t="n">
        <v>1.90452007389763E-006</v>
      </c>
      <c r="AM117" s="13" t="n">
        <v>-2.90210307729252E-010</v>
      </c>
      <c r="AN117" s="1" t="n">
        <v>1.45057877355407E-010</v>
      </c>
      <c r="AO117" s="1" t="n">
        <v>1.36023640561391E-010</v>
      </c>
      <c r="AP117" s="1" t="n">
        <v>-2.90217772441219E-010</v>
      </c>
      <c r="AR117" s="13" t="n">
        <f aca="false">AZ94</f>
        <v>-30000</v>
      </c>
      <c r="AT117" s="36" t="n">
        <v>-0.0600395548839677</v>
      </c>
      <c r="AU117" s="1" t="s">
        <v>12</v>
      </c>
      <c r="AX117" s="1" t="s">
        <v>45</v>
      </c>
      <c r="AY117" s="1" t="n">
        <v>0</v>
      </c>
      <c r="AZ117" s="164" t="n">
        <f aca="false" t="array" ref="AZ117:AZ118">MMULT(BB63:BC64,AY117:AY118)</f>
        <v>0</v>
      </c>
    </row>
    <row r="118" customFormat="false" ht="12.8" hidden="false" customHeight="false" outlineLevel="0" collapsed="false">
      <c r="B118" s="2"/>
      <c r="AF118" s="2"/>
      <c r="AJ118" s="10" t="n">
        <v>6</v>
      </c>
      <c r="AK118" s="1" t="n">
        <v>-5.81606881682883E-011</v>
      </c>
      <c r="AL118" s="13" t="n">
        <v>-2.9021030772932E-010</v>
      </c>
      <c r="AM118" s="13" t="n">
        <v>1.16321376336577E-010</v>
      </c>
      <c r="AN118" s="1" t="n">
        <v>2.54547091450393E-011</v>
      </c>
      <c r="AO118" s="1" t="n">
        <v>2.38693842103987E-011</v>
      </c>
      <c r="AP118" s="1" t="n">
        <v>-5.09273203282364E-011</v>
      </c>
      <c r="AR118" s="13" t="n">
        <f aca="false">AZ95</f>
        <v>-16666666.6666667</v>
      </c>
      <c r="AT118" s="36" t="n">
        <v>-0.00217335222800124</v>
      </c>
      <c r="AU118" s="1" t="s">
        <v>78</v>
      </c>
      <c r="AV118" s="1" t="n">
        <f aca="false">1000*AT118</f>
        <v>-2.17335222800124</v>
      </c>
      <c r="AW118" s="1" t="s">
        <v>79</v>
      </c>
      <c r="AX118" s="1" t="s">
        <v>46</v>
      </c>
      <c r="AY118" s="36" t="n">
        <f aca="false">AT117</f>
        <v>-0.0600395548839677</v>
      </c>
      <c r="AZ118" s="164" t="n">
        <v>-0.0600395548839677</v>
      </c>
    </row>
    <row r="119" customFormat="false" ht="12.8" hidden="false" customHeight="false" outlineLevel="0" collapsed="false">
      <c r="E119" s="15"/>
      <c r="F119" s="9"/>
      <c r="V119" s="7"/>
      <c r="AJ119" s="10" t="n">
        <v>9</v>
      </c>
      <c r="AK119" s="1" t="n">
        <v>-1.27273545725196E-011</v>
      </c>
      <c r="AL119" s="1" t="n">
        <v>1.45057877355441E-010</v>
      </c>
      <c r="AM119" s="1" t="n">
        <v>2.54547091450393E-011</v>
      </c>
      <c r="AN119" s="1" t="n">
        <v>6.00689763919317E-010</v>
      </c>
      <c r="AO119" s="1" t="n">
        <v>-5.08401074255991E-010</v>
      </c>
      <c r="AP119" s="1" t="n">
        <v>-5.81410841757986E-011</v>
      </c>
      <c r="AR119" s="13" t="n">
        <f aca="false">AZ98</f>
        <v>6666666.66666667</v>
      </c>
      <c r="AT119" s="36" t="n">
        <v>0.00239415831166498</v>
      </c>
      <c r="AU119" s="1" t="s">
        <v>78</v>
      </c>
      <c r="AV119" s="1" t="n">
        <f aca="false">1000*AT119</f>
        <v>2.39415831166498</v>
      </c>
      <c r="AW119" s="1" t="s">
        <v>79</v>
      </c>
    </row>
    <row r="120" customFormat="false" ht="13.8" hidden="false" customHeight="false" outlineLevel="0" collapsed="false">
      <c r="E120" s="15"/>
      <c r="F120" s="9"/>
      <c r="V120" s="7"/>
      <c r="AJ120" s="10" t="n">
        <v>10</v>
      </c>
      <c r="AK120" s="1" t="n">
        <v>-1.19346921051993E-011</v>
      </c>
      <c r="AL120" s="1" t="n">
        <v>1.36023640561482E-010</v>
      </c>
      <c r="AM120" s="1" t="n">
        <v>2.38693842103986E-011</v>
      </c>
      <c r="AN120" s="1" t="n">
        <v>-5.08401074255991E-010</v>
      </c>
      <c r="AO120" s="1" t="n">
        <v>1.42842959074965E-006</v>
      </c>
      <c r="AP120" s="1" t="n">
        <v>-5.45200445502526E-011</v>
      </c>
      <c r="AR120" s="13" t="n">
        <f aca="false">AZ99</f>
        <v>-10000</v>
      </c>
      <c r="AT120" s="36" t="n">
        <v>-0.0191885453266965</v>
      </c>
      <c r="AU120" s="1" t="s">
        <v>12</v>
      </c>
      <c r="AV120" s="0"/>
      <c r="AW120" s="0"/>
      <c r="AX120" s="1" t="s">
        <v>51</v>
      </c>
      <c r="AY120" s="36" t="n">
        <f aca="false">AT120</f>
        <v>-0.0191885453266965</v>
      </c>
      <c r="AZ120" s="164" t="n">
        <f aca="false" t="array" ref="AZ120:AZ121">MMULT(BH69:BI70,AY120:AY121)</f>
        <v>-0.0191885453266965</v>
      </c>
    </row>
    <row r="121" customFormat="false" ht="12.8" hidden="false" customHeight="false" outlineLevel="0" collapsed="false">
      <c r="E121" s="15"/>
      <c r="F121" s="9"/>
      <c r="V121" s="7"/>
      <c r="AJ121" s="10" t="n">
        <v>12</v>
      </c>
      <c r="AK121" s="1" t="n">
        <v>2.54636601641182E-011</v>
      </c>
      <c r="AL121" s="1" t="n">
        <v>-2.90217772441302E-010</v>
      </c>
      <c r="AM121" s="1" t="n">
        <v>-5.09273203282364E-011</v>
      </c>
      <c r="AN121" s="1" t="n">
        <v>-5.81410841757986E-011</v>
      </c>
      <c r="AO121" s="13" t="n">
        <v>-5.45200445502526E-011</v>
      </c>
      <c r="AP121" s="1" t="n">
        <v>1.1632305838501E-010</v>
      </c>
      <c r="AR121" s="13" t="n">
        <f aca="false">AZ101</f>
        <v>23333333.3333333</v>
      </c>
      <c r="AT121" s="36" t="n">
        <v>0.00284512240471268</v>
      </c>
      <c r="AU121" s="1" t="s">
        <v>78</v>
      </c>
      <c r="AV121" s="1" t="n">
        <f aca="false">1000*AT121</f>
        <v>2.84512240471268</v>
      </c>
      <c r="AW121" s="1" t="s">
        <v>79</v>
      </c>
      <c r="AX121" s="1" t="s">
        <v>53</v>
      </c>
      <c r="AY121" s="1" t="n">
        <v>0</v>
      </c>
      <c r="AZ121" s="164" t="n">
        <v>0</v>
      </c>
      <c r="BB121" s="20"/>
      <c r="BE121" s="62"/>
    </row>
    <row r="122" customFormat="false" ht="13.8" hidden="false" customHeight="false" outlineLevel="0" collapsed="false">
      <c r="V122" s="7"/>
      <c r="AJ122" s="0"/>
      <c r="AO122" s="13"/>
      <c r="AT122" s="36"/>
      <c r="AX122" s="0"/>
      <c r="AY122" s="0"/>
      <c r="AZ122" s="20"/>
      <c r="BB122" s="20"/>
      <c r="BE122" s="62"/>
    </row>
    <row r="123" customFormat="false" ht="13.8" hidden="false" customHeight="false" outlineLevel="0" collapsed="false">
      <c r="V123" s="7"/>
      <c r="AJ123" s="0"/>
      <c r="AT123" s="36"/>
      <c r="AV123" s="1" t="n">
        <f aca="false">1000*AT123</f>
        <v>0</v>
      </c>
      <c r="AW123" s="1" t="s">
        <v>79</v>
      </c>
      <c r="AX123" s="0"/>
      <c r="AY123" s="0"/>
      <c r="AZ123" s="20"/>
      <c r="BB123" s="20"/>
      <c r="BE123" s="62"/>
    </row>
    <row r="124" customFormat="false" ht="12.8" hidden="false" customHeight="false" outlineLevel="0" collapsed="false">
      <c r="V124" s="7"/>
      <c r="AJ124" s="10"/>
      <c r="AK124" s="10"/>
      <c r="AL124" s="10"/>
      <c r="AM124" s="10"/>
      <c r="AN124" s="10"/>
      <c r="AO124" s="10"/>
      <c r="AP124" s="10"/>
      <c r="AQ124" s="10"/>
      <c r="AR124" s="10"/>
      <c r="AY124" s="7"/>
      <c r="AZ124" s="60"/>
      <c r="BB124" s="21"/>
      <c r="BE124" s="62"/>
    </row>
    <row r="125" customFormat="false" ht="12.8" hidden="false" customHeight="false" outlineLevel="0" collapsed="false">
      <c r="V125" s="7"/>
      <c r="AY125" s="7"/>
      <c r="AZ125" s="60"/>
      <c r="BB125" s="21"/>
      <c r="BE125" s="62"/>
    </row>
    <row r="126" customFormat="false" ht="12.8" hidden="false" customHeight="false" outlineLevel="0" collapsed="false">
      <c r="V126" s="7"/>
      <c r="AZ126" s="60"/>
      <c r="BB126" s="20"/>
      <c r="BE126" s="62"/>
    </row>
    <row r="127" customFormat="false" ht="12.8" hidden="false" customHeight="false" outlineLevel="0" collapsed="false">
      <c r="V127" s="7"/>
      <c r="AZ127" s="60"/>
      <c r="BA127" s="7"/>
      <c r="BB127" s="20"/>
      <c r="BC127" s="46"/>
      <c r="BD127" s="46"/>
      <c r="BE127" s="62"/>
    </row>
    <row r="128" customFormat="false" ht="12.8" hidden="false" customHeight="false" outlineLevel="0" collapsed="false">
      <c r="V128" s="7"/>
      <c r="AJ128" s="1" t="s">
        <v>83</v>
      </c>
      <c r="AZ128" s="60"/>
      <c r="BB128" s="20"/>
      <c r="BE128" s="62"/>
    </row>
    <row r="129" customFormat="false" ht="12.8" hidden="false" customHeight="true" outlineLevel="0" collapsed="false">
      <c r="V129" s="7"/>
      <c r="AJ129" s="1" t="s">
        <v>84</v>
      </c>
      <c r="AT129" s="61" t="s">
        <v>85</v>
      </c>
      <c r="AZ129" s="60"/>
      <c r="BB129" s="20"/>
      <c r="BE129" s="62"/>
    </row>
    <row r="130" customFormat="false" ht="12.8" hidden="false" customHeight="false" outlineLevel="0" collapsed="false">
      <c r="V130" s="7"/>
      <c r="AJ130" s="10"/>
      <c r="AK130" s="10" t="n">
        <v>1</v>
      </c>
      <c r="AL130" s="10" t="n">
        <v>2</v>
      </c>
      <c r="AM130" s="10" t="n">
        <v>3</v>
      </c>
      <c r="AN130" s="10" t="n">
        <v>4</v>
      </c>
      <c r="AO130" s="10" t="n">
        <v>5</v>
      </c>
      <c r="AP130" s="10" t="n">
        <v>6</v>
      </c>
      <c r="AQ130" s="7" t="s">
        <v>37</v>
      </c>
      <c r="AR130" s="10" t="s">
        <v>86</v>
      </c>
      <c r="AS130" s="7" t="s">
        <v>87</v>
      </c>
      <c r="AT130" s="61"/>
      <c r="AU130" s="7" t="s">
        <v>39</v>
      </c>
      <c r="AV130" s="10" t="s">
        <v>88</v>
      </c>
      <c r="AZ130" s="60"/>
      <c r="BB130" s="20"/>
      <c r="BE130" s="62"/>
    </row>
    <row r="131" customFormat="false" ht="12.8" hidden="false" customHeight="false" outlineLevel="0" collapsed="false">
      <c r="V131" s="7"/>
      <c r="AJ131" s="10" t="n">
        <v>1</v>
      </c>
      <c r="AK131" s="13" t="n">
        <f aca="false">B28</f>
        <v>525000</v>
      </c>
      <c r="AL131" s="13" t="n">
        <f aca="false">C28</f>
        <v>0</v>
      </c>
      <c r="AM131" s="13" t="n">
        <f aca="false">D28</f>
        <v>0</v>
      </c>
      <c r="AN131" s="13" t="n">
        <f aca="false">E28</f>
        <v>-525000</v>
      </c>
      <c r="AO131" s="13" t="n">
        <f aca="false">F28</f>
        <v>0</v>
      </c>
      <c r="AP131" s="13" t="n">
        <f aca="false">G28</f>
        <v>0</v>
      </c>
      <c r="AR131" s="1" t="n">
        <f aca="false" t="array" ref="AR131:AR136">MMULT(B45:G50,BB43:BB48)</f>
        <v>0</v>
      </c>
      <c r="AT131" s="13" t="n">
        <f aca="false">I28</f>
        <v>-0</v>
      </c>
      <c r="AV131" s="13" t="e">
        <f aca="false" t="array" ref="AV131:AV136">MMULT(AK131:AP136,_xlfn.anchorarray(AR131))-AT131:AT136</f>
        <v>#NAME?</v>
      </c>
      <c r="AZ131" s="60"/>
      <c r="BB131" s="21"/>
      <c r="BE131" s="62"/>
    </row>
    <row r="132" customFormat="false" ht="12.8" hidden="false" customHeight="false" outlineLevel="0" collapsed="false">
      <c r="V132" s="7"/>
      <c r="AJ132" s="10" t="n">
        <v>2</v>
      </c>
      <c r="AK132" s="13" t="n">
        <f aca="false">B29</f>
        <v>0</v>
      </c>
      <c r="AL132" s="13" t="n">
        <f aca="false">C29</f>
        <v>328.125</v>
      </c>
      <c r="AM132" s="13" t="n">
        <f aca="false">D29</f>
        <v>656250</v>
      </c>
      <c r="AN132" s="13" t="n">
        <f aca="false">E29</f>
        <v>0</v>
      </c>
      <c r="AO132" s="13" t="n">
        <f aca="false">F29</f>
        <v>-328.125</v>
      </c>
      <c r="AP132" s="13" t="n">
        <f aca="false">G29</f>
        <v>656250</v>
      </c>
      <c r="AR132" s="1" t="n">
        <v>0</v>
      </c>
      <c r="AT132" s="13" t="n">
        <f aca="false">I29</f>
        <v>-20000</v>
      </c>
      <c r="AV132" s="1" t="e">
        <v>#NAME?</v>
      </c>
      <c r="AZ132" s="60"/>
      <c r="BB132" s="21"/>
      <c r="BE132" s="62"/>
    </row>
    <row r="133" customFormat="false" ht="12.8" hidden="false" customHeight="false" outlineLevel="0" collapsed="false">
      <c r="V133" s="7"/>
      <c r="AJ133" s="10" t="n">
        <v>3</v>
      </c>
      <c r="AK133" s="13" t="n">
        <f aca="false">B30</f>
        <v>0</v>
      </c>
      <c r="AL133" s="13" t="n">
        <f aca="false">C30</f>
        <v>656250</v>
      </c>
      <c r="AM133" s="13" t="n">
        <f aca="false">D30</f>
        <v>1750000000</v>
      </c>
      <c r="AN133" s="13" t="n">
        <f aca="false">E30</f>
        <v>0</v>
      </c>
      <c r="AO133" s="13" t="n">
        <f aca="false">F30</f>
        <v>-656250</v>
      </c>
      <c r="AP133" s="13" t="n">
        <f aca="false">G30</f>
        <v>875000000</v>
      </c>
      <c r="AR133" s="1" t="n">
        <v>-0.006532371505047</v>
      </c>
      <c r="AT133" s="13" t="n">
        <f aca="false">I30</f>
        <v>-13333333.3333333</v>
      </c>
      <c r="AV133" s="1" t="e">
        <v>#NAME?</v>
      </c>
      <c r="AZ133" s="60"/>
      <c r="BB133" s="20"/>
      <c r="BE133" s="62"/>
    </row>
    <row r="134" customFormat="false" ht="12.8" hidden="false" customHeight="false" outlineLevel="0" collapsed="false">
      <c r="V134" s="7"/>
      <c r="AJ134" s="10" t="n">
        <v>4</v>
      </c>
      <c r="AK134" s="13" t="n">
        <f aca="false">B31</f>
        <v>-525000</v>
      </c>
      <c r="AL134" s="13" t="n">
        <f aca="false">C31</f>
        <v>0</v>
      </c>
      <c r="AM134" s="13" t="n">
        <f aca="false">D31</f>
        <v>0</v>
      </c>
      <c r="AN134" s="13" t="n">
        <f aca="false">E31</f>
        <v>525000</v>
      </c>
      <c r="AO134" s="13" t="n">
        <f aca="false">F31</f>
        <v>0</v>
      </c>
      <c r="AP134" s="13" t="n">
        <f aca="false">G31</f>
        <v>0</v>
      </c>
      <c r="AR134" s="1" t="n">
        <v>-0.0600395548839677</v>
      </c>
      <c r="AT134" s="13" t="n">
        <f aca="false">I31</f>
        <v>-0</v>
      </c>
      <c r="AV134" s="1" t="e">
        <v>#NAME?</v>
      </c>
      <c r="AZ134" s="60"/>
      <c r="BB134" s="20"/>
      <c r="BE134" s="62"/>
    </row>
    <row r="135" customFormat="false" ht="12.8" hidden="false" customHeight="false" outlineLevel="0" collapsed="false">
      <c r="V135" s="7"/>
      <c r="AJ135" s="10" t="n">
        <v>5</v>
      </c>
      <c r="AK135" s="13" t="n">
        <f aca="false">B32</f>
        <v>0</v>
      </c>
      <c r="AL135" s="13" t="n">
        <f aca="false">C32</f>
        <v>-328.125</v>
      </c>
      <c r="AM135" s="13" t="n">
        <f aca="false">D32</f>
        <v>-656250</v>
      </c>
      <c r="AN135" s="13" t="n">
        <f aca="false">E32</f>
        <v>0</v>
      </c>
      <c r="AO135" s="13" t="n">
        <f aca="false">F32</f>
        <v>328.125</v>
      </c>
      <c r="AP135" s="13" t="n">
        <f aca="false">G32</f>
        <v>-656250</v>
      </c>
      <c r="AR135" s="1" t="n">
        <v>-3.67636243554414E-018</v>
      </c>
      <c r="AT135" s="13" t="n">
        <f aca="false">I32</f>
        <v>-20000</v>
      </c>
      <c r="AV135" s="1" t="e">
        <v>#NAME?</v>
      </c>
    </row>
    <row r="136" customFormat="false" ht="12.8" hidden="false" customHeight="false" outlineLevel="0" collapsed="false">
      <c r="V136" s="7"/>
      <c r="AJ136" s="10" t="n">
        <v>6</v>
      </c>
      <c r="AK136" s="13" t="n">
        <f aca="false">B33</f>
        <v>0</v>
      </c>
      <c r="AL136" s="13" t="n">
        <f aca="false">C33</f>
        <v>656250</v>
      </c>
      <c r="AM136" s="13" t="n">
        <f aca="false">D33</f>
        <v>875000000</v>
      </c>
      <c r="AN136" s="13" t="n">
        <f aca="false">E33</f>
        <v>0</v>
      </c>
      <c r="AO136" s="13" t="n">
        <f aca="false">F33</f>
        <v>-656250</v>
      </c>
      <c r="AP136" s="13" t="n">
        <f aca="false">G33</f>
        <v>1750000000</v>
      </c>
      <c r="AR136" s="1" t="n">
        <v>-0.00217335222800124</v>
      </c>
      <c r="AT136" s="13" t="n">
        <f aca="false">I33</f>
        <v>13333333.3333333</v>
      </c>
      <c r="AV136" s="1" t="e">
        <v>#NAME?</v>
      </c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129:AT130"/>
  </mergeCells>
  <conditionalFormatting sqref="AZ43:AZ54 AZ90:AZ101">
    <cfRule type="expression" priority="2" aboveAverage="0" equalAverage="0" bottom="0" percent="0" rank="0" text="" dxfId="0">
      <formula>ABS(AZ43)&lt;0.1</formula>
    </cfRule>
  </conditionalFormatting>
  <conditionalFormatting sqref="AK43:AV54 AK60:AV71 AK75:AV86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conditionalFormatting sqref="AK90:AV101">
    <cfRule type="expression" priority="6" aboveAverage="0" equalAverage="0" bottom="0" percent="0" rank="0" text="" dxfId="1">
      <formula>ABS(AK90)&lt;0.1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2025-01-30T16:28:35Z</dcterms:created>
  <dc:creator>Ville Pekkala</dc:creator>
  <dc:description/>
  <dc:language>en-US</dc:language>
  <cp:lastModifiedBy/>
  <dcterms:modified xsi:type="dcterms:W3CDTF">2026-03-23T18:57:29Z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