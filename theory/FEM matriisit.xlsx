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nnections.xml" ContentType="application/vnd.openxmlformats-officedocument.spreadsheetml.connection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Ilman vapautuksia" sheetId="1" state="visible" r:id="rId3"/>
    <sheet name="Vapautuksilla" sheetId="2" state="visible" r:id="rId4"/>
    <sheet name="Jousituet" sheetId="3" state="visible" r:id="rId5"/>
    <sheet name="Lukkovoimat" sheetId="4" state="visible" r:id="rId6"/>
    <sheet name="Tuki kierretty x" sheetId="5" state="visible" r:id="rId7"/>
    <sheet name="Tuki kierretty y" sheetId="6" state="visible" r:id="rId8"/>
    <sheet name="Kehä tuki kierretty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53F448-3A45-42C9-A5CF-9618411E7B2F}" keepAlive="1" interval="0" name="Kysely – Taulukko1" description="Yhteys kyselyyn Taulukko1 työkirjassa." type="5" reconnectionMethod="1" refreshedVersion="0" minRefreshableVersion="0" savePassword="0" new="0" deleted="0" onlyUseConnectionFile="0" background="1" refreshOnLoad="0" saveData="0">
    <dbPr connection="Provider=Microsoft.Mashup.OleDb.1;Data Source=$Workbook$;Location=Taulukko1;Extended Properties=&quot;&quot;" command="SELECT * FROM [Taulukko1]"/>
  </connection>
  <connection id="2" xr16:uid="{781A6465-37A3-4021-84D4-27DFF6749064}" keepAlive="1" interval="0" name="Kysely – Taulukko1 (2)" description="Yhteys kyselyyn Taulukko1 (2) työkirjassa." type="5" reconnectionMethod="1" refreshedVersion="0" minRefreshableVersion="0" savePassword="0" new="0" deleted="0" onlyUseConnectionFile="0" background="1" refreshOnLoad="0" saveData="0">
    <dbPr connection="Provider=Microsoft.Mashup.OleDb.1;Data Source=$Workbook$;Location=&quot;Taulukko1 (2)&quot;;Extended Properties=&quot;&quot;" command="SELECT * FROM [Taulukko1 (2)]"/>
  </connection>
</connections>
</file>

<file path=xl/sharedStrings.xml><?xml version="1.0" encoding="utf-8"?>
<sst xmlns="http://schemas.openxmlformats.org/spreadsheetml/2006/main" count="825" uniqueCount="144">
  <si>
    <t xml:space="preserve">Laskenta perustuu Savonia AMK opintoihin, Ville Pekkalan opinnäytetyöhön ja netistä löytyneeseen (ei tällä hetkellä löydettävissä) Matti Lähteenmäki, Elementtimenetelmän perusteet opukseen</t>
  </si>
  <si>
    <t xml:space="preserve">Elementti 1</t>
  </si>
  <si>
    <t xml:space="preserve">Elementti 2</t>
  </si>
  <si>
    <t xml:space="preserve">Elementti 3</t>
  </si>
  <si>
    <t xml:space="preserve">Elementin kiertokulma</t>
  </si>
  <si>
    <t xml:space="preserve">°</t>
  </si>
  <si>
    <t xml:space="preserve">Elementin 1 globaali jäykkyysmatriisi - sijoitus yhdistettyyn jäykkyysmatriisiin</t>
  </si>
  <si>
    <t xml:space="preserve">Elementin 2 globaali jäykkyysmatriisi - sijoitus yhdistettyyn jäykkyysmatriisiin</t>
  </si>
  <si>
    <t xml:space="preserve">cos</t>
  </si>
  <si>
    <t xml:space="preserve">sin</t>
  </si>
  <si>
    <t xml:space="preserve">Voimat</t>
  </si>
  <si>
    <t xml:space="preserve">Elementin pituus</t>
  </si>
  <si>
    <t xml:space="preserve">mm</t>
  </si>
  <si>
    <t xml:space="preserve">Profiilin pinta-ala</t>
  </si>
  <si>
    <r>
      <rPr>
        <sz val="9"/>
        <color theme="1"/>
        <rFont val="Aptos Narrow"/>
        <family val="2"/>
        <charset val="1"/>
      </rPr>
      <t xml:space="preserve">mm</t>
    </r>
    <r>
      <rPr>
        <vertAlign val="superscript"/>
        <sz val="9"/>
        <color theme="1"/>
        <rFont val="Aptos Narrow"/>
        <family val="2"/>
        <charset val="1"/>
      </rPr>
      <t xml:space="preserve">2</t>
    </r>
  </si>
  <si>
    <t xml:space="preserve">Jäyhyysmomentti</t>
  </si>
  <si>
    <r>
      <rPr>
        <sz val="9"/>
        <color theme="1"/>
        <rFont val="Aptos Narrow"/>
        <family val="2"/>
        <charset val="1"/>
      </rPr>
      <t xml:space="preserve">mm</t>
    </r>
    <r>
      <rPr>
        <vertAlign val="superscript"/>
        <sz val="9"/>
        <color theme="1"/>
        <rFont val="Aptos Narrow"/>
        <family val="2"/>
        <charset val="1"/>
      </rPr>
      <t xml:space="preserve">4</t>
    </r>
  </si>
  <si>
    <t xml:space="preserve">Kimmokerroin</t>
  </si>
  <si>
    <t xml:space="preserve">N/mm² (MPa)</t>
  </si>
  <si>
    <r>
      <rPr>
        <sz val="9"/>
        <color theme="1"/>
        <rFont val="Aptos Narrow"/>
        <family val="2"/>
        <charset val="1"/>
      </rPr>
      <t xml:space="preserve">N/m</t>
    </r>
    <r>
      <rPr>
        <vertAlign val="superscript"/>
        <sz val="9"/>
        <color theme="1"/>
        <rFont val="Aptos Narrow"/>
        <family val="2"/>
        <charset val="1"/>
      </rPr>
      <t xml:space="preserve">2</t>
    </r>
  </si>
  <si>
    <r>
      <rPr>
        <sz val="9"/>
        <color theme="1"/>
        <rFont val="Aptos Narrow"/>
        <family val="2"/>
        <charset val="1"/>
      </rPr>
      <t xml:space="preserve">N/mm</t>
    </r>
    <r>
      <rPr>
        <vertAlign val="superscript"/>
        <sz val="9"/>
        <color theme="1"/>
        <rFont val="Aptos Narrow"/>
        <family val="2"/>
        <charset val="1"/>
      </rPr>
      <t xml:space="preserve">2</t>
    </r>
  </si>
  <si>
    <t xml:space="preserve">EA</t>
  </si>
  <si>
    <t xml:space="preserve">N</t>
  </si>
  <si>
    <t xml:space="preserve">EI</t>
  </si>
  <si>
    <t xml:space="preserve">N/mm²</t>
  </si>
  <si>
    <r>
      <rPr>
        <sz val="9"/>
        <color theme="1"/>
        <rFont val="Aptos Narrow"/>
        <family val="2"/>
        <charset val="1"/>
      </rPr>
      <t xml:space="preserve">Nmm</t>
    </r>
    <r>
      <rPr>
        <vertAlign val="superscript"/>
        <sz val="9"/>
        <color theme="1"/>
        <rFont val="Aptos Narrow"/>
        <family val="2"/>
        <charset val="1"/>
      </rPr>
      <t xml:space="preserve">2</t>
    </r>
  </si>
  <si>
    <t xml:space="preserve">Kuormat</t>
  </si>
  <si>
    <t xml:space="preserve">Omapaino</t>
  </si>
  <si>
    <t xml:space="preserve">N/mm</t>
  </si>
  <si>
    <t xml:space="preserve">Jatkuva kuorma</t>
  </si>
  <si>
    <t xml:space="preserve">Globaali jäykkyysmatriisi</t>
  </si>
  <si>
    <t xml:space="preserve">Lukkovoimat (Gkoord)</t>
  </si>
  <si>
    <t xml:space="preserve">Elementin 3 globaali jäykkyysmatriisi - sijoitus yhdistettyyn jäykkyysmatriisiin</t>
  </si>
  <si>
    <t xml:space="preserve">Elementin jäykkyysmatriisi lokaalissa koordinaatistossa</t>
  </si>
  <si>
    <t xml:space="preserve">Lukkovoimat (Lkoord)</t>
  </si>
  <si>
    <t xml:space="preserve">Elementin lokaali jäykkyysmatriisi kerrottuna transponoidulla kiertomatriisilla</t>
  </si>
  <si>
    <t xml:space="preserve">Yhdistetty jäykkyysmatriisi</t>
  </si>
  <si>
    <t xml:space="preserve">*</t>
  </si>
  <si>
    <t xml:space="preserve">Siirtymät</t>
  </si>
  <si>
    <t xml:space="preserve">=</t>
  </si>
  <si>
    <t xml:space="preserve">Reaktiot</t>
  </si>
  <si>
    <t xml:space="preserve">+Q11</t>
  </si>
  <si>
    <t xml:space="preserve">Elementin kiertomatriisi</t>
  </si>
  <si>
    <t xml:space="preserve">+Q12</t>
  </si>
  <si>
    <t xml:space="preserve">r13</t>
  </si>
  <si>
    <t xml:space="preserve">r21</t>
  </si>
  <si>
    <t xml:space="preserve">r22</t>
  </si>
  <si>
    <t xml:space="preserve">r23</t>
  </si>
  <si>
    <t xml:space="preserve">+Q31</t>
  </si>
  <si>
    <t xml:space="preserve">+Q32</t>
  </si>
  <si>
    <t xml:space="preserve">r33</t>
  </si>
  <si>
    <t xml:space="preserve">r41</t>
  </si>
  <si>
    <t xml:space="preserve">Elementin kiertomatriisi transponoituna</t>
  </si>
  <si>
    <t xml:space="preserve">r42</t>
  </si>
  <si>
    <t xml:space="preserve">r43</t>
  </si>
  <si>
    <t xml:space="preserve">Tuntemattomat siirtymät</t>
  </si>
  <si>
    <t xml:space="preserve">Lokaali</t>
  </si>
  <si>
    <t xml:space="preserve">Matriisi</t>
  </si>
  <si>
    <t xml:space="preserve">Globaalit arvot</t>
  </si>
  <si>
    <t xml:space="preserve">Lokaalit arvot</t>
  </si>
  <si>
    <t xml:space="preserve">suunta</t>
  </si>
  <si>
    <t xml:space="preserve">Alkupää</t>
  </si>
  <si>
    <t xml:space="preserve">Loppupää</t>
  </si>
  <si>
    <t xml:space="preserve">Kuorma</t>
  </si>
  <si>
    <t xml:space="preserve">N (/Nmm)</t>
  </si>
  <si>
    <t xml:space="preserve">Vaaka</t>
  </si>
  <si>
    <t xml:space="preserve">⮕</t>
  </si>
  <si>
    <t xml:space="preserve">Lukkovoimaesimerkissä kuorma osoittaa alaspäin positiivisena</t>
  </si>
  <si>
    <t xml:space="preserve">Suunta</t>
  </si>
  <si>
    <t xml:space="preserve">Pysty</t>
  </si>
  <si>
    <t xml:space="preserve">⬆</t>
  </si>
  <si>
    <t xml:space="preserve">mutta SIN(kulma) antaa negatiivisen arvon alaspäin osoittaville voimille</t>
  </si>
  <si>
    <t xml:space="preserve">etäisyys (a)</t>
  </si>
  <si>
    <t xml:space="preserve">⟲</t>
  </si>
  <si>
    <t xml:space="preserve">(Huomaa -1* alussa)</t>
  </si>
  <si>
    <t xml:space="preserve">b</t>
  </si>
  <si>
    <t xml:space="preserve">Momenttikuorma</t>
  </si>
  <si>
    <t xml:space="preserve">Positiivinen vastapäivään</t>
  </si>
  <si>
    <t xml:space="preserve">rad</t>
  </si>
  <si>
    <t xml:space="preserve">mrad</t>
  </si>
  <si>
    <t xml:space="preserve">Siirtymä (pituussuunnassa)</t>
  </si>
  <si>
    <t xml:space="preserve">Positiivinen venymää</t>
  </si>
  <si>
    <t xml:space="preserve">Muut kuormat muunnetaan pistekuormiksi ekvivalenttien kuormituskaavioiden mukaan ajatellen, että 'elementin' alku ja loppupiste on samassa kohtaa, kuin voiman alku ja loppupiste</t>
  </si>
  <si>
    <t xml:space="preserve">Elementin 1 lokaalit solmupisteiden voimasuureet</t>
  </si>
  <si>
    <t xml:space="preserve">Jäykkyysmatriisi * lokaalit siirtymät - lokaalit lukkovoimat</t>
  </si>
  <si>
    <t xml:space="preserve">lukkovoimat (lok, kierretyt)</t>
  </si>
  <si>
    <t xml:space="preserve">siirtymät (lok)</t>
  </si>
  <si>
    <t xml:space="preserve">-</t>
  </si>
  <si>
    <t xml:space="preserve">solmupisteiden voimavektorit</t>
  </si>
  <si>
    <t xml:space="preserve">kN/m</t>
  </si>
  <si>
    <t xml:space="preserve">=&gt;</t>
  </si>
  <si>
    <t xml:space="preserve">+Q13</t>
  </si>
  <si>
    <t xml:space="preserve">+Q33</t>
  </si>
  <si>
    <t xml:space="preserve">r24</t>
  </si>
  <si>
    <t xml:space="preserve">r44</t>
  </si>
  <si>
    <t xml:space="preserve">Elem 1 glob</t>
  </si>
  <si>
    <t xml:space="preserve">Elem 1 lok</t>
  </si>
  <si>
    <t xml:space="preserve">Nmm/rad</t>
  </si>
  <si>
    <t xml:space="preserve">kNm/rad</t>
  </si>
  <si>
    <t xml:space="preserve">Yleinen jousivakio</t>
  </si>
  <si>
    <t xml:space="preserve">Jousivakio</t>
  </si>
  <si>
    <t xml:space="preserve">Yhdistetty jäykkyysmatriisi (tuen jousivakion kanssa. Huom! Tällä lasketaan vain siirtymät. Tukireaktiot lasketaan ilman jousivakioita)</t>
  </si>
  <si>
    <t xml:space="preserve">r14</t>
  </si>
  <si>
    <t xml:space="preserve">Yhdistetty jäykkyysmatriisi (ilman tuen jousivakiota, tällä lasketaan tukireaktiot)</t>
  </si>
  <si>
    <t xml:space="preserve">q</t>
  </si>
  <si>
    <t xml:space="preserve">L</t>
  </si>
  <si>
    <t xml:space="preserve">a</t>
  </si>
  <si>
    <t xml:space="preserve">d</t>
  </si>
  <si>
    <t xml:space="preserve">d/2</t>
  </si>
  <si>
    <t xml:space="preserve">Tukien kiertomatriisi</t>
  </si>
  <si>
    <t xml:space="preserve">1. Tuen kierto</t>
  </si>
  <si>
    <t xml:space="preserve">2.Tuen kierto</t>
  </si>
  <si>
    <t xml:space="preserve">Tukien kiertomatriisin transpoosi</t>
  </si>
  <si>
    <t xml:space="preserve">+Q14</t>
  </si>
  <si>
    <t xml:space="preserve">+Q15</t>
  </si>
  <si>
    <t xml:space="preserve">r16</t>
  </si>
  <si>
    <t xml:space="preserve">Yhdistetty jäykkyysmatriisi kerrottuna tukien transponoidulla kiertomatriisilla</t>
  </si>
  <si>
    <t xml:space="preserve">KIERRETYT</t>
  </si>
  <si>
    <t xml:space="preserve">Lukkovoimien kierto</t>
  </si>
  <si>
    <t xml:space="preserve">Kiertokulma</t>
  </si>
  <si>
    <t xml:space="preserve">Yhdistetty jäykkyysmatriisi tuet kierrettynä</t>
  </si>
  <si>
    <t xml:space="preserve">Siirtymä tuen lokaalin X-akselin suuntaan</t>
  </si>
  <si>
    <t xml:space="preserve">GLOBAALIT</t>
  </si>
  <si>
    <t xml:space="preserve">r15</t>
  </si>
  <si>
    <t xml:space="preserve">Alku</t>
  </si>
  <si>
    <t xml:space="preserve">Loppu</t>
  </si>
  <si>
    <t xml:space="preserve">Siirtymä tuen lokaalin Y-akselin suuntaan</t>
  </si>
  <si>
    <t xml:space="preserve">r21 (0)</t>
  </si>
  <si>
    <t xml:space="preserve">r42 (0)</t>
  </si>
  <si>
    <t xml:space="preserve">Solmu </t>
  </si>
  <si>
    <t xml:space="preserve">Kierto</t>
  </si>
  <si>
    <t xml:space="preserve">Cos</t>
  </si>
  <si>
    <t xml:space="preserve">Sin</t>
  </si>
  <si>
    <t xml:space="preserve">Yhdistetty tukien kiertomatriisi</t>
  </si>
  <si>
    <t xml:space="preserve">Yhdistetty tukien kiertomatriisin transpoosi</t>
  </si>
  <si>
    <r>
      <rPr>
        <b val="true"/>
        <sz val="9"/>
        <color theme="1"/>
        <rFont val="Aptos Narrow"/>
        <family val="2"/>
        <charset val="1"/>
      </rPr>
      <t xml:space="preserve">Yhdistetty jäykkyysmatriisi tukien kiertomatriisin transpoosilla kerrottuna (KT</t>
    </r>
    <r>
      <rPr>
        <b val="true"/>
        <vertAlign val="superscript"/>
        <sz val="9"/>
        <color theme="1"/>
        <rFont val="Aptos Narrow"/>
        <family val="2"/>
        <charset val="1"/>
      </rPr>
      <t xml:space="preserve">T</t>
    </r>
    <r>
      <rPr>
        <b val="true"/>
        <sz val="9"/>
        <color theme="1"/>
        <rFont val="Aptos Narrow"/>
        <family val="2"/>
        <charset val="1"/>
      </rPr>
      <t xml:space="preserve">)</t>
    </r>
  </si>
  <si>
    <t xml:space="preserve">Yhdistetty jäykkyysmatriisi tukien kierto huomioituna</t>
  </si>
  <si>
    <t xml:space="preserve">Kierretyt siirtymät</t>
  </si>
  <si>
    <t xml:space="preserve">Kierretyt voimat</t>
  </si>
  <si>
    <t xml:space="preserve">Kierretyt tukireaktiot</t>
  </si>
  <si>
    <t xml:space="preserve">r22’</t>
  </si>
  <si>
    <t xml:space="preserve">r41’</t>
  </si>
  <si>
    <t xml:space="preserve">Globaalit</t>
  </si>
  <si>
    <t xml:space="preserve">siirtymät</t>
  </si>
</sst>
</file>

<file path=xl/styles.xml><?xml version="1.0" encoding="utf-8"?>
<styleSheet xmlns="http://schemas.openxmlformats.org/spreadsheetml/2006/main">
  <numFmts count="11">
    <numFmt numFmtId="164" formatCode="0"/>
    <numFmt numFmtId="165" formatCode="General"/>
    <numFmt numFmtId="166" formatCode="0.0"/>
    <numFmt numFmtId="167" formatCode="0.000"/>
    <numFmt numFmtId="168" formatCode="0.00E+00"/>
    <numFmt numFmtId="169" formatCode="0.000E+00"/>
    <numFmt numFmtId="170" formatCode="0.0000E+00"/>
    <numFmt numFmtId="171" formatCode="0.0000"/>
    <numFmt numFmtId="172" formatCode="0.00000"/>
    <numFmt numFmtId="173" formatCode="0.000000"/>
    <numFmt numFmtId="174" formatCode="0.00"/>
  </numFmts>
  <fonts count="18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color theme="1"/>
      <name val="Aptos Narrow"/>
      <family val="2"/>
      <charset val="1"/>
    </font>
    <font>
      <b val="true"/>
      <sz val="9"/>
      <color theme="1"/>
      <name val="Aptos Narrow"/>
      <family val="2"/>
      <charset val="1"/>
    </font>
    <font>
      <b val="true"/>
      <sz val="9"/>
      <color rgb="FFFF0000"/>
      <name val="Aptos Narrow"/>
      <family val="2"/>
      <charset val="1"/>
    </font>
    <font>
      <sz val="11"/>
      <color rgb="FF9C5700"/>
      <name val="Aptos Narrow"/>
      <family val="2"/>
      <charset val="1"/>
    </font>
    <font>
      <sz val="9"/>
      <name val="Aptos Narrow"/>
      <family val="2"/>
      <charset val="1"/>
    </font>
    <font>
      <vertAlign val="superscript"/>
      <sz val="9"/>
      <color theme="1"/>
      <name val="Aptos Narrow"/>
      <family val="2"/>
      <charset val="1"/>
    </font>
    <font>
      <i val="true"/>
      <sz val="9"/>
      <color theme="1"/>
      <name val="Aptos Narrow"/>
      <family val="2"/>
      <charset val="1"/>
    </font>
    <font>
      <sz val="9"/>
      <color theme="1"/>
      <name val="Calibri"/>
      <family val="2"/>
      <charset val="1"/>
    </font>
    <font>
      <b val="true"/>
      <sz val="9"/>
      <name val="Aptos Narrow"/>
      <family val="2"/>
      <charset val="1"/>
    </font>
    <font>
      <sz val="9"/>
      <color theme="1"/>
      <name val="Times New Roman"/>
      <family val="1"/>
      <charset val="1"/>
    </font>
    <font>
      <sz val="9"/>
      <color rgb="FFFF0000"/>
      <name val="Aptos Narrow"/>
      <family val="2"/>
      <charset val="1"/>
    </font>
    <font>
      <b val="true"/>
      <sz val="9"/>
      <color theme="6" tint="-0.25"/>
      <name val="Aptos Narrow"/>
      <family val="2"/>
      <charset val="1"/>
    </font>
    <font>
      <sz val="9"/>
      <color theme="6" tint="-0.25"/>
      <name val="Aptos Narrow"/>
      <family val="2"/>
      <charset val="1"/>
    </font>
    <font>
      <b val="true"/>
      <vertAlign val="superscript"/>
      <sz val="9"/>
      <color theme="1"/>
      <name val="Aptos Narrow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EB9C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theme="6" tint="0.5999"/>
        <bgColor rgb="FF92D050"/>
      </patternFill>
    </fill>
    <fill>
      <patternFill patternType="solid">
        <fgColor rgb="FFFFC000"/>
        <bgColor rgb="FFFF9900"/>
      </patternFill>
    </fill>
    <fill>
      <patternFill patternType="solid">
        <fgColor rgb="FF92D050"/>
        <bgColor rgb="FF81D41A"/>
      </patternFill>
    </fill>
    <fill>
      <patternFill patternType="solid">
        <fgColor theme="0" tint="-0.15"/>
        <bgColor rgb="FFBFBFBF"/>
      </patternFill>
    </fill>
    <fill>
      <patternFill patternType="solid">
        <fgColor theme="0" tint="-0.25"/>
        <bgColor rgb="FFD9D9D9"/>
      </patternFill>
    </fill>
    <fill>
      <patternFill patternType="solid">
        <fgColor rgb="FF81D41A"/>
        <bgColor rgb="FF92D050"/>
      </patternFill>
    </fill>
  </fills>
  <borders count="10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dashed"/>
      <top/>
      <bottom style="dashed"/>
      <diagonal/>
    </border>
    <border diagonalUp="false" diagonalDown="false">
      <left style="dashed"/>
      <right style="dashed"/>
      <top/>
      <bottom style="dashed"/>
      <diagonal/>
    </border>
    <border diagonalUp="false" diagonalDown="false">
      <left style="dashed"/>
      <right style="dotted"/>
      <top/>
      <bottom style="dashed"/>
      <diagonal/>
    </border>
    <border diagonalUp="false" diagonalDown="false">
      <left/>
      <right style="dashed"/>
      <top style="dashed"/>
      <bottom style="dashed"/>
      <diagonal/>
    </border>
    <border diagonalUp="false" diagonalDown="false">
      <left style="dashed"/>
      <right style="dashed"/>
      <top style="dashed"/>
      <bottom style="dashed"/>
      <diagonal/>
    </border>
    <border diagonalUp="false" diagonalDown="false">
      <left style="dashed"/>
      <right style="dotted"/>
      <top style="dashed"/>
      <bottom style="dashed"/>
      <diagonal/>
    </border>
  </borders>
  <cellStyleXfs count="21"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7" fillId="2" borderId="0" applyFont="true" applyBorder="false" applyAlignment="true" applyProtection="false">
      <alignment horizontal="general" vertical="bottom" textRotation="0" wrapText="false" indent="0" shrinkToFit="false"/>
    </xf>
  </cellStyleXfs>
  <cellXfs count="165"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8" fillId="5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8" fillId="6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8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8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4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8" fillId="3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4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8" fillId="7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8" fillId="8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8" fillId="4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74" fontId="8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4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3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8" fillId="3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3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3" borderId="3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8" fillId="5" borderId="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5" borderId="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5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5" borderId="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5" borderId="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5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8" borderId="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6" borderId="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6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4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3" borderId="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3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3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4" fillId="5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6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8" fillId="0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3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4" fontId="8" fillId="0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8" fontId="8" fillId="0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8" fillId="0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3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3" fontId="8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13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1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1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1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7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eutral" xfId="20"/>
  </cellStyles>
  <dxfs count="18">
    <dxf>
      <numFmt numFmtId="164" formatCode="0"/>
    </dxf>
    <dxf>
      <font>
        <color rgb="FFFFFFFF"/>
      </font>
      <numFmt numFmtId="164" formatCode="0"/>
    </dxf>
    <dxf>
      <font>
        <b val="1"/>
        <i val="0"/>
        <color rgb="FF000000"/>
      </font>
      <fill>
        <patternFill>
          <bgColor rgb="FFFF0000"/>
        </patternFill>
      </fill>
    </dxf>
    <dxf>
      <font>
        <b val="1"/>
        <i val="0"/>
        <color rgb="FF000000"/>
      </font>
      <fill>
        <patternFill>
          <bgColor rgb="FF92D050"/>
        </patternFill>
      </fill>
    </dxf>
    <dxf>
      <numFmt numFmtId="164" formatCode="0"/>
    </dxf>
    <dxf>
      <font>
        <b val="1"/>
        <i val="0"/>
        <color rgb="FF000000"/>
      </font>
      <fill>
        <patternFill>
          <bgColor rgb="FFFF0000"/>
        </patternFill>
      </fill>
    </dxf>
    <dxf>
      <font>
        <b val="1"/>
        <i val="0"/>
        <color rgb="FF000000"/>
      </font>
      <fill>
        <patternFill>
          <bgColor rgb="FF92D050"/>
        </patternFill>
      </fill>
    </dxf>
    <dxf>
      <numFmt numFmtId="164" formatCode="0"/>
    </dxf>
    <dxf>
      <font>
        <b val="1"/>
        <i val="0"/>
        <color rgb="FF000000"/>
      </font>
      <fill>
        <patternFill>
          <bgColor rgb="FFFF0000"/>
        </patternFill>
      </fill>
    </dxf>
    <dxf>
      <font>
        <b val="1"/>
        <i val="0"/>
        <color rgb="FF000000"/>
      </font>
      <fill>
        <patternFill>
          <bgColor rgb="FF92D050"/>
        </patternFill>
      </fill>
    </dxf>
    <dxf>
      <numFmt numFmtId="164" formatCode="0"/>
    </dxf>
    <dxf>
      <font>
        <color rgb="FFFFFFFF"/>
      </font>
      <numFmt numFmtId="164" formatCode="0"/>
    </dxf>
    <dxf>
      <font>
        <b val="1"/>
        <i val="0"/>
        <color rgb="FF000000"/>
      </font>
      <fill>
        <patternFill>
          <bgColor rgb="FFFF0000"/>
        </patternFill>
      </fill>
    </dxf>
    <dxf>
      <font>
        <b val="1"/>
        <i val="0"/>
        <color rgb="FF000000"/>
      </font>
      <fill>
        <patternFill>
          <bgColor rgb="FF92D050"/>
        </patternFill>
      </fill>
    </dxf>
    <dxf>
      <numFmt numFmtId="164" formatCode="0"/>
    </dxf>
    <dxf>
      <font>
        <color rgb="FFFFFFFF"/>
      </font>
      <numFmt numFmtId="164" formatCode="0"/>
    </dxf>
    <dxf>
      <font>
        <b val="1"/>
        <i val="0"/>
        <color rgb="FF000000"/>
      </font>
      <fill>
        <patternFill>
          <bgColor rgb="FFFF0000"/>
        </patternFill>
      </fill>
    </dxf>
    <dxf>
      <font>
        <b val="1"/>
        <i val="0"/>
        <color rgb="FF000000"/>
      </font>
      <fill>
        <patternFill>
          <bgColor rgb="FF92D05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84E291"/>
      <rgbColor rgb="FFFF99CC"/>
      <rgbColor rgb="FFCC99FF"/>
      <rgbColor rgb="FFFFCC99"/>
      <rgbColor rgb="FF3366FF"/>
      <rgbColor rgb="FF33CCCC"/>
      <rgbColor rgb="FF81D41A"/>
      <rgbColor rgb="FFFFC000"/>
      <rgbColor rgb="FFFF9900"/>
      <rgbColor rgb="FFFF6600"/>
      <rgbColor rgb="FF666699"/>
      <rgbColor rgb="FF92D050"/>
      <rgbColor rgb="FF003366"/>
      <rgbColor rgb="FF339966"/>
      <rgbColor rgb="FF13501B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<Relationship Id="rId11" Type="http://schemas.openxmlformats.org/officeDocument/2006/relationships/connections" Target="connections.xml"/><Relationship Id="rId12" Type="http://schemas.openxmlformats.org/officeDocument/2006/relationships/customXml" Target="../customXml/item1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2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<Relationship Id="rId3" Type="http://schemas.openxmlformats.org/officeDocument/2006/relationships/image" Target="../media/image4.png"/><Relationship Id="rId4" Type="http://schemas.openxmlformats.org/officeDocument/2006/relationships/image" Target="../media/image7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53</xdr:col>
      <xdr:colOff>486000</xdr:colOff>
      <xdr:row>22</xdr:row>
      <xdr:rowOff>62280</xdr:rowOff>
    </xdr:from>
    <xdr:to>
      <xdr:col>61</xdr:col>
      <xdr:colOff>271800</xdr:colOff>
      <xdr:row>40</xdr:row>
      <xdr:rowOff>107640</xdr:rowOff>
    </xdr:to>
    <xdr:pic>
      <xdr:nvPicPr>
        <xdr:cNvPr id="1" name="Kuva 3"/>
        <xdr:cNvPicPr/>
      </xdr:nvPicPr>
      <xdr:blipFill>
        <a:blip r:embed="rId1"/>
        <a:stretch/>
      </xdr:blipFill>
      <xdr:spPr>
        <a:xfrm>
          <a:off x="30748680" y="3414960"/>
          <a:ext cx="4563000" cy="2788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6</xdr:col>
      <xdr:colOff>481320</xdr:colOff>
      <xdr:row>1</xdr:row>
      <xdr:rowOff>141480</xdr:rowOff>
    </xdr:from>
    <xdr:to>
      <xdr:col>9</xdr:col>
      <xdr:colOff>271080</xdr:colOff>
      <xdr:row>16</xdr:row>
      <xdr:rowOff>150120</xdr:rowOff>
    </xdr:to>
    <xdr:pic>
      <xdr:nvPicPr>
        <xdr:cNvPr id="2" name="Kuva 1"/>
        <xdr:cNvPicPr/>
      </xdr:nvPicPr>
      <xdr:blipFill>
        <a:blip r:embed="rId2"/>
        <a:stretch/>
      </xdr:blipFill>
      <xdr:spPr>
        <a:xfrm>
          <a:off x="3843720" y="293760"/>
          <a:ext cx="1478880" cy="22946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5</xdr:col>
      <xdr:colOff>41400</xdr:colOff>
      <xdr:row>77</xdr:row>
      <xdr:rowOff>75960</xdr:rowOff>
    </xdr:from>
    <xdr:to>
      <xdr:col>11</xdr:col>
      <xdr:colOff>360</xdr:colOff>
      <xdr:row>98</xdr:row>
      <xdr:rowOff>141480</xdr:rowOff>
    </xdr:to>
    <xdr:pic>
      <xdr:nvPicPr>
        <xdr:cNvPr id="3" name="Kuva 2"/>
        <xdr:cNvPicPr/>
      </xdr:nvPicPr>
      <xdr:blipFill>
        <a:blip r:embed="rId3"/>
        <a:stretch/>
      </xdr:blipFill>
      <xdr:spPr>
        <a:xfrm>
          <a:off x="2842920" y="11849040"/>
          <a:ext cx="3311280" cy="3265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11</xdr:col>
      <xdr:colOff>488520</xdr:colOff>
      <xdr:row>76</xdr:row>
      <xdr:rowOff>126360</xdr:rowOff>
    </xdr:from>
    <xdr:to>
      <xdr:col>18</xdr:col>
      <xdr:colOff>221040</xdr:colOff>
      <xdr:row>91</xdr:row>
      <xdr:rowOff>147960</xdr:rowOff>
    </xdr:to>
    <xdr:pic>
      <xdr:nvPicPr>
        <xdr:cNvPr id="4" name="Kuva 4"/>
        <xdr:cNvPicPr/>
      </xdr:nvPicPr>
      <xdr:blipFill>
        <a:blip r:embed="rId4"/>
        <a:stretch/>
      </xdr:blipFill>
      <xdr:spPr>
        <a:xfrm>
          <a:off x="6642360" y="11746800"/>
          <a:ext cx="3681000" cy="23076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52</xdr:col>
      <xdr:colOff>405720</xdr:colOff>
      <xdr:row>20</xdr:row>
      <xdr:rowOff>139680</xdr:rowOff>
    </xdr:from>
    <xdr:to>
      <xdr:col>63</xdr:col>
      <xdr:colOff>165960</xdr:colOff>
      <xdr:row>43</xdr:row>
      <xdr:rowOff>104040</xdr:rowOff>
    </xdr:to>
    <xdr:pic>
      <xdr:nvPicPr>
        <xdr:cNvPr id="5" name="Kuva 2"/>
        <xdr:cNvPicPr/>
      </xdr:nvPicPr>
      <xdr:blipFill>
        <a:blip r:embed="rId1"/>
        <a:stretch/>
      </xdr:blipFill>
      <xdr:spPr>
        <a:xfrm>
          <a:off x="30974760" y="3187800"/>
          <a:ext cx="6159600" cy="3469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6</xdr:col>
      <xdr:colOff>249120</xdr:colOff>
      <xdr:row>1</xdr:row>
      <xdr:rowOff>124200</xdr:rowOff>
    </xdr:from>
    <xdr:to>
      <xdr:col>9</xdr:col>
      <xdr:colOff>98640</xdr:colOff>
      <xdr:row>17</xdr:row>
      <xdr:rowOff>57600</xdr:rowOff>
    </xdr:to>
    <xdr:pic>
      <xdr:nvPicPr>
        <xdr:cNvPr id="6" name="Kuva 1"/>
        <xdr:cNvPicPr/>
      </xdr:nvPicPr>
      <xdr:blipFill>
        <a:blip r:embed="rId2"/>
        <a:stretch/>
      </xdr:blipFill>
      <xdr:spPr>
        <a:xfrm>
          <a:off x="3556080" y="276480"/>
          <a:ext cx="1503360" cy="23720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53</xdr:col>
      <xdr:colOff>4680</xdr:colOff>
      <xdr:row>20</xdr:row>
      <xdr:rowOff>139680</xdr:rowOff>
    </xdr:from>
    <xdr:to>
      <xdr:col>63</xdr:col>
      <xdr:colOff>15840</xdr:colOff>
      <xdr:row>43</xdr:row>
      <xdr:rowOff>104040</xdr:rowOff>
    </xdr:to>
    <xdr:pic>
      <xdr:nvPicPr>
        <xdr:cNvPr id="7" name="Kuva 1"/>
        <xdr:cNvPicPr/>
      </xdr:nvPicPr>
      <xdr:blipFill>
        <a:blip r:embed="rId1"/>
        <a:stretch/>
      </xdr:blipFill>
      <xdr:spPr>
        <a:xfrm>
          <a:off x="32661360" y="3187800"/>
          <a:ext cx="5859720" cy="3469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6</xdr:col>
      <xdr:colOff>249120</xdr:colOff>
      <xdr:row>1</xdr:row>
      <xdr:rowOff>124200</xdr:rowOff>
    </xdr:from>
    <xdr:to>
      <xdr:col>9</xdr:col>
      <xdr:colOff>98640</xdr:colOff>
      <xdr:row>17</xdr:row>
      <xdr:rowOff>57600</xdr:rowOff>
    </xdr:to>
    <xdr:pic>
      <xdr:nvPicPr>
        <xdr:cNvPr id="8" name="Kuva 2"/>
        <xdr:cNvPicPr/>
      </xdr:nvPicPr>
      <xdr:blipFill>
        <a:blip r:embed="rId2"/>
        <a:stretch/>
      </xdr:blipFill>
      <xdr:spPr>
        <a:xfrm>
          <a:off x="3556080" y="276480"/>
          <a:ext cx="1503360" cy="23720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10</xdr:col>
      <xdr:colOff>458640</xdr:colOff>
      <xdr:row>47</xdr:row>
      <xdr:rowOff>151560</xdr:rowOff>
    </xdr:to>
    <xdr:pic>
      <xdr:nvPicPr>
        <xdr:cNvPr id="9" name="Kuva 1"/>
        <xdr:cNvPicPr/>
      </xdr:nvPicPr>
      <xdr:blipFill>
        <a:blip r:embed="rId1"/>
        <a:stretch/>
      </xdr:blipFill>
      <xdr:spPr>
        <a:xfrm>
          <a:off x="0" y="0"/>
          <a:ext cx="5760720" cy="91051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481320</xdr:colOff>
      <xdr:row>1</xdr:row>
      <xdr:rowOff>141480</xdr:rowOff>
    </xdr:from>
    <xdr:to>
      <xdr:col>9</xdr:col>
      <xdr:colOff>271080</xdr:colOff>
      <xdr:row>16</xdr:row>
      <xdr:rowOff>149760</xdr:rowOff>
    </xdr:to>
    <xdr:pic>
      <xdr:nvPicPr>
        <xdr:cNvPr id="10" name="Kuva 2"/>
        <xdr:cNvPicPr/>
      </xdr:nvPicPr>
      <xdr:blipFill>
        <a:blip r:embed="rId1"/>
        <a:stretch/>
      </xdr:blipFill>
      <xdr:spPr>
        <a:xfrm>
          <a:off x="3843720" y="293760"/>
          <a:ext cx="1478880" cy="2294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27</xdr:col>
      <xdr:colOff>447480</xdr:colOff>
      <xdr:row>19</xdr:row>
      <xdr:rowOff>56880</xdr:rowOff>
    </xdr:from>
    <xdr:to>
      <xdr:col>33</xdr:col>
      <xdr:colOff>47520</xdr:colOff>
      <xdr:row>30</xdr:row>
      <xdr:rowOff>85680</xdr:rowOff>
    </xdr:to>
    <xdr:cxnSp>
      <xdr:nvCxnSpPr>
        <xdr:cNvPr id="11" name="Suora yhdysviiva 5"/>
        <xdr:cNvCxnSpPr/>
      </xdr:nvCxnSpPr>
      <xdr:spPr>
        <a:xfrm flipV="1">
          <a:off x="16210080" y="2952360"/>
          <a:ext cx="2917080" cy="1705680"/>
        </a:xfrm>
        <a:prstGeom prst="straightConnector1">
          <a:avLst/>
        </a:prstGeom>
        <a:ln w="19050">
          <a:solidFill>
            <a:srgbClr val="156082"/>
          </a:solidFill>
          <a:miter/>
        </a:ln>
      </xdr:spPr>
    </xdr:cxnSp>
    <xdr:clientData/>
  </xdr:twoCellAnchor>
  <xdr:twoCellAnchor editAs="twoCell">
    <xdr:from>
      <xdr:col>27</xdr:col>
      <xdr:colOff>485640</xdr:colOff>
      <xdr:row>27</xdr:row>
      <xdr:rowOff>133200</xdr:rowOff>
    </xdr:from>
    <xdr:to>
      <xdr:col>28</xdr:col>
      <xdr:colOff>323640</xdr:colOff>
      <xdr:row>29</xdr:row>
      <xdr:rowOff>47520</xdr:rowOff>
    </xdr:to>
    <xdr:cxnSp>
      <xdr:nvCxnSpPr>
        <xdr:cNvPr id="12" name="Suora nuoliyhdysviiva 7"/>
        <xdr:cNvCxnSpPr/>
      </xdr:nvCxnSpPr>
      <xdr:spPr>
        <a:xfrm flipH="1">
          <a:off x="16248240" y="4248000"/>
          <a:ext cx="389520" cy="21960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28</xdr:col>
      <xdr:colOff>428400</xdr:colOff>
      <xdr:row>25</xdr:row>
      <xdr:rowOff>95040</xdr:rowOff>
    </xdr:from>
    <xdr:to>
      <xdr:col>29</xdr:col>
      <xdr:colOff>266400</xdr:colOff>
      <xdr:row>27</xdr:row>
      <xdr:rowOff>47520</xdr:rowOff>
    </xdr:to>
    <xdr:cxnSp>
      <xdr:nvCxnSpPr>
        <xdr:cNvPr id="13" name="Suora nuoliyhdysviiva 15"/>
        <xdr:cNvCxnSpPr/>
      </xdr:nvCxnSpPr>
      <xdr:spPr>
        <a:xfrm flipH="1">
          <a:off x="16742160" y="3904920"/>
          <a:ext cx="399240" cy="25776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29</xdr:col>
      <xdr:colOff>352080</xdr:colOff>
      <xdr:row>24</xdr:row>
      <xdr:rowOff>0</xdr:rowOff>
    </xdr:from>
    <xdr:to>
      <xdr:col>30</xdr:col>
      <xdr:colOff>190440</xdr:colOff>
      <xdr:row>25</xdr:row>
      <xdr:rowOff>85680</xdr:rowOff>
    </xdr:to>
    <xdr:cxnSp>
      <xdr:nvCxnSpPr>
        <xdr:cNvPr id="14" name="Suora nuoliyhdysviiva 16"/>
        <xdr:cNvCxnSpPr/>
      </xdr:nvCxnSpPr>
      <xdr:spPr>
        <a:xfrm flipH="1">
          <a:off x="17226720" y="3657600"/>
          <a:ext cx="389880" cy="23832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30</xdr:col>
      <xdr:colOff>314280</xdr:colOff>
      <xdr:row>22</xdr:row>
      <xdr:rowOff>19080</xdr:rowOff>
    </xdr:from>
    <xdr:to>
      <xdr:col>31</xdr:col>
      <xdr:colOff>95040</xdr:colOff>
      <xdr:row>23</xdr:row>
      <xdr:rowOff>75960</xdr:rowOff>
    </xdr:to>
    <xdr:cxnSp>
      <xdr:nvCxnSpPr>
        <xdr:cNvPr id="15" name="Suora nuoliyhdysviiva 17"/>
        <xdr:cNvCxnSpPr/>
      </xdr:nvCxnSpPr>
      <xdr:spPr>
        <a:xfrm flipH="1">
          <a:off x="17740080" y="3371760"/>
          <a:ext cx="332280" cy="20988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31</xdr:col>
      <xdr:colOff>218880</xdr:colOff>
      <xdr:row>20</xdr:row>
      <xdr:rowOff>75960</xdr:rowOff>
    </xdr:from>
    <xdr:to>
      <xdr:col>32</xdr:col>
      <xdr:colOff>29520</xdr:colOff>
      <xdr:row>21</xdr:row>
      <xdr:rowOff>133200</xdr:rowOff>
    </xdr:to>
    <xdr:cxnSp>
      <xdr:nvCxnSpPr>
        <xdr:cNvPr id="16" name="Suora nuoliyhdysviiva 18"/>
        <xdr:cNvCxnSpPr/>
      </xdr:nvCxnSpPr>
      <xdr:spPr>
        <a:xfrm flipH="1">
          <a:off x="18195840" y="3124080"/>
          <a:ext cx="362160" cy="20988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32</xdr:col>
      <xdr:colOff>95040</xdr:colOff>
      <xdr:row>18</xdr:row>
      <xdr:rowOff>123840</xdr:rowOff>
    </xdr:from>
    <xdr:to>
      <xdr:col>32</xdr:col>
      <xdr:colOff>485640</xdr:colOff>
      <xdr:row>20</xdr:row>
      <xdr:rowOff>38160</xdr:rowOff>
    </xdr:to>
    <xdr:cxnSp>
      <xdr:nvCxnSpPr>
        <xdr:cNvPr id="17" name="Suora nuoliyhdysviiva 19"/>
        <xdr:cNvCxnSpPr/>
      </xdr:nvCxnSpPr>
      <xdr:spPr>
        <a:xfrm flipH="1">
          <a:off x="18623160" y="2867040"/>
          <a:ext cx="390960" cy="21960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33</xdr:col>
      <xdr:colOff>37800</xdr:colOff>
      <xdr:row>16</xdr:row>
      <xdr:rowOff>56880</xdr:rowOff>
    </xdr:from>
    <xdr:to>
      <xdr:col>33</xdr:col>
      <xdr:colOff>457200</xdr:colOff>
      <xdr:row>18</xdr:row>
      <xdr:rowOff>19080</xdr:rowOff>
    </xdr:to>
    <xdr:cxnSp>
      <xdr:nvCxnSpPr>
        <xdr:cNvPr id="18" name="Suora nuoliyhdysviiva 20"/>
        <xdr:cNvCxnSpPr/>
      </xdr:nvCxnSpPr>
      <xdr:spPr>
        <a:xfrm flipH="1">
          <a:off x="19117080" y="2495160"/>
          <a:ext cx="419760" cy="26748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27</xdr:col>
      <xdr:colOff>409680</xdr:colOff>
      <xdr:row>30</xdr:row>
      <xdr:rowOff>133200</xdr:rowOff>
    </xdr:from>
    <xdr:to>
      <xdr:col>28</xdr:col>
      <xdr:colOff>56520</xdr:colOff>
      <xdr:row>32</xdr:row>
      <xdr:rowOff>141840</xdr:rowOff>
    </xdr:to>
    <xdr:sp>
      <xdr:nvSpPr>
        <xdr:cNvPr id="19" name="Vapaamuotoinen: Muoto 21"/>
        <xdr:cNvSpPr/>
      </xdr:nvSpPr>
      <xdr:spPr>
        <a:xfrm rot="1143000">
          <a:off x="16171920" y="4704840"/>
          <a:ext cx="198000" cy="313560"/>
        </a:xfrm>
        <a:custGeom>
          <a:avLst/>
          <a:gdLst>
            <a:gd name="textAreaLeft" fmla="*/ 0 w 198000"/>
            <a:gd name="textAreaRight" fmla="*/ 198720 w 198000"/>
            <a:gd name="textAreaTop" fmla="*/ 0 h 313560"/>
            <a:gd name="textAreaBottom" fmla="*/ 314280 h 313560"/>
            <a:gd name="GluePoint1X" fmla="*/ 0 w 257175"/>
            <a:gd name="GluePoint1Y" fmla="*/ 0 h 314325"/>
            <a:gd name="GluePoint2X" fmla="*/ 47625 w 257175"/>
            <a:gd name="GluePoint2Y" fmla="*/ 314325 h 314325"/>
            <a:gd name="GluePoint3X" fmla="*/ 257175 w 257175"/>
            <a:gd name="GluePoint3Y" fmla="*/ 85725 h 314325"/>
            <a:gd name="GluePoint4X" fmla="*/ 0 w 257175"/>
            <a:gd name="GluePoint4Y" fmla="*/ 0 h 314325"/>
          </a:gdLst>
          <a:ahLst/>
          <a:cxnLst>
            <a:cxn ang="0">
              <a:pos x="GluePoint1X" y="GluePoint1Y"/>
            </a:cxn>
            <a:cxn ang="0">
              <a:pos x="GluePoint2X" y="GluePoint2Y"/>
            </a:cxn>
            <a:cxn ang="0">
              <a:pos x="GluePoint3X" y="GluePoint3Y"/>
            </a:cxn>
            <a:cxn ang="0">
              <a:pos x="GluePoint4X" y="GluePoint4Y"/>
            </a:cxn>
          </a:cxnLst>
          <a:rect l="textAreaLeft" t="textAreaTop" r="textAreaRight" b="textAreaBottom"/>
          <a:pathLst>
            <a:path w="257175" h="314325">
              <a:moveTo>
                <a:pt x="0" y="0"/>
              </a:moveTo>
              <a:lnTo>
                <a:pt x="47625" y="314325"/>
              </a:lnTo>
              <a:lnTo>
                <a:pt x="257175" y="85725"/>
              </a:lnTo>
              <a:lnTo>
                <a:pt x="0" y="0"/>
              </a:lnTo>
              <a:close/>
            </a:path>
          </a:pathLst>
        </a:cu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33</xdr:col>
      <xdr:colOff>49320</xdr:colOff>
      <xdr:row>19</xdr:row>
      <xdr:rowOff>114120</xdr:rowOff>
    </xdr:from>
    <xdr:to>
      <xdr:col>33</xdr:col>
      <xdr:colOff>247320</xdr:colOff>
      <xdr:row>21</xdr:row>
      <xdr:rowOff>122760</xdr:rowOff>
    </xdr:to>
    <xdr:sp>
      <xdr:nvSpPr>
        <xdr:cNvPr id="20" name="Vapaamuotoinen: Muoto 22"/>
        <xdr:cNvSpPr/>
      </xdr:nvSpPr>
      <xdr:spPr>
        <a:xfrm rot="775800">
          <a:off x="19128600" y="3009240"/>
          <a:ext cx="198000" cy="313560"/>
        </a:xfrm>
        <a:custGeom>
          <a:avLst/>
          <a:gdLst>
            <a:gd name="textAreaLeft" fmla="*/ 0 w 198000"/>
            <a:gd name="textAreaRight" fmla="*/ 198720 w 198000"/>
            <a:gd name="textAreaTop" fmla="*/ 0 h 313560"/>
            <a:gd name="textAreaBottom" fmla="*/ 314280 h 313560"/>
            <a:gd name="GluePoint1X" fmla="*/ 0 w 257175"/>
            <a:gd name="GluePoint1Y" fmla="*/ 0 h 314325"/>
            <a:gd name="GluePoint2X" fmla="*/ 47625 w 257175"/>
            <a:gd name="GluePoint2Y" fmla="*/ 314325 h 314325"/>
            <a:gd name="GluePoint3X" fmla="*/ 257175 w 257175"/>
            <a:gd name="GluePoint3Y" fmla="*/ 85725 h 314325"/>
            <a:gd name="GluePoint4X" fmla="*/ 0 w 257175"/>
            <a:gd name="GluePoint4Y" fmla="*/ 0 h 314325"/>
          </a:gdLst>
          <a:ahLst/>
          <a:cxnLst>
            <a:cxn ang="0">
              <a:pos x="GluePoint1X" y="GluePoint1Y"/>
            </a:cxn>
            <a:cxn ang="0">
              <a:pos x="GluePoint2X" y="GluePoint2Y"/>
            </a:cxn>
            <a:cxn ang="0">
              <a:pos x="GluePoint3X" y="GluePoint3Y"/>
            </a:cxn>
            <a:cxn ang="0">
              <a:pos x="GluePoint4X" y="GluePoint4Y"/>
            </a:cxn>
          </a:cxnLst>
          <a:rect l="textAreaLeft" t="textAreaTop" r="textAreaRight" b="textAreaBottom"/>
          <a:pathLst>
            <a:path w="257175" h="314325">
              <a:moveTo>
                <a:pt x="0" y="0"/>
              </a:moveTo>
              <a:lnTo>
                <a:pt x="47625" y="314325"/>
              </a:lnTo>
              <a:lnTo>
                <a:pt x="257175" y="85725"/>
              </a:lnTo>
              <a:lnTo>
                <a:pt x="0" y="0"/>
              </a:lnTo>
              <a:close/>
            </a:path>
          </a:pathLst>
        </a:cu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33</xdr:col>
      <xdr:colOff>48960</xdr:colOff>
      <xdr:row>21</xdr:row>
      <xdr:rowOff>66600</xdr:rowOff>
    </xdr:from>
    <xdr:to>
      <xdr:col>33</xdr:col>
      <xdr:colOff>113760</xdr:colOff>
      <xdr:row>22</xdr:row>
      <xdr:rowOff>28080</xdr:rowOff>
    </xdr:to>
    <xdr:sp>
      <xdr:nvSpPr>
        <xdr:cNvPr id="21" name="Ellipsi 23"/>
        <xdr:cNvSpPr/>
      </xdr:nvSpPr>
      <xdr:spPr>
        <a:xfrm>
          <a:off x="19128240" y="3267000"/>
          <a:ext cx="64800" cy="113760"/>
        </a:xfrm>
        <a:prstGeom prst="ellipse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33</xdr:col>
      <xdr:colOff>200160</xdr:colOff>
      <xdr:row>20</xdr:row>
      <xdr:rowOff>66600</xdr:rowOff>
    </xdr:from>
    <xdr:to>
      <xdr:col>33</xdr:col>
      <xdr:colOff>323280</xdr:colOff>
      <xdr:row>21</xdr:row>
      <xdr:rowOff>28080</xdr:rowOff>
    </xdr:to>
    <xdr:sp>
      <xdr:nvSpPr>
        <xdr:cNvPr id="22" name="Ellipsi 24"/>
        <xdr:cNvSpPr/>
      </xdr:nvSpPr>
      <xdr:spPr>
        <a:xfrm>
          <a:off x="19279440" y="3114720"/>
          <a:ext cx="123120" cy="113760"/>
        </a:xfrm>
        <a:prstGeom prst="ellipse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481320</xdr:colOff>
      <xdr:row>1</xdr:row>
      <xdr:rowOff>141480</xdr:rowOff>
    </xdr:from>
    <xdr:to>
      <xdr:col>9</xdr:col>
      <xdr:colOff>271080</xdr:colOff>
      <xdr:row>16</xdr:row>
      <xdr:rowOff>149760</xdr:rowOff>
    </xdr:to>
    <xdr:pic>
      <xdr:nvPicPr>
        <xdr:cNvPr id="23" name="Kuva 1"/>
        <xdr:cNvPicPr/>
      </xdr:nvPicPr>
      <xdr:blipFill>
        <a:blip r:embed="rId1"/>
        <a:stretch/>
      </xdr:blipFill>
      <xdr:spPr>
        <a:xfrm>
          <a:off x="3843720" y="293760"/>
          <a:ext cx="1478880" cy="2294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27</xdr:col>
      <xdr:colOff>447480</xdr:colOff>
      <xdr:row>19</xdr:row>
      <xdr:rowOff>56880</xdr:rowOff>
    </xdr:from>
    <xdr:to>
      <xdr:col>33</xdr:col>
      <xdr:colOff>47520</xdr:colOff>
      <xdr:row>30</xdr:row>
      <xdr:rowOff>85680</xdr:rowOff>
    </xdr:to>
    <xdr:cxnSp>
      <xdr:nvCxnSpPr>
        <xdr:cNvPr id="24" name="Suora yhdysviiva 2"/>
        <xdr:cNvCxnSpPr/>
      </xdr:nvCxnSpPr>
      <xdr:spPr>
        <a:xfrm flipV="1">
          <a:off x="16760160" y="2952360"/>
          <a:ext cx="2916720" cy="1705680"/>
        </a:xfrm>
        <a:prstGeom prst="straightConnector1">
          <a:avLst/>
        </a:prstGeom>
        <a:ln w="19050">
          <a:solidFill>
            <a:srgbClr val="156082"/>
          </a:solidFill>
          <a:miter/>
        </a:ln>
      </xdr:spPr>
    </xdr:cxnSp>
    <xdr:clientData/>
  </xdr:twoCellAnchor>
  <xdr:twoCellAnchor editAs="twoCell">
    <xdr:from>
      <xdr:col>27</xdr:col>
      <xdr:colOff>85680</xdr:colOff>
      <xdr:row>26</xdr:row>
      <xdr:rowOff>-360</xdr:rowOff>
    </xdr:from>
    <xdr:to>
      <xdr:col>27</xdr:col>
      <xdr:colOff>485640</xdr:colOff>
      <xdr:row>29</xdr:row>
      <xdr:rowOff>47520</xdr:rowOff>
    </xdr:to>
    <xdr:cxnSp>
      <xdr:nvCxnSpPr>
        <xdr:cNvPr id="25" name="Suora nuoliyhdysviiva 3"/>
        <xdr:cNvCxnSpPr/>
      </xdr:nvCxnSpPr>
      <xdr:spPr>
        <a:xfrm>
          <a:off x="16398360" y="3962160"/>
          <a:ext cx="400320" cy="50544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27</xdr:col>
      <xdr:colOff>37800</xdr:colOff>
      <xdr:row>14</xdr:row>
      <xdr:rowOff>133200</xdr:rowOff>
    </xdr:from>
    <xdr:to>
      <xdr:col>32</xdr:col>
      <xdr:colOff>247320</xdr:colOff>
      <xdr:row>26</xdr:row>
      <xdr:rowOff>9000</xdr:rowOff>
    </xdr:to>
    <xdr:cxnSp>
      <xdr:nvCxnSpPr>
        <xdr:cNvPr id="26" name="Suora yhdysviiva 4"/>
        <xdr:cNvCxnSpPr/>
      </xdr:nvCxnSpPr>
      <xdr:spPr>
        <a:xfrm flipV="1">
          <a:off x="16350480" y="2266920"/>
          <a:ext cx="2975040" cy="1704960"/>
        </a:xfrm>
        <a:prstGeom prst="straightConnector1">
          <a:avLst/>
        </a:prstGeom>
        <a:ln w="19050">
          <a:solidFill>
            <a:srgbClr val="156082"/>
          </a:solidFill>
          <a:miter/>
        </a:ln>
      </xdr:spPr>
    </xdr:cxnSp>
    <xdr:clientData/>
  </xdr:twoCellAnchor>
  <xdr:twoCellAnchor editAs="twoCell">
    <xdr:from>
      <xdr:col>32</xdr:col>
      <xdr:colOff>237960</xdr:colOff>
      <xdr:row>14</xdr:row>
      <xdr:rowOff>133200</xdr:rowOff>
    </xdr:from>
    <xdr:to>
      <xdr:col>33</xdr:col>
      <xdr:colOff>10800</xdr:colOff>
      <xdr:row>18</xdr:row>
      <xdr:rowOff>38160</xdr:rowOff>
    </xdr:to>
    <xdr:cxnSp>
      <xdr:nvCxnSpPr>
        <xdr:cNvPr id="27" name="Suora nuoliyhdysviiva 10"/>
        <xdr:cNvCxnSpPr/>
      </xdr:nvCxnSpPr>
      <xdr:spPr>
        <a:xfrm>
          <a:off x="19315800" y="2266920"/>
          <a:ext cx="324360" cy="51480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32</xdr:col>
      <xdr:colOff>324720</xdr:colOff>
      <xdr:row>19</xdr:row>
      <xdr:rowOff>48240</xdr:rowOff>
    </xdr:from>
    <xdr:to>
      <xdr:col>33</xdr:col>
      <xdr:colOff>28800</xdr:colOff>
      <xdr:row>20</xdr:row>
      <xdr:rowOff>152280</xdr:rowOff>
    </xdr:to>
    <xdr:sp>
      <xdr:nvSpPr>
        <xdr:cNvPr id="28" name="Vapaamuotoinen: Muoto 12"/>
        <xdr:cNvSpPr/>
      </xdr:nvSpPr>
      <xdr:spPr>
        <a:xfrm rot="5810400">
          <a:off x="19401840" y="2944080"/>
          <a:ext cx="256680" cy="255240"/>
        </a:xfrm>
        <a:custGeom>
          <a:avLst/>
          <a:gdLst>
            <a:gd name="textAreaLeft" fmla="*/ 0 w 256680"/>
            <a:gd name="textAreaRight" fmla="*/ 257400 w 256680"/>
            <a:gd name="textAreaTop" fmla="*/ 0 h 255240"/>
            <a:gd name="textAreaBottom" fmla="*/ 255960 h 255240"/>
            <a:gd name="GluePoint1X" fmla="*/ 0 w 257175"/>
            <a:gd name="GluePoint1Y" fmla="*/ 0 h 314325"/>
            <a:gd name="GluePoint2X" fmla="*/ 47625 w 257175"/>
            <a:gd name="GluePoint2Y" fmla="*/ 314325 h 314325"/>
            <a:gd name="GluePoint3X" fmla="*/ 257175 w 257175"/>
            <a:gd name="GluePoint3Y" fmla="*/ 85725 h 314325"/>
            <a:gd name="GluePoint4X" fmla="*/ 0 w 257175"/>
            <a:gd name="GluePoint4Y" fmla="*/ 0 h 314325"/>
          </a:gdLst>
          <a:ahLst/>
          <a:cxnLst>
            <a:cxn ang="0">
              <a:pos x="GluePoint1X" y="GluePoint1Y"/>
            </a:cxn>
            <a:cxn ang="0">
              <a:pos x="GluePoint2X" y="GluePoint2Y"/>
            </a:cxn>
            <a:cxn ang="0">
              <a:pos x="GluePoint3X" y="GluePoint3Y"/>
            </a:cxn>
            <a:cxn ang="0">
              <a:pos x="GluePoint4X" y="GluePoint4Y"/>
            </a:cxn>
          </a:cxnLst>
          <a:rect l="textAreaLeft" t="textAreaTop" r="textAreaRight" b="textAreaBottom"/>
          <a:pathLst>
            <a:path w="257175" h="314325">
              <a:moveTo>
                <a:pt x="0" y="0"/>
              </a:moveTo>
              <a:lnTo>
                <a:pt x="47625" y="314325"/>
              </a:lnTo>
              <a:lnTo>
                <a:pt x="257175" y="85725"/>
              </a:lnTo>
              <a:lnTo>
                <a:pt x="0" y="0"/>
              </a:lnTo>
              <a:close/>
            </a:path>
          </a:pathLst>
        </a:cu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32</xdr:col>
      <xdr:colOff>428760</xdr:colOff>
      <xdr:row>20</xdr:row>
      <xdr:rowOff>95400</xdr:rowOff>
    </xdr:from>
    <xdr:to>
      <xdr:col>33</xdr:col>
      <xdr:colOff>720</xdr:colOff>
      <xdr:row>21</xdr:row>
      <xdr:rowOff>56520</xdr:rowOff>
    </xdr:to>
    <xdr:sp>
      <xdr:nvSpPr>
        <xdr:cNvPr id="29" name="Ellipsi 13"/>
        <xdr:cNvSpPr/>
      </xdr:nvSpPr>
      <xdr:spPr>
        <a:xfrm>
          <a:off x="19506600" y="3143520"/>
          <a:ext cx="123120" cy="113400"/>
        </a:xfrm>
        <a:prstGeom prst="ellipse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32</xdr:col>
      <xdr:colOff>209520</xdr:colOff>
      <xdr:row>19</xdr:row>
      <xdr:rowOff>38160</xdr:rowOff>
    </xdr:from>
    <xdr:to>
      <xdr:col>32</xdr:col>
      <xdr:colOff>332640</xdr:colOff>
      <xdr:row>19</xdr:row>
      <xdr:rowOff>151920</xdr:rowOff>
    </xdr:to>
    <xdr:sp>
      <xdr:nvSpPr>
        <xdr:cNvPr id="30" name="Ellipsi 14"/>
        <xdr:cNvSpPr/>
      </xdr:nvSpPr>
      <xdr:spPr>
        <a:xfrm>
          <a:off x="19287360" y="2933640"/>
          <a:ext cx="123120" cy="113760"/>
        </a:xfrm>
        <a:prstGeom prst="ellipse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28</xdr:col>
      <xdr:colOff>37800</xdr:colOff>
      <xdr:row>24</xdr:row>
      <xdr:rowOff>0</xdr:rowOff>
    </xdr:from>
    <xdr:to>
      <xdr:col>28</xdr:col>
      <xdr:colOff>438120</xdr:colOff>
      <xdr:row>27</xdr:row>
      <xdr:rowOff>47520</xdr:rowOff>
    </xdr:to>
    <xdr:cxnSp>
      <xdr:nvCxnSpPr>
        <xdr:cNvPr id="31" name="Suora nuoliyhdysviiva 19"/>
        <xdr:cNvCxnSpPr/>
      </xdr:nvCxnSpPr>
      <xdr:spPr>
        <a:xfrm>
          <a:off x="16901640" y="3657600"/>
          <a:ext cx="400680" cy="50508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29</xdr:col>
      <xdr:colOff>9360</xdr:colOff>
      <xdr:row>21</xdr:row>
      <xdr:rowOff>133200</xdr:rowOff>
    </xdr:from>
    <xdr:to>
      <xdr:col>29</xdr:col>
      <xdr:colOff>409320</xdr:colOff>
      <xdr:row>25</xdr:row>
      <xdr:rowOff>28440</xdr:rowOff>
    </xdr:to>
    <xdr:cxnSp>
      <xdr:nvCxnSpPr>
        <xdr:cNvPr id="32" name="Suora nuoliyhdysviiva 20"/>
        <xdr:cNvCxnSpPr/>
      </xdr:nvCxnSpPr>
      <xdr:spPr>
        <a:xfrm>
          <a:off x="17433720" y="3333600"/>
          <a:ext cx="400320" cy="50508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30</xdr:col>
      <xdr:colOff>18720</xdr:colOff>
      <xdr:row>19</xdr:row>
      <xdr:rowOff>95040</xdr:rowOff>
    </xdr:from>
    <xdr:to>
      <xdr:col>30</xdr:col>
      <xdr:colOff>419040</xdr:colOff>
      <xdr:row>22</xdr:row>
      <xdr:rowOff>142920</xdr:rowOff>
    </xdr:to>
    <xdr:cxnSp>
      <xdr:nvCxnSpPr>
        <xdr:cNvPr id="33" name="Suora nuoliyhdysviiva 21"/>
        <xdr:cNvCxnSpPr/>
      </xdr:nvCxnSpPr>
      <xdr:spPr>
        <a:xfrm>
          <a:off x="17994240" y="2990520"/>
          <a:ext cx="400680" cy="50544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31</xdr:col>
      <xdr:colOff>66600</xdr:colOff>
      <xdr:row>17</xdr:row>
      <xdr:rowOff>75960</xdr:rowOff>
    </xdr:from>
    <xdr:to>
      <xdr:col>31</xdr:col>
      <xdr:colOff>466560</xdr:colOff>
      <xdr:row>20</xdr:row>
      <xdr:rowOff>123840</xdr:rowOff>
    </xdr:to>
    <xdr:cxnSp>
      <xdr:nvCxnSpPr>
        <xdr:cNvPr id="34" name="Suora nuoliyhdysviiva 22"/>
        <xdr:cNvCxnSpPr/>
      </xdr:nvCxnSpPr>
      <xdr:spPr>
        <a:xfrm>
          <a:off x="18593280" y="2666880"/>
          <a:ext cx="400320" cy="50544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27</xdr:col>
      <xdr:colOff>237960</xdr:colOff>
      <xdr:row>30</xdr:row>
      <xdr:rowOff>76320</xdr:rowOff>
    </xdr:from>
    <xdr:to>
      <xdr:col>28</xdr:col>
      <xdr:colOff>37080</xdr:colOff>
      <xdr:row>32</xdr:row>
      <xdr:rowOff>123120</xdr:rowOff>
    </xdr:to>
    <xdr:sp>
      <xdr:nvSpPr>
        <xdr:cNvPr id="35" name="Suorakulmio 23"/>
        <xdr:cNvSpPr/>
      </xdr:nvSpPr>
      <xdr:spPr>
        <a:xfrm>
          <a:off x="16550640" y="4648320"/>
          <a:ext cx="350280" cy="351720"/>
        </a:xfrm>
        <a:prstGeom prst="rect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481320</xdr:colOff>
      <xdr:row>1</xdr:row>
      <xdr:rowOff>141480</xdr:rowOff>
    </xdr:from>
    <xdr:to>
      <xdr:col>9</xdr:col>
      <xdr:colOff>271080</xdr:colOff>
      <xdr:row>16</xdr:row>
      <xdr:rowOff>150120</xdr:rowOff>
    </xdr:to>
    <xdr:pic>
      <xdr:nvPicPr>
        <xdr:cNvPr id="36" name="Kuva 6"/>
        <xdr:cNvPicPr/>
      </xdr:nvPicPr>
      <xdr:blipFill>
        <a:blip r:embed="rId1"/>
        <a:stretch/>
      </xdr:blipFill>
      <xdr:spPr>
        <a:xfrm>
          <a:off x="3843720" y="293760"/>
          <a:ext cx="1478880" cy="22946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5</xdr:col>
      <xdr:colOff>41400</xdr:colOff>
      <xdr:row>77</xdr:row>
      <xdr:rowOff>75960</xdr:rowOff>
    </xdr:from>
    <xdr:to>
      <xdr:col>11</xdr:col>
      <xdr:colOff>360</xdr:colOff>
      <xdr:row>96</xdr:row>
      <xdr:rowOff>34920</xdr:rowOff>
    </xdr:to>
    <xdr:pic>
      <xdr:nvPicPr>
        <xdr:cNvPr id="37" name="Kuva 7"/>
        <xdr:cNvPicPr/>
      </xdr:nvPicPr>
      <xdr:blipFill>
        <a:blip r:embed="rId2"/>
        <a:stretch/>
      </xdr:blipFill>
      <xdr:spPr>
        <a:xfrm>
          <a:off x="2842920" y="12369600"/>
          <a:ext cx="3311280" cy="3265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11</xdr:col>
      <xdr:colOff>488520</xdr:colOff>
      <xdr:row>76</xdr:row>
      <xdr:rowOff>126360</xdr:rowOff>
    </xdr:from>
    <xdr:to>
      <xdr:col>18</xdr:col>
      <xdr:colOff>221040</xdr:colOff>
      <xdr:row>90</xdr:row>
      <xdr:rowOff>3240</xdr:rowOff>
    </xdr:to>
    <xdr:pic>
      <xdr:nvPicPr>
        <xdr:cNvPr id="38" name="Kuva 8"/>
        <xdr:cNvPicPr/>
      </xdr:nvPicPr>
      <xdr:blipFill>
        <a:blip r:embed="rId3"/>
        <a:stretch/>
      </xdr:blipFill>
      <xdr:spPr>
        <a:xfrm>
          <a:off x="6642360" y="12244680"/>
          <a:ext cx="3681000" cy="2307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51</xdr:col>
      <xdr:colOff>217080</xdr:colOff>
      <xdr:row>18</xdr:row>
      <xdr:rowOff>47880</xdr:rowOff>
    </xdr:from>
    <xdr:to>
      <xdr:col>61</xdr:col>
      <xdr:colOff>365400</xdr:colOff>
      <xdr:row>38</xdr:row>
      <xdr:rowOff>95040</xdr:rowOff>
    </xdr:to>
    <xdr:pic>
      <xdr:nvPicPr>
        <xdr:cNvPr id="39" name="Image 1"/>
        <xdr:cNvPicPr/>
      </xdr:nvPicPr>
      <xdr:blipFill>
        <a:blip r:embed="rId4"/>
        <a:stretch/>
      </xdr:blipFill>
      <xdr:spPr>
        <a:xfrm>
          <a:off x="29358360" y="2791080"/>
          <a:ext cx="6046920" cy="30952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-teema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W227"/>
  <sheetViews>
    <sheetView showFormulas="false" showGridLines="true" showRowColHeaders="true" showZeros="true" rightToLeft="false" tabSelected="false" showOutlineSymbols="true" defaultGridColor="true" view="normal" topLeftCell="AF28" colorId="64" zoomScale="100" zoomScaleNormal="100" zoomScalePageLayoutView="100" workbookViewId="0">
      <selection pane="topLeft" activeCell="BB57" activeCellId="0" sqref="BB57"/>
    </sheetView>
  </sheetViews>
  <sheetFormatPr defaultColWidth="9.140625" defaultRowHeight="12" customHeight="false" zeroHeight="false" outlineLevelRow="0" outlineLevelCol="0"/>
  <cols>
    <col collapsed="false" customWidth="false" hidden="false" outlineLevel="0" max="1" min="1" style="1" width="9.14"/>
    <col collapsed="false" customWidth="true" hidden="false" outlineLevel="0" max="4" min="2" style="1" width="9.3"/>
    <col collapsed="false" customWidth="true" hidden="false" outlineLevel="0" max="5" min="5" style="1" width="9.42"/>
    <col collapsed="false" customWidth="true" hidden="false" outlineLevel="0" max="7" min="6" style="1" width="9.3"/>
    <col collapsed="false" customWidth="false" hidden="false" outlineLevel="0" max="8" min="8" style="1" width="9.14"/>
    <col collapsed="false" customWidth="true" hidden="false" outlineLevel="0" max="9" min="9" style="1" width="9.57"/>
    <col collapsed="false" customWidth="false" hidden="false" outlineLevel="0" max="11" min="10" style="1" width="9.14"/>
    <col collapsed="false" customWidth="true" hidden="false" outlineLevel="0" max="12" min="12" style="1" width="9.72"/>
    <col collapsed="false" customWidth="true" hidden="false" outlineLevel="0" max="14" min="13" style="1" width="9.3"/>
    <col collapsed="false" customWidth="true" hidden="false" outlineLevel="0" max="15" min="15" style="1" width="9.42"/>
    <col collapsed="false" customWidth="true" hidden="false" outlineLevel="0" max="17" min="16" style="1" width="9.3"/>
    <col collapsed="false" customWidth="false" hidden="false" outlineLevel="0" max="18" min="18" style="1" width="9.14"/>
    <col collapsed="false" customWidth="true" hidden="false" outlineLevel="0" max="19" min="19" style="1" width="9.3"/>
    <col collapsed="false" customWidth="false" hidden="false" outlineLevel="0" max="21" min="20" style="1" width="9.14"/>
    <col collapsed="false" customWidth="true" hidden="false" outlineLevel="0" max="24" min="22" style="1" width="9.3"/>
    <col collapsed="false" customWidth="true" hidden="false" outlineLevel="0" max="25" min="25" style="1" width="9.42"/>
    <col collapsed="false" customWidth="true" hidden="false" outlineLevel="0" max="27" min="26" style="1" width="9.3"/>
    <col collapsed="false" customWidth="false" hidden="false" outlineLevel="0" max="28" min="28" style="1" width="9.14"/>
    <col collapsed="false" customWidth="true" hidden="false" outlineLevel="0" max="29" min="29" style="1" width="9.3"/>
    <col collapsed="false" customWidth="false" hidden="false" outlineLevel="0" max="35" min="30" style="1" width="9.14"/>
    <col collapsed="false" customWidth="true" hidden="false" outlineLevel="0" max="36" min="36" style="1" width="9.3"/>
    <col collapsed="false" customWidth="true" hidden="false" outlineLevel="0" max="37" min="37" style="1" width="11"/>
    <col collapsed="false" customWidth="true" hidden="false" outlineLevel="0" max="38" min="38" style="1" width="11.14"/>
    <col collapsed="false" customWidth="true" hidden="false" outlineLevel="0" max="39" min="39" style="1" width="10.42"/>
    <col collapsed="false" customWidth="true" hidden="false" outlineLevel="0" max="40" min="40" style="1" width="9.57"/>
    <col collapsed="false" customWidth="true" hidden="false" outlineLevel="0" max="43" min="41" style="1" width="11"/>
    <col collapsed="false" customWidth="true" hidden="false" outlineLevel="0" max="44" min="44" style="1" width="9.57"/>
    <col collapsed="false" customWidth="true" hidden="false" outlineLevel="0" max="48" min="45" style="1" width="9.3"/>
    <col collapsed="false" customWidth="false" hidden="false" outlineLevel="0" max="49" min="49" style="1" width="9.14"/>
    <col collapsed="false" customWidth="true" hidden="false" outlineLevel="0" max="53" min="50" style="1" width="9.3"/>
    <col collapsed="false" customWidth="true" hidden="false" outlineLevel="0" max="54" min="54" style="1" width="12.42"/>
    <col collapsed="false" customWidth="true" hidden="false" outlineLevel="0" max="55" min="55" style="1" width="9.3"/>
    <col collapsed="false" customWidth="true" hidden="false" outlineLevel="0" max="56" min="56" style="1" width="11"/>
    <col collapsed="false" customWidth="true" hidden="false" outlineLevel="0" max="62" min="57" style="1" width="9.3"/>
    <col collapsed="false" customWidth="false" hidden="false" outlineLevel="0" max="16384" min="63" style="1" width="9.14"/>
  </cols>
  <sheetData>
    <row r="1" customFormat="false" ht="12" hidden="false" customHeight="false" outlineLevel="0" collapsed="false">
      <c r="B1" s="1" t="s">
        <v>0</v>
      </c>
    </row>
    <row r="3" customFormat="false" ht="12" hidden="false" customHeight="false" outlineLevel="0" collapsed="false">
      <c r="B3" s="2" t="s">
        <v>1</v>
      </c>
      <c r="E3" s="3"/>
      <c r="F3" s="4"/>
      <c r="L3" s="2" t="s">
        <v>2</v>
      </c>
      <c r="O3" s="3"/>
      <c r="P3" s="4"/>
      <c r="S3" s="2"/>
      <c r="V3" s="2" t="s">
        <v>3</v>
      </c>
      <c r="X3" s="3"/>
      <c r="Y3" s="4"/>
    </row>
    <row r="4" customFormat="false" ht="12" hidden="false" customHeight="false" outlineLevel="0" collapsed="false">
      <c r="B4" s="1" t="s">
        <v>4</v>
      </c>
      <c r="E4" s="5" t="n">
        <v>90</v>
      </c>
      <c r="F4" s="1" t="s">
        <v>5</v>
      </c>
      <c r="L4" s="1" t="s">
        <v>4</v>
      </c>
      <c r="O4" s="6" t="n">
        <v>0</v>
      </c>
      <c r="P4" s="1" t="s">
        <v>5</v>
      </c>
      <c r="V4" s="1" t="s">
        <v>4</v>
      </c>
      <c r="X4" s="7"/>
      <c r="Y4" s="6" t="n">
        <v>90</v>
      </c>
      <c r="Z4" s="1" t="s">
        <v>5</v>
      </c>
      <c r="AJ4" s="2" t="s">
        <v>6</v>
      </c>
      <c r="AZ4" s="2" t="s">
        <v>7</v>
      </c>
    </row>
    <row r="5" customFormat="false" ht="12" hidden="false" customHeight="false" outlineLevel="0" collapsed="false">
      <c r="B5" s="8" t="s">
        <v>8</v>
      </c>
      <c r="C5" s="9" t="n">
        <f aca="false">COS(RADIANS(E4))</f>
        <v>6.12323399573677E-017</v>
      </c>
      <c r="D5" s="8" t="s">
        <v>9</v>
      </c>
      <c r="E5" s="6" t="n">
        <f aca="false">SIN(RADIANS(E4))</f>
        <v>1</v>
      </c>
      <c r="L5" s="8" t="s">
        <v>8</v>
      </c>
      <c r="M5" s="9" t="n">
        <f aca="false">IF(ROUND(COS(RADIANS(O4)),5)=0,0,COS(RADIANS(O4)))</f>
        <v>1</v>
      </c>
      <c r="N5" s="8" t="s">
        <v>9</v>
      </c>
      <c r="O5" s="6" t="n">
        <f aca="false">IF(ROUND(SIN(RADIANS(O4)),5)=0,0,SIN(RADIANS(O4)))</f>
        <v>0</v>
      </c>
      <c r="V5" s="8" t="s">
        <v>8</v>
      </c>
      <c r="W5" s="9" t="n">
        <f aca="false">IF(ROUND(COS(RADIANS(Y4)),5)=0,0,COS(RADIANS(Y4)))</f>
        <v>0</v>
      </c>
      <c r="X5" s="8" t="s">
        <v>9</v>
      </c>
      <c r="Y5" s="6" t="n">
        <f aca="false">IF(ROUND(SIN(RADIANS(Y4)),5)=0,0,SIN(RADIANS(Y4)))</f>
        <v>1</v>
      </c>
      <c r="AJ5" s="10"/>
      <c r="AK5" s="11" t="n">
        <v>1</v>
      </c>
      <c r="AL5" s="11" t="n">
        <v>2</v>
      </c>
      <c r="AM5" s="11" t="n">
        <v>3</v>
      </c>
      <c r="AN5" s="11" t="n">
        <v>4</v>
      </c>
      <c r="AO5" s="11" t="n">
        <v>5</v>
      </c>
      <c r="AP5" s="11" t="n">
        <v>6</v>
      </c>
      <c r="AQ5" s="11" t="n">
        <v>7</v>
      </c>
      <c r="AR5" s="11" t="n">
        <v>8</v>
      </c>
      <c r="AS5" s="11" t="n">
        <v>9</v>
      </c>
      <c r="AT5" s="11" t="n">
        <v>10</v>
      </c>
      <c r="AU5" s="11" t="n">
        <v>11</v>
      </c>
      <c r="AV5" s="11" t="n">
        <v>12</v>
      </c>
      <c r="AW5" s="7"/>
      <c r="AX5" s="10" t="s">
        <v>10</v>
      </c>
      <c r="AZ5" s="10"/>
      <c r="BA5" s="11" t="n">
        <v>1</v>
      </c>
      <c r="BB5" s="11" t="n">
        <v>2</v>
      </c>
      <c r="BC5" s="11" t="n">
        <v>3</v>
      </c>
      <c r="BD5" s="11" t="n">
        <v>4</v>
      </c>
      <c r="BE5" s="11" t="n">
        <v>5</v>
      </c>
      <c r="BF5" s="11" t="n">
        <v>6</v>
      </c>
      <c r="BG5" s="11" t="n">
        <v>7</v>
      </c>
      <c r="BH5" s="11" t="n">
        <v>8</v>
      </c>
      <c r="BI5" s="11" t="n">
        <v>9</v>
      </c>
      <c r="BJ5" s="11" t="n">
        <v>10</v>
      </c>
      <c r="BK5" s="11" t="n">
        <v>11</v>
      </c>
      <c r="BL5" s="11" t="n">
        <v>12</v>
      </c>
      <c r="BM5" s="7"/>
      <c r="BN5" s="10" t="s">
        <v>10</v>
      </c>
    </row>
    <row r="6" customFormat="false" ht="12" hidden="false" customHeight="false" outlineLevel="0" collapsed="false">
      <c r="B6" s="1" t="s">
        <v>11</v>
      </c>
      <c r="E6" s="6" t="n">
        <v>4000</v>
      </c>
      <c r="F6" s="1" t="s">
        <v>12</v>
      </c>
      <c r="L6" s="1" t="s">
        <v>11</v>
      </c>
      <c r="O6" s="6" t="n">
        <v>6000</v>
      </c>
      <c r="P6" s="1" t="s">
        <v>12</v>
      </c>
      <c r="V6" s="1" t="s">
        <v>11</v>
      </c>
      <c r="X6" s="7"/>
      <c r="Y6" s="6" t="n">
        <v>4000</v>
      </c>
      <c r="Z6" s="1" t="s">
        <v>12</v>
      </c>
      <c r="AJ6" s="11" t="n">
        <v>1</v>
      </c>
      <c r="AK6" s="12" t="n">
        <f aca="false">B20</f>
        <v>328.125</v>
      </c>
      <c r="AL6" s="12" t="n">
        <f aca="false">C20</f>
        <v>3.21268866160695E-011</v>
      </c>
      <c r="AM6" s="12" t="n">
        <f aca="false">D20</f>
        <v>-656250</v>
      </c>
      <c r="AN6" s="12" t="n">
        <f aca="false">E20</f>
        <v>-328.125</v>
      </c>
      <c r="AO6" s="12" t="n">
        <f aca="false">F20</f>
        <v>-3.21268866160695E-011</v>
      </c>
      <c r="AP6" s="12" t="n">
        <f aca="false">G20</f>
        <v>-656250</v>
      </c>
      <c r="AQ6" s="7" t="n">
        <v>0</v>
      </c>
      <c r="AR6" s="7" t="n">
        <v>0</v>
      </c>
      <c r="AS6" s="7" t="n">
        <v>0</v>
      </c>
      <c r="AT6" s="7" t="n">
        <v>0</v>
      </c>
      <c r="AU6" s="7" t="n">
        <v>0</v>
      </c>
      <c r="AV6" s="7" t="n">
        <v>0</v>
      </c>
      <c r="AW6" s="7"/>
      <c r="AX6" s="13" t="n">
        <f aca="false">I20</f>
        <v>20000</v>
      </c>
      <c r="AZ6" s="11" t="n">
        <v>1</v>
      </c>
      <c r="BA6" s="7" t="n">
        <v>0</v>
      </c>
      <c r="BB6" s="7" t="n">
        <v>0</v>
      </c>
      <c r="BC6" s="7" t="n">
        <v>0</v>
      </c>
      <c r="BD6" s="7" t="n">
        <v>0</v>
      </c>
      <c r="BE6" s="7" t="n">
        <v>0</v>
      </c>
      <c r="BF6" s="7" t="n">
        <v>0</v>
      </c>
      <c r="BG6" s="7" t="n">
        <v>0</v>
      </c>
      <c r="BH6" s="7" t="n">
        <v>0</v>
      </c>
      <c r="BI6" s="7" t="n">
        <v>0</v>
      </c>
      <c r="BJ6" s="7" t="n">
        <v>0</v>
      </c>
      <c r="BK6" s="7" t="n">
        <v>0</v>
      </c>
      <c r="BL6" s="7" t="n">
        <v>0</v>
      </c>
      <c r="BM6" s="7"/>
    </row>
    <row r="7" customFormat="false" ht="12" hidden="false" customHeight="false" outlineLevel="0" collapsed="false">
      <c r="B7" s="1" t="s">
        <v>13</v>
      </c>
      <c r="E7" s="14" t="n">
        <f aca="false">100*100</f>
        <v>10000</v>
      </c>
      <c r="F7" s="1" t="s">
        <v>14</v>
      </c>
      <c r="L7" s="1" t="s">
        <v>13</v>
      </c>
      <c r="O7" s="14" t="n">
        <f aca="false">100*200</f>
        <v>20000</v>
      </c>
      <c r="P7" s="1" t="s">
        <v>14</v>
      </c>
      <c r="V7" s="1" t="s">
        <v>13</v>
      </c>
      <c r="X7" s="15"/>
      <c r="Y7" s="14" t="n">
        <f aca="false">E7</f>
        <v>10000</v>
      </c>
      <c r="Z7" s="1" t="s">
        <v>14</v>
      </c>
      <c r="AJ7" s="11" t="n">
        <v>2</v>
      </c>
      <c r="AK7" s="12" t="n">
        <f aca="false">B21</f>
        <v>3.21268866160695E-011</v>
      </c>
      <c r="AL7" s="12" t="n">
        <f aca="false">C21</f>
        <v>525000</v>
      </c>
      <c r="AM7" s="12" t="n">
        <f aca="false">D21</f>
        <v>4.01837230970225E-011</v>
      </c>
      <c r="AN7" s="12" t="n">
        <f aca="false">E21</f>
        <v>-3.21268866160695E-011</v>
      </c>
      <c r="AO7" s="12" t="n">
        <f aca="false">F21</f>
        <v>-525000</v>
      </c>
      <c r="AP7" s="12" t="n">
        <f aca="false">G21</f>
        <v>4.01837230970225E-011</v>
      </c>
      <c r="AQ7" s="7" t="n">
        <v>0</v>
      </c>
      <c r="AR7" s="7" t="n">
        <v>0</v>
      </c>
      <c r="AS7" s="7" t="n">
        <v>0</v>
      </c>
      <c r="AT7" s="7" t="n">
        <v>0</v>
      </c>
      <c r="AU7" s="7" t="n">
        <v>0</v>
      </c>
      <c r="AV7" s="7" t="n">
        <v>0</v>
      </c>
      <c r="AW7" s="7"/>
      <c r="AX7" s="13" t="n">
        <f aca="false">I21</f>
        <v>-1.22464679914735E-012</v>
      </c>
      <c r="AZ7" s="11" t="n">
        <v>2</v>
      </c>
      <c r="BA7" s="7" t="n">
        <v>0</v>
      </c>
      <c r="BB7" s="7" t="n">
        <v>0</v>
      </c>
      <c r="BC7" s="7" t="n">
        <v>0</v>
      </c>
      <c r="BD7" s="7" t="n">
        <v>0</v>
      </c>
      <c r="BE7" s="7" t="n">
        <v>0</v>
      </c>
      <c r="BF7" s="7" t="n">
        <v>0</v>
      </c>
      <c r="BG7" s="7" t="n">
        <v>0</v>
      </c>
      <c r="BH7" s="7" t="n">
        <v>0</v>
      </c>
      <c r="BI7" s="7" t="n">
        <v>0</v>
      </c>
      <c r="BJ7" s="7" t="n">
        <v>0</v>
      </c>
      <c r="BK7" s="7" t="n">
        <v>0</v>
      </c>
      <c r="BL7" s="7" t="n">
        <v>0</v>
      </c>
      <c r="BM7" s="7"/>
    </row>
    <row r="8" customFormat="false" ht="12" hidden="false" customHeight="false" outlineLevel="0" collapsed="false">
      <c r="B8" s="1" t="s">
        <v>15</v>
      </c>
      <c r="E8" s="14" t="n">
        <f aca="false">100*100^3/12</f>
        <v>8333333.33333333</v>
      </c>
      <c r="F8" s="1" t="s">
        <v>16</v>
      </c>
      <c r="L8" s="1" t="s">
        <v>15</v>
      </c>
      <c r="O8" s="14" t="n">
        <f aca="false">100*200^3/12</f>
        <v>66666666.6666667</v>
      </c>
      <c r="P8" s="1" t="s">
        <v>16</v>
      </c>
      <c r="V8" s="1" t="s">
        <v>15</v>
      </c>
      <c r="X8" s="15"/>
      <c r="Y8" s="14" t="n">
        <f aca="false">E8</f>
        <v>8333333.33333333</v>
      </c>
      <c r="Z8" s="1" t="s">
        <v>16</v>
      </c>
      <c r="AJ8" s="11" t="n">
        <v>3</v>
      </c>
      <c r="AK8" s="12" t="n">
        <f aca="false">B22</f>
        <v>-656250</v>
      </c>
      <c r="AL8" s="12" t="n">
        <f aca="false">C22</f>
        <v>4.01837230970225E-011</v>
      </c>
      <c r="AM8" s="12" t="n">
        <f aca="false">D22</f>
        <v>1750000000</v>
      </c>
      <c r="AN8" s="12" t="n">
        <f aca="false">E22</f>
        <v>656250</v>
      </c>
      <c r="AO8" s="12" t="n">
        <f aca="false">F22</f>
        <v>-4.01837230970225E-011</v>
      </c>
      <c r="AP8" s="12" t="n">
        <f aca="false">G22</f>
        <v>875000000</v>
      </c>
      <c r="AQ8" s="7" t="n">
        <v>0</v>
      </c>
      <c r="AR8" s="7" t="n">
        <v>0</v>
      </c>
      <c r="AS8" s="7" t="n">
        <v>0</v>
      </c>
      <c r="AT8" s="7" t="n">
        <v>0</v>
      </c>
      <c r="AU8" s="7" t="n">
        <v>0</v>
      </c>
      <c r="AV8" s="7" t="n">
        <v>0</v>
      </c>
      <c r="AW8" s="7"/>
      <c r="AX8" s="13" t="n">
        <f aca="false">I22</f>
        <v>-13333333.3333333</v>
      </c>
      <c r="AZ8" s="11" t="n">
        <v>3</v>
      </c>
      <c r="BA8" s="7" t="n">
        <v>0</v>
      </c>
      <c r="BB8" s="7" t="n">
        <v>0</v>
      </c>
      <c r="BC8" s="7" t="n">
        <v>0</v>
      </c>
      <c r="BD8" s="7" t="n">
        <v>0</v>
      </c>
      <c r="BE8" s="7" t="n">
        <v>0</v>
      </c>
      <c r="BF8" s="7" t="n">
        <v>0</v>
      </c>
      <c r="BG8" s="7" t="n">
        <v>0</v>
      </c>
      <c r="BH8" s="7" t="n">
        <v>0</v>
      </c>
      <c r="BI8" s="7" t="n">
        <v>0</v>
      </c>
      <c r="BJ8" s="7" t="n">
        <v>0</v>
      </c>
      <c r="BK8" s="7" t="n">
        <v>0</v>
      </c>
      <c r="BL8" s="7" t="n">
        <v>0</v>
      </c>
      <c r="BM8" s="7"/>
    </row>
    <row r="9" customFormat="false" ht="12" hidden="false" customHeight="false" outlineLevel="0" collapsed="false">
      <c r="B9" s="1" t="s">
        <v>17</v>
      </c>
      <c r="E9" s="14" t="n">
        <f aca="false">210*10^3</f>
        <v>210000</v>
      </c>
      <c r="F9" s="1" t="s">
        <v>18</v>
      </c>
      <c r="L9" s="1" t="s">
        <v>17</v>
      </c>
      <c r="O9" s="14" t="n">
        <f aca="false">210*10^3</f>
        <v>210000</v>
      </c>
      <c r="P9" s="1" t="s">
        <v>19</v>
      </c>
      <c r="V9" s="1" t="s">
        <v>17</v>
      </c>
      <c r="X9" s="15"/>
      <c r="Y9" s="14" t="n">
        <f aca="false">E9</f>
        <v>210000</v>
      </c>
      <c r="Z9" s="1" t="s">
        <v>20</v>
      </c>
      <c r="AJ9" s="11" t="n">
        <v>4</v>
      </c>
      <c r="AK9" s="12" t="n">
        <f aca="false">B23</f>
        <v>-328.125</v>
      </c>
      <c r="AL9" s="12" t="n">
        <f aca="false">C23</f>
        <v>-3.21268866160695E-011</v>
      </c>
      <c r="AM9" s="12" t="n">
        <f aca="false">D23</f>
        <v>656250</v>
      </c>
      <c r="AN9" s="12" t="n">
        <f aca="false">E23</f>
        <v>328.125</v>
      </c>
      <c r="AO9" s="12" t="n">
        <f aca="false">F23</f>
        <v>3.21268866160695E-011</v>
      </c>
      <c r="AP9" s="12" t="n">
        <f aca="false">G23</f>
        <v>656250</v>
      </c>
      <c r="AQ9" s="7" t="n">
        <v>0</v>
      </c>
      <c r="AR9" s="7" t="n">
        <v>0</v>
      </c>
      <c r="AS9" s="7" t="n">
        <v>0</v>
      </c>
      <c r="AT9" s="7" t="n">
        <v>0</v>
      </c>
      <c r="AU9" s="7" t="n">
        <v>0</v>
      </c>
      <c r="AV9" s="7" t="n">
        <v>0</v>
      </c>
      <c r="AW9" s="7"/>
      <c r="AX9" s="13" t="n">
        <f aca="false">I23</f>
        <v>20000</v>
      </c>
      <c r="AZ9" s="11" t="n">
        <v>4</v>
      </c>
      <c r="BA9" s="7" t="n">
        <v>0</v>
      </c>
      <c r="BB9" s="7" t="n">
        <v>0</v>
      </c>
      <c r="BC9" s="7" t="n">
        <v>0</v>
      </c>
      <c r="BD9" s="16" t="n">
        <f aca="false">L20</f>
        <v>700000</v>
      </c>
      <c r="BE9" s="16" t="n">
        <f aca="false">M20</f>
        <v>0</v>
      </c>
      <c r="BF9" s="16" t="n">
        <f aca="false">N20</f>
        <v>0</v>
      </c>
      <c r="BG9" s="7" t="n">
        <v>0</v>
      </c>
      <c r="BH9" s="7" t="n">
        <v>0</v>
      </c>
      <c r="BI9" s="7" t="n">
        <v>0</v>
      </c>
      <c r="BJ9" s="16" t="n">
        <f aca="false">O20</f>
        <v>-700000</v>
      </c>
      <c r="BK9" s="16" t="n">
        <f aca="false">P20</f>
        <v>0</v>
      </c>
      <c r="BL9" s="16" t="n">
        <f aca="false">Q20</f>
        <v>0</v>
      </c>
      <c r="BM9" s="17"/>
      <c r="BN9" s="13" t="n">
        <f aca="false" t="array" ref="BN9:BN11">S20:S22</f>
        <v>0</v>
      </c>
    </row>
    <row r="10" customFormat="false" ht="12" hidden="false" customHeight="false" outlineLevel="0" collapsed="false">
      <c r="B10" s="1" t="s">
        <v>21</v>
      </c>
      <c r="E10" s="18" t="n">
        <f aca="false">E9*E7</f>
        <v>2100000000</v>
      </c>
      <c r="F10" s="1" t="s">
        <v>22</v>
      </c>
      <c r="L10" s="1" t="s">
        <v>21</v>
      </c>
      <c r="O10" s="18" t="n">
        <f aca="false">O9*O7</f>
        <v>4200000000</v>
      </c>
      <c r="P10" s="1" t="s">
        <v>22</v>
      </c>
      <c r="V10" s="1" t="s">
        <v>21</v>
      </c>
      <c r="X10" s="15"/>
      <c r="Y10" s="18" t="n">
        <f aca="false">E10</f>
        <v>2100000000</v>
      </c>
      <c r="Z10" s="1" t="s">
        <v>22</v>
      </c>
      <c r="AJ10" s="11" t="n">
        <v>5</v>
      </c>
      <c r="AK10" s="12" t="n">
        <f aca="false">B24</f>
        <v>-3.21268866160695E-011</v>
      </c>
      <c r="AL10" s="12" t="n">
        <f aca="false">C24</f>
        <v>-525000</v>
      </c>
      <c r="AM10" s="12" t="n">
        <f aca="false">D24</f>
        <v>-4.01837230970225E-011</v>
      </c>
      <c r="AN10" s="12" t="n">
        <f aca="false">E24</f>
        <v>3.21268866160695E-011</v>
      </c>
      <c r="AO10" s="12" t="n">
        <f aca="false">F24</f>
        <v>525000</v>
      </c>
      <c r="AP10" s="12" t="n">
        <f aca="false">G24</f>
        <v>-4.01837230970225E-011</v>
      </c>
      <c r="AQ10" s="7" t="n">
        <v>0</v>
      </c>
      <c r="AR10" s="7" t="n">
        <v>0</v>
      </c>
      <c r="AS10" s="7" t="n">
        <v>0</v>
      </c>
      <c r="AT10" s="7" t="n">
        <v>0</v>
      </c>
      <c r="AU10" s="7" t="n">
        <v>0</v>
      </c>
      <c r="AV10" s="7" t="n">
        <v>0</v>
      </c>
      <c r="AW10" s="7"/>
      <c r="AX10" s="13" t="n">
        <f aca="false">I24</f>
        <v>-1.22464679914735E-012</v>
      </c>
      <c r="AZ10" s="11" t="n">
        <v>5</v>
      </c>
      <c r="BA10" s="7" t="n">
        <v>0</v>
      </c>
      <c r="BB10" s="7" t="n">
        <v>0</v>
      </c>
      <c r="BC10" s="7" t="n">
        <v>0</v>
      </c>
      <c r="BD10" s="16" t="n">
        <f aca="false">L21</f>
        <v>0</v>
      </c>
      <c r="BE10" s="16" t="n">
        <f aca="false">M21</f>
        <v>777.777777777778</v>
      </c>
      <c r="BF10" s="16" t="n">
        <f aca="false">N21</f>
        <v>2333333.33333333</v>
      </c>
      <c r="BG10" s="7" t="n">
        <v>0</v>
      </c>
      <c r="BH10" s="7" t="n">
        <v>0</v>
      </c>
      <c r="BI10" s="7" t="n">
        <v>0</v>
      </c>
      <c r="BJ10" s="16" t="n">
        <f aca="false">O21</f>
        <v>0</v>
      </c>
      <c r="BK10" s="16" t="n">
        <f aca="false">P21</f>
        <v>-777.777777777778</v>
      </c>
      <c r="BL10" s="16" t="n">
        <f aca="false">Q21</f>
        <v>2333333.33333333</v>
      </c>
      <c r="BM10" s="17"/>
      <c r="BN10" s="1" t="n">
        <v>-30000</v>
      </c>
    </row>
    <row r="11" customFormat="false" ht="12" hidden="false" customHeight="false" outlineLevel="0" collapsed="false">
      <c r="B11" s="1" t="s">
        <v>23</v>
      </c>
      <c r="E11" s="18" t="n">
        <f aca="false">E9*E8</f>
        <v>1750000000000</v>
      </c>
      <c r="F11" s="1" t="s">
        <v>24</v>
      </c>
      <c r="L11" s="1" t="s">
        <v>23</v>
      </c>
      <c r="O11" s="18" t="n">
        <f aca="false">O9*O8</f>
        <v>14000000000000</v>
      </c>
      <c r="P11" s="1" t="s">
        <v>25</v>
      </c>
      <c r="V11" s="1" t="s">
        <v>23</v>
      </c>
      <c r="X11" s="15"/>
      <c r="Y11" s="18" t="n">
        <f aca="false">E11</f>
        <v>1750000000000</v>
      </c>
      <c r="Z11" s="1" t="s">
        <v>25</v>
      </c>
      <c r="AJ11" s="11" t="n">
        <v>6</v>
      </c>
      <c r="AK11" s="12" t="n">
        <f aca="false">B25</f>
        <v>-656250</v>
      </c>
      <c r="AL11" s="12" t="n">
        <f aca="false">C25</f>
        <v>4.01837230970225E-011</v>
      </c>
      <c r="AM11" s="12" t="n">
        <f aca="false">D25</f>
        <v>875000000</v>
      </c>
      <c r="AN11" s="12" t="n">
        <f aca="false">E25</f>
        <v>656250</v>
      </c>
      <c r="AO11" s="12" t="n">
        <f aca="false">F25</f>
        <v>-4.01837230970225E-011</v>
      </c>
      <c r="AP11" s="12" t="n">
        <f aca="false">G25</f>
        <v>1750000000</v>
      </c>
      <c r="AQ11" s="7" t="n">
        <v>0</v>
      </c>
      <c r="AR11" s="7" t="n">
        <v>0</v>
      </c>
      <c r="AS11" s="7" t="n">
        <v>0</v>
      </c>
      <c r="AT11" s="7" t="n">
        <v>0</v>
      </c>
      <c r="AU11" s="7" t="n">
        <v>0</v>
      </c>
      <c r="AV11" s="7" t="n">
        <v>0</v>
      </c>
      <c r="AW11" s="7"/>
      <c r="AX11" s="13" t="n">
        <f aca="false">I25</f>
        <v>13333333.3333333</v>
      </c>
      <c r="AZ11" s="11" t="n">
        <v>6</v>
      </c>
      <c r="BA11" s="7" t="n">
        <v>0</v>
      </c>
      <c r="BB11" s="7" t="n">
        <v>0</v>
      </c>
      <c r="BC11" s="7" t="n">
        <v>0</v>
      </c>
      <c r="BD11" s="16" t="n">
        <f aca="false">L22</f>
        <v>0</v>
      </c>
      <c r="BE11" s="16" t="n">
        <f aca="false">M22</f>
        <v>2333333.33333333</v>
      </c>
      <c r="BF11" s="16" t="n">
        <f aca="false">N22</f>
        <v>9333333333.33333</v>
      </c>
      <c r="BG11" s="7" t="n">
        <v>0</v>
      </c>
      <c r="BH11" s="7" t="n">
        <v>0</v>
      </c>
      <c r="BI11" s="7" t="n">
        <v>0</v>
      </c>
      <c r="BJ11" s="16" t="n">
        <f aca="false">O22</f>
        <v>0</v>
      </c>
      <c r="BK11" s="16" t="n">
        <f aca="false">P22</f>
        <v>-2333333.33333333</v>
      </c>
      <c r="BL11" s="16" t="n">
        <f aca="false">Q22</f>
        <v>4666666666.66667</v>
      </c>
      <c r="BM11" s="17"/>
      <c r="BN11" s="1" t="n">
        <v>-30000000</v>
      </c>
    </row>
    <row r="12" customFormat="false" ht="12" hidden="false" customHeight="false" outlineLevel="0" collapsed="false">
      <c r="X12" s="15"/>
      <c r="AJ12" s="11" t="n">
        <v>7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0</v>
      </c>
      <c r="AP12" s="7" t="n">
        <v>0</v>
      </c>
      <c r="AQ12" s="7" t="n">
        <v>0</v>
      </c>
      <c r="AR12" s="7" t="n">
        <v>0</v>
      </c>
      <c r="AS12" s="7" t="n">
        <v>0</v>
      </c>
      <c r="AT12" s="7" t="n">
        <v>0</v>
      </c>
      <c r="AU12" s="7" t="n">
        <v>0</v>
      </c>
      <c r="AV12" s="7" t="n">
        <v>0</v>
      </c>
      <c r="AW12" s="7"/>
      <c r="AZ12" s="11" t="n">
        <v>7</v>
      </c>
      <c r="BA12" s="7" t="n">
        <v>0</v>
      </c>
      <c r="BB12" s="7" t="n">
        <v>0</v>
      </c>
      <c r="BC12" s="7" t="n">
        <v>0</v>
      </c>
      <c r="BD12" s="7" t="n">
        <v>0</v>
      </c>
      <c r="BE12" s="7" t="n">
        <v>0</v>
      </c>
      <c r="BF12" s="7" t="n">
        <v>0</v>
      </c>
      <c r="BG12" s="7" t="n">
        <v>0</v>
      </c>
      <c r="BH12" s="7" t="n">
        <v>0</v>
      </c>
      <c r="BI12" s="7" t="n">
        <v>0</v>
      </c>
      <c r="BJ12" s="7" t="n">
        <v>0</v>
      </c>
      <c r="BK12" s="7" t="n">
        <v>0</v>
      </c>
      <c r="BL12" s="7" t="n">
        <v>0</v>
      </c>
      <c r="BM12" s="17"/>
    </row>
    <row r="13" customFormat="false" ht="12" hidden="false" customHeight="false" outlineLevel="0" collapsed="false">
      <c r="B13" s="2" t="s">
        <v>26</v>
      </c>
      <c r="L13" s="2" t="s">
        <v>26</v>
      </c>
      <c r="V13" s="2" t="s">
        <v>26</v>
      </c>
      <c r="X13" s="15"/>
      <c r="AJ13" s="11" t="n">
        <v>8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0</v>
      </c>
      <c r="AP13" s="7" t="n">
        <v>0</v>
      </c>
      <c r="AQ13" s="7" t="n">
        <v>0</v>
      </c>
      <c r="AR13" s="7" t="n">
        <v>0</v>
      </c>
      <c r="AS13" s="7" t="n">
        <v>0</v>
      </c>
      <c r="AT13" s="7" t="n">
        <v>0</v>
      </c>
      <c r="AU13" s="7" t="n">
        <v>0</v>
      </c>
      <c r="AV13" s="7" t="n">
        <v>0</v>
      </c>
      <c r="AW13" s="7"/>
      <c r="AZ13" s="11" t="n">
        <v>8</v>
      </c>
      <c r="BA13" s="7" t="n">
        <v>0</v>
      </c>
      <c r="BB13" s="7" t="n">
        <v>0</v>
      </c>
      <c r="BC13" s="7" t="n">
        <v>0</v>
      </c>
      <c r="BD13" s="7" t="n">
        <v>0</v>
      </c>
      <c r="BE13" s="7" t="n">
        <v>0</v>
      </c>
      <c r="BF13" s="7" t="n">
        <v>0</v>
      </c>
      <c r="BG13" s="7" t="n">
        <v>0</v>
      </c>
      <c r="BH13" s="7" t="n">
        <v>0</v>
      </c>
      <c r="BI13" s="7" t="n">
        <v>0</v>
      </c>
      <c r="BJ13" s="7" t="n">
        <v>0</v>
      </c>
      <c r="BK13" s="7" t="n">
        <v>0</v>
      </c>
      <c r="BL13" s="7" t="n">
        <v>0</v>
      </c>
      <c r="BM13" s="7"/>
    </row>
    <row r="14" customFormat="false" ht="12" hidden="false" customHeight="false" outlineLevel="0" collapsed="false">
      <c r="B14" s="1" t="s">
        <v>27</v>
      </c>
      <c r="E14" s="19" t="n">
        <v>0</v>
      </c>
      <c r="F14" s="1" t="s">
        <v>28</v>
      </c>
      <c r="L14" s="1" t="s">
        <v>27</v>
      </c>
      <c r="O14" s="19" t="n">
        <v>0</v>
      </c>
      <c r="P14" s="1" t="s">
        <v>28</v>
      </c>
      <c r="V14" s="1" t="s">
        <v>27</v>
      </c>
      <c r="Y14" s="19" t="n">
        <v>0</v>
      </c>
      <c r="Z14" s="1" t="s">
        <v>28</v>
      </c>
      <c r="AJ14" s="11" t="n">
        <v>9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0</v>
      </c>
      <c r="AP14" s="7" t="n">
        <v>0</v>
      </c>
      <c r="AQ14" s="7" t="n">
        <v>0</v>
      </c>
      <c r="AR14" s="7" t="n">
        <v>0</v>
      </c>
      <c r="AS14" s="7" t="n">
        <v>0</v>
      </c>
      <c r="AT14" s="7" t="n">
        <v>0</v>
      </c>
      <c r="AU14" s="7" t="n">
        <v>0</v>
      </c>
      <c r="AV14" s="7" t="n">
        <v>0</v>
      </c>
      <c r="AW14" s="7"/>
      <c r="AZ14" s="11" t="n">
        <v>9</v>
      </c>
      <c r="BA14" s="7" t="n">
        <v>0</v>
      </c>
      <c r="BB14" s="7" t="n">
        <v>0</v>
      </c>
      <c r="BC14" s="7" t="n">
        <v>0</v>
      </c>
      <c r="BD14" s="7" t="n">
        <v>0</v>
      </c>
      <c r="BE14" s="7" t="n">
        <v>0</v>
      </c>
      <c r="BF14" s="7" t="n">
        <v>0</v>
      </c>
      <c r="BG14" s="7" t="n">
        <v>0</v>
      </c>
      <c r="BH14" s="7" t="n">
        <v>0</v>
      </c>
      <c r="BI14" s="7" t="n">
        <v>0</v>
      </c>
      <c r="BJ14" s="7" t="n">
        <v>0</v>
      </c>
      <c r="BK14" s="7" t="n">
        <v>0</v>
      </c>
      <c r="BL14" s="7" t="n">
        <v>0</v>
      </c>
      <c r="BM14" s="7"/>
    </row>
    <row r="15" customFormat="false" ht="12" hidden="false" customHeight="false" outlineLevel="0" collapsed="false">
      <c r="B15" s="1" t="s">
        <v>29</v>
      </c>
      <c r="E15" s="19" t="n">
        <v>10</v>
      </c>
      <c r="F15" s="1" t="s">
        <v>28</v>
      </c>
      <c r="L15" s="1" t="s">
        <v>29</v>
      </c>
      <c r="O15" s="19" t="n">
        <v>10</v>
      </c>
      <c r="P15" s="1" t="s">
        <v>28</v>
      </c>
      <c r="V15" s="1" t="s">
        <v>29</v>
      </c>
      <c r="Y15" s="19" t="n">
        <v>-5</v>
      </c>
      <c r="Z15" s="1" t="s">
        <v>28</v>
      </c>
      <c r="AJ15" s="11" t="n">
        <v>10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0</v>
      </c>
      <c r="AP15" s="7" t="n">
        <v>0</v>
      </c>
      <c r="AQ15" s="7" t="n">
        <v>0</v>
      </c>
      <c r="AR15" s="7" t="n">
        <v>0</v>
      </c>
      <c r="AS15" s="7" t="n">
        <v>0</v>
      </c>
      <c r="AT15" s="7" t="n">
        <v>0</v>
      </c>
      <c r="AU15" s="7" t="n">
        <v>0</v>
      </c>
      <c r="AV15" s="7" t="n">
        <v>0</v>
      </c>
      <c r="AW15" s="7"/>
      <c r="AX15" s="20"/>
      <c r="AZ15" s="11" t="n">
        <v>10</v>
      </c>
      <c r="BA15" s="7" t="n">
        <v>0</v>
      </c>
      <c r="BB15" s="7" t="n">
        <v>0</v>
      </c>
      <c r="BC15" s="7" t="n">
        <v>0</v>
      </c>
      <c r="BD15" s="16" t="n">
        <f aca="false">L23</f>
        <v>-700000</v>
      </c>
      <c r="BE15" s="16" t="n">
        <f aca="false">M23</f>
        <v>0</v>
      </c>
      <c r="BF15" s="16" t="n">
        <f aca="false">N23</f>
        <v>0</v>
      </c>
      <c r="BG15" s="7" t="n">
        <v>0</v>
      </c>
      <c r="BH15" s="7" t="n">
        <v>0</v>
      </c>
      <c r="BI15" s="7" t="n">
        <v>0</v>
      </c>
      <c r="BJ15" s="16" t="n">
        <f aca="false">O23</f>
        <v>700000</v>
      </c>
      <c r="BK15" s="16" t="n">
        <f aca="false">P23</f>
        <v>0</v>
      </c>
      <c r="BL15" s="16" t="n">
        <f aca="false">Q23</f>
        <v>0</v>
      </c>
      <c r="BM15" s="17"/>
      <c r="BN15" s="17" t="n">
        <f aca="false" t="array" ref="BN15:BN17">S23:S25</f>
        <v>0</v>
      </c>
    </row>
    <row r="16" customFormat="false" ht="12" hidden="false" customHeight="false" outlineLevel="0" collapsed="false">
      <c r="E16" s="13"/>
      <c r="O16" s="13"/>
      <c r="S16" s="2"/>
      <c r="Y16" s="13"/>
      <c r="AJ16" s="11" t="n">
        <v>11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0</v>
      </c>
      <c r="AP16" s="7" t="n">
        <v>0</v>
      </c>
      <c r="AQ16" s="7" t="n">
        <v>0</v>
      </c>
      <c r="AR16" s="7" t="n">
        <v>0</v>
      </c>
      <c r="AS16" s="7" t="n">
        <v>0</v>
      </c>
      <c r="AT16" s="7" t="n">
        <v>0</v>
      </c>
      <c r="AU16" s="7" t="n">
        <v>0</v>
      </c>
      <c r="AV16" s="7" t="n">
        <v>0</v>
      </c>
      <c r="AW16" s="7"/>
      <c r="AX16" s="20"/>
      <c r="AZ16" s="11" t="n">
        <v>11</v>
      </c>
      <c r="BA16" s="7" t="n">
        <v>0</v>
      </c>
      <c r="BB16" s="7" t="n">
        <v>0</v>
      </c>
      <c r="BC16" s="7" t="n">
        <v>0</v>
      </c>
      <c r="BD16" s="16" t="n">
        <f aca="false">L24</f>
        <v>0</v>
      </c>
      <c r="BE16" s="16" t="n">
        <f aca="false">M24</f>
        <v>-777.777777777778</v>
      </c>
      <c r="BF16" s="16" t="n">
        <f aca="false">N24</f>
        <v>-2333333.33333333</v>
      </c>
      <c r="BG16" s="7" t="n">
        <v>0</v>
      </c>
      <c r="BH16" s="7" t="n">
        <v>0</v>
      </c>
      <c r="BI16" s="7" t="n">
        <v>0</v>
      </c>
      <c r="BJ16" s="16" t="n">
        <f aca="false">O24</f>
        <v>0</v>
      </c>
      <c r="BK16" s="16" t="n">
        <f aca="false">P24</f>
        <v>777.777777777778</v>
      </c>
      <c r="BL16" s="16" t="n">
        <f aca="false">Q24</f>
        <v>-2333333.33333333</v>
      </c>
      <c r="BM16" s="17"/>
      <c r="BN16" s="20" t="n">
        <v>-30000</v>
      </c>
    </row>
    <row r="17" customFormat="false" ht="12" hidden="false" customHeight="false" outlineLevel="0" collapsed="false">
      <c r="AJ17" s="11" t="n">
        <v>12</v>
      </c>
      <c r="AK17" s="7" t="n">
        <v>0</v>
      </c>
      <c r="AL17" s="7" t="n">
        <v>0</v>
      </c>
      <c r="AM17" s="7" t="n">
        <v>0</v>
      </c>
      <c r="AN17" s="7" t="n">
        <v>0</v>
      </c>
      <c r="AO17" s="7" t="n">
        <v>0</v>
      </c>
      <c r="AP17" s="7" t="n">
        <v>0</v>
      </c>
      <c r="AQ17" s="7" t="n">
        <v>0</v>
      </c>
      <c r="AR17" s="7" t="n">
        <v>0</v>
      </c>
      <c r="AS17" s="7" t="n">
        <v>0</v>
      </c>
      <c r="AT17" s="7" t="n">
        <v>0</v>
      </c>
      <c r="AU17" s="7" t="n">
        <v>0</v>
      </c>
      <c r="AV17" s="7" t="n">
        <v>0</v>
      </c>
      <c r="AW17" s="7"/>
      <c r="AX17" s="20"/>
      <c r="AZ17" s="11" t="n">
        <v>12</v>
      </c>
      <c r="BA17" s="7" t="n">
        <v>0</v>
      </c>
      <c r="BB17" s="7" t="n">
        <v>0</v>
      </c>
      <c r="BC17" s="7" t="n">
        <v>0</v>
      </c>
      <c r="BD17" s="16" t="n">
        <f aca="false">L25</f>
        <v>0</v>
      </c>
      <c r="BE17" s="16" t="n">
        <f aca="false">M25</f>
        <v>2333333.33333333</v>
      </c>
      <c r="BF17" s="16" t="n">
        <f aca="false">N25</f>
        <v>4666666666.66667</v>
      </c>
      <c r="BG17" s="7" t="n">
        <v>0</v>
      </c>
      <c r="BH17" s="7" t="n">
        <v>0</v>
      </c>
      <c r="BI17" s="7" t="n">
        <v>0</v>
      </c>
      <c r="BJ17" s="16" t="n">
        <f aca="false">O25</f>
        <v>0</v>
      </c>
      <c r="BK17" s="16" t="n">
        <f aca="false">P25</f>
        <v>-2333333.33333333</v>
      </c>
      <c r="BL17" s="16" t="n">
        <f aca="false">Q25</f>
        <v>9333333333.33333</v>
      </c>
      <c r="BM17" s="17"/>
      <c r="BN17" s="20" t="n">
        <v>30000000</v>
      </c>
    </row>
    <row r="18" customFormat="false" ht="12" hidden="false" customHeight="false" outlineLevel="0" collapsed="false"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Z18" s="7"/>
      <c r="BA18" s="7"/>
      <c r="BB18" s="7"/>
      <c r="BC18" s="7"/>
      <c r="BD18" s="17"/>
      <c r="BE18" s="17"/>
      <c r="BF18" s="7"/>
      <c r="BG18" s="17"/>
      <c r="BH18" s="7"/>
      <c r="BI18" s="7"/>
      <c r="BJ18" s="7"/>
      <c r="BK18" s="17"/>
      <c r="BL18" s="17"/>
      <c r="BM18" s="7"/>
      <c r="BN18" s="17"/>
    </row>
    <row r="19" customFormat="false" ht="12" hidden="false" customHeight="false" outlineLevel="0" collapsed="false">
      <c r="B19" s="2" t="s">
        <v>30</v>
      </c>
      <c r="I19" s="2" t="s">
        <v>31</v>
      </c>
      <c r="L19" s="2" t="s">
        <v>30</v>
      </c>
      <c r="S19" s="2" t="s">
        <v>31</v>
      </c>
      <c r="V19" s="2" t="s">
        <v>30</v>
      </c>
      <c r="AC19" s="2" t="s">
        <v>31</v>
      </c>
      <c r="AM19" s="7"/>
      <c r="AN19" s="21"/>
      <c r="AO19" s="7"/>
      <c r="AP19" s="7"/>
      <c r="AQ19" s="7"/>
      <c r="AR19" s="7"/>
      <c r="AS19" s="7"/>
      <c r="AT19" s="7"/>
      <c r="AU19" s="21"/>
      <c r="AV19" s="7"/>
      <c r="AW19" s="7"/>
      <c r="AX19" s="7"/>
      <c r="AZ19" s="7"/>
      <c r="BA19" s="7"/>
      <c r="BB19" s="7"/>
      <c r="BC19" s="7"/>
      <c r="BD19" s="17"/>
      <c r="BE19" s="17"/>
      <c r="BF19" s="7"/>
      <c r="BG19" s="17"/>
      <c r="BH19" s="7"/>
      <c r="BI19" s="7"/>
      <c r="BJ19" s="7"/>
      <c r="BK19" s="17"/>
      <c r="BL19" s="17"/>
      <c r="BM19" s="7"/>
      <c r="BN19" s="17"/>
    </row>
    <row r="20" customFormat="false" ht="12" hidden="false" customHeight="false" outlineLevel="0" collapsed="false">
      <c r="B20" s="22" t="n">
        <f aca="false">$B36*B$45+$C36*B$46+$D36*B$47+$E36*B$48+$F36*B$49+$G36*B$50</f>
        <v>328.125</v>
      </c>
      <c r="C20" s="22" t="n">
        <f aca="false">$B36*C$45+$C36*C$46+$D36*C$47+$E36*C$48+$F36*C$49+$G36*C$50</f>
        <v>3.21268866160695E-011</v>
      </c>
      <c r="D20" s="22" t="n">
        <f aca="false">$B36*D$45+$C36*D$46+$D36*D$47+$E36*D$48+$F36*D$49+$G36*D$50</f>
        <v>-656250</v>
      </c>
      <c r="E20" s="22" t="n">
        <f aca="false">$B36*E$45+$C36*E$46+$D36*E$47+$E36*E$48+$F36*E$49+$G36*E$50</f>
        <v>-328.125</v>
      </c>
      <c r="F20" s="22" t="n">
        <f aca="false">$B36*F$45+$C36*F$46+$D36*F$47+$E36*F$48+$F36*F$49+$G36*F$50</f>
        <v>-3.21268866160695E-011</v>
      </c>
      <c r="G20" s="22" t="n">
        <f aca="false">$B36*G$45+$C36*G$46+$D36*G$47+$E36*G$48+$F36*G$49+$G36*G$50</f>
        <v>-656250</v>
      </c>
      <c r="I20" s="23" t="n">
        <f aca="false">B54*I28+C54*I29+D54*I30+E54*I31+F54*I32+G54*I33</f>
        <v>20000</v>
      </c>
      <c r="L20" s="24" t="n">
        <f aca="false">$L37*L$46+$M37*L$47+$N37*L$48+$O37*L$49+$P37*L$50+$Q37*L$51</f>
        <v>700000</v>
      </c>
      <c r="M20" s="24" t="n">
        <f aca="false">$L37*M$46+$M37*M$47+$N37*M$48+$O37*M$49+$P37*M$50+$Q37*M$51</f>
        <v>0</v>
      </c>
      <c r="N20" s="24" t="n">
        <f aca="false">$L37*N$46+$M37*N$47+$N37*N$48+$O37*N$49+$P37*N$50+$Q37*N$51</f>
        <v>0</v>
      </c>
      <c r="O20" s="24" t="n">
        <f aca="false">$L37*O$46+$M37*O$47+$N37*O$48+$O37*O$49+$P37*O$50+$Q37*O$51</f>
        <v>-700000</v>
      </c>
      <c r="P20" s="24" t="n">
        <f aca="false">$L37*P$46+$M37*P$47+$N37*P$48+$O37*P$49+$P37*P$50+$Q37*P$51</f>
        <v>0</v>
      </c>
      <c r="Q20" s="24" t="n">
        <f aca="false">$L37*Q$46+$M37*Q$47+$N37*Q$48+$O37*Q$49+$P37*Q$50+$Q37*Q$51</f>
        <v>0</v>
      </c>
      <c r="S20" s="25" t="n">
        <f aca="false">L55*S28+M55*S29+N55*S30+O55*S31+P55*S32+Q55*S33</f>
        <v>0</v>
      </c>
      <c r="V20" s="26" t="n">
        <f aca="false">$V37*B$45+$W37*B$46+$X37*B$47+$Y37*B$48+$Z37*B$49+$AA37*B$50</f>
        <v>328.125</v>
      </c>
      <c r="W20" s="26" t="n">
        <f aca="false">$V37*C$45+$W37*C$46+$X37*C$47+$Y37*C$48+$Z37*C$49+$AA37*C$50</f>
        <v>3.21268866160695E-011</v>
      </c>
      <c r="X20" s="26" t="n">
        <f aca="false">$V37*D$45+$W37*D$46+$X37*D$47+$Y37*D$48+$Z37*D$49+$AA37*D$50</f>
        <v>-656250</v>
      </c>
      <c r="Y20" s="26" t="n">
        <f aca="false">$V37*E$45+$W37*E$46+$X37*E$47+$Y37*E$48+$Z37*E$49+$AA37*E$50</f>
        <v>-328.125</v>
      </c>
      <c r="Z20" s="26" t="n">
        <f aca="false">$V37*F$45+$W37*F$46+$X37*F$47+$Y37*F$48+$Z37*F$49+$AA37*F$50</f>
        <v>-3.21268866160695E-011</v>
      </c>
      <c r="AA20" s="26" t="n">
        <f aca="false">$V37*G$45+$W37*G$46+$X37*G$47+$Y37*G$48+$Z37*G$49+$AA37*G$50</f>
        <v>-656250</v>
      </c>
      <c r="AC20" s="25" t="n">
        <f aca="false">V55*AC28+W55*AC29+X55*AC30+Y55*AC31+Z55*AC32+AA55*AC33</f>
        <v>-10000</v>
      </c>
      <c r="AJ20" s="2" t="s">
        <v>32</v>
      </c>
    </row>
    <row r="21" customFormat="false" ht="12" hidden="false" customHeight="false" outlineLevel="0" collapsed="false">
      <c r="B21" s="22" t="n">
        <f aca="false">$B37*B$45+$C37*B$46+$D37*B$47+$E37*B$48+$F37*B$49+$G37*B$50</f>
        <v>3.21268866160695E-011</v>
      </c>
      <c r="C21" s="22" t="n">
        <f aca="false">$B37*C$45+$C37*C$46+$D37*C$47+$E37*C$48+$F37*C$49+$G37*C$50</f>
        <v>525000</v>
      </c>
      <c r="D21" s="22" t="n">
        <f aca="false">$B37*D$45+$C37*D$46+$D37*D$47+$E37*D$48+$F37*D$49+$G37*D$50</f>
        <v>4.01837230970225E-011</v>
      </c>
      <c r="E21" s="22" t="n">
        <f aca="false">$B37*E$45+$C37*E$46+$D37*E$47+$E37*E$48+$F37*E$49+$G37*E$50</f>
        <v>-3.21268866160695E-011</v>
      </c>
      <c r="F21" s="22" t="n">
        <f aca="false">$B37*F$45+$C37*F$46+$D37*F$47+$E37*F$48+$F37*F$49+$G37*F$50</f>
        <v>-525000</v>
      </c>
      <c r="G21" s="22" t="n">
        <f aca="false">$B37*G$45+$C37*G$46+$D37*G$47+$E37*G$48+$F37*G$49+$G37*G$50</f>
        <v>4.01837230970225E-011</v>
      </c>
      <c r="I21" s="23" t="n">
        <f aca="false">B55*I28+C55*I29+D55*I30+E55*I31+F55*I32+G55*I33</f>
        <v>-1.22464679914735E-012</v>
      </c>
      <c r="L21" s="24" t="n">
        <f aca="false">$L38*L$46+$M38*L$47+$N38*L$48+$O38*L$49+$P38*L$50+$Q38*L$51</f>
        <v>0</v>
      </c>
      <c r="M21" s="24" t="n">
        <f aca="false">$L38*M$46+$M38*M$47+$N38*M$48+$O38*M$49+$P38*M$50+$Q38*M$51</f>
        <v>777.777777777778</v>
      </c>
      <c r="N21" s="24" t="n">
        <f aca="false">$L38*N$46+$M38*N$47+$N38*N$48+$O38*N$49+$P38*N$50+$Q38*N$51</f>
        <v>2333333.33333333</v>
      </c>
      <c r="O21" s="24" t="n">
        <f aca="false">$L38*O$46+$M38*O$47+$N38*O$48+$O38*O$49+$P38*O$50+$Q38*O$51</f>
        <v>0</v>
      </c>
      <c r="P21" s="24" t="n">
        <f aca="false">$L38*P$46+$M38*P$47+$N38*P$48+$O38*P$49+$P38*P$50+$Q38*P$51</f>
        <v>-777.777777777778</v>
      </c>
      <c r="Q21" s="24" t="n">
        <f aca="false">$L38*Q$46+$M38*Q$47+$N38*Q$48+$O38*Q$49+$P38*Q$50+$Q38*Q$51</f>
        <v>2333333.33333333</v>
      </c>
      <c r="S21" s="25" t="n">
        <f aca="false">L56*S28+M56*S29+N56*S30+O56*S31+P56*S32+Q56*S33</f>
        <v>-30000</v>
      </c>
      <c r="V21" s="26" t="n">
        <f aca="false">$V38*B$45+$W38*B$46+$X38*B$47+$Y38*B$48+$Z38*B$49+$AA38*B$50</f>
        <v>3.21268866160695E-011</v>
      </c>
      <c r="W21" s="26" t="n">
        <f aca="false">$V38*C$45+$W38*C$46+$X38*C$47+$Y38*C$48+$Z38*C$49+$AA38*C$50</f>
        <v>525000</v>
      </c>
      <c r="X21" s="26" t="n">
        <f aca="false">$V38*D$45+$W38*D$46+$X38*D$47+$Y38*D$48+$Z38*D$49+$AA38*D$50</f>
        <v>4.01837230970225E-011</v>
      </c>
      <c r="Y21" s="26" t="n">
        <f aca="false">$V38*E$45+$W38*E$46+$X38*E$47+$Y38*E$48+$Z38*E$49+$AA38*E$50</f>
        <v>-3.21268866160695E-011</v>
      </c>
      <c r="Z21" s="26" t="n">
        <f aca="false">$V38*F$45+$W38*F$46+$X38*F$47+$Y38*F$48+$Z38*F$49+$AA38*F$50</f>
        <v>-525000</v>
      </c>
      <c r="AA21" s="26" t="n">
        <f aca="false">$V38*G$45+$W38*G$46+$X38*G$47+$Y38*G$48+$Z38*G$49+$AA38*G$50</f>
        <v>4.01837230970225E-011</v>
      </c>
      <c r="AC21" s="25" t="n">
        <f aca="false">V56*AC28+W56*AC29+X56*AC30+Y56*AC31+Z56*AC32+AA56*AC33</f>
        <v>6.12323399573677E-013</v>
      </c>
      <c r="AJ21" s="10"/>
      <c r="AK21" s="11" t="n">
        <v>1</v>
      </c>
      <c r="AL21" s="11" t="n">
        <v>2</v>
      </c>
      <c r="AM21" s="11" t="n">
        <v>3</v>
      </c>
      <c r="AN21" s="11" t="n">
        <v>4</v>
      </c>
      <c r="AO21" s="11" t="n">
        <v>5</v>
      </c>
      <c r="AP21" s="11" t="n">
        <v>6</v>
      </c>
      <c r="AQ21" s="11" t="n">
        <v>7</v>
      </c>
      <c r="AR21" s="11" t="n">
        <v>8</v>
      </c>
      <c r="AS21" s="11" t="n">
        <v>9</v>
      </c>
      <c r="AT21" s="11" t="n">
        <v>10</v>
      </c>
      <c r="AU21" s="11" t="n">
        <v>11</v>
      </c>
      <c r="AV21" s="11" t="n">
        <v>12</v>
      </c>
      <c r="AW21" s="7"/>
      <c r="AX21" s="10" t="s">
        <v>10</v>
      </c>
    </row>
    <row r="22" customFormat="false" ht="12" hidden="false" customHeight="false" outlineLevel="0" collapsed="false">
      <c r="B22" s="22" t="n">
        <f aca="false">$B38*B$45+$C38*B$46+$D38*B$47+$E38*B$48+$F38*B$49+$G38*B$50</f>
        <v>-656250</v>
      </c>
      <c r="C22" s="22" t="n">
        <f aca="false">$B38*C$45+$C38*C$46+$D38*C$47+$E38*C$48+$F38*C$49+$G38*C$50</f>
        <v>4.01837230970225E-011</v>
      </c>
      <c r="D22" s="22" t="n">
        <f aca="false">$B38*D$45+$C38*D$46+$D38*D$47+$E38*D$48+$F38*D$49+$G38*D$50</f>
        <v>1750000000</v>
      </c>
      <c r="E22" s="22" t="n">
        <f aca="false">$B38*E$45+$C38*E$46+$D38*E$47+$E38*E$48+$F38*E$49+$G38*E$50</f>
        <v>656250</v>
      </c>
      <c r="F22" s="22" t="n">
        <f aca="false">$B38*F$45+$C38*F$46+$D38*F$47+$E38*F$48+$F38*F$49+$G38*F$50</f>
        <v>-4.01837230970225E-011</v>
      </c>
      <c r="G22" s="22" t="n">
        <f aca="false">-1*$B38*G$45+$C38*G$46+$D38*G$47+$E38*G$48+$F38*G$49+$G38*G$50</f>
        <v>875000000</v>
      </c>
      <c r="I22" s="23" t="n">
        <f aca="false">B56*I28+C56*I29+D56*I30+E56*I31+F56*I32+G56*I33</f>
        <v>-13333333.3333333</v>
      </c>
      <c r="L22" s="24" t="n">
        <f aca="false">$L39*L$46+$M39*L$47+$N39*L$48+$O39*L$49+$P39*L$50+$Q39*L$51</f>
        <v>0</v>
      </c>
      <c r="M22" s="24" t="n">
        <f aca="false">$L39*M$46+$M39*M$47+$N39*M$48+$O39*M$49+$P39*M$50+$Q39*M$51</f>
        <v>2333333.33333333</v>
      </c>
      <c r="N22" s="24" t="n">
        <f aca="false">$L39*N$46+$M39*N$47+$N39*N$48+$O39*N$49+$P39*N$50+$Q39*N$51</f>
        <v>9333333333.33333</v>
      </c>
      <c r="O22" s="24" t="n">
        <f aca="false">$L39*O$46+$M39*O$47+$N39*O$48+$O39*O$49+$P39*O$50+$Q39*O$51</f>
        <v>0</v>
      </c>
      <c r="P22" s="24" t="n">
        <f aca="false">$L39*P$46+$M39*P$47+$N39*P$48+$O39*P$49+$P39*P$50+$Q39*P$51</f>
        <v>-2333333.33333333</v>
      </c>
      <c r="Q22" s="24" t="n">
        <f aca="false">$L39*Q$46+$M39*Q$47+$N39*Q$48+$O39*Q$49+$P39*Q$50+$Q39*Q$51</f>
        <v>4666666666.66667</v>
      </c>
      <c r="S22" s="25" t="n">
        <f aca="false">L57*S28+M57*S29+N57*S30+O57*S31+P57*S32+Q57*S33</f>
        <v>-30000000</v>
      </c>
      <c r="V22" s="26" t="n">
        <f aca="false">$V39*B$45+$W39*B$46+$X39*B$47+$Y39*B$48+$Z39*B$49+$AA39*B$50</f>
        <v>-656250</v>
      </c>
      <c r="W22" s="26" t="n">
        <f aca="false">$V39*C$45+$W39*C$46+$X39*C$47+$Y39*C$48+$Z39*C$49+$AA39*C$50</f>
        <v>4.01837230970225E-011</v>
      </c>
      <c r="X22" s="26" t="n">
        <f aca="false">$V39*D$45+$W39*D$46+$X39*D$47+$Y39*D$48+$Z39*D$49+$AA39*D$50</f>
        <v>1750000000</v>
      </c>
      <c r="Y22" s="26" t="n">
        <f aca="false">$V39*E$45+$W39*E$46+$X39*E$47+$Y39*E$48+$Z39*E$49+$AA39*E$50</f>
        <v>656250</v>
      </c>
      <c r="Z22" s="26" t="n">
        <f aca="false">$V39*F$45+$W39*F$46+$X39*F$47+$Y39*F$48+$Z39*F$49+$AA39*F$50</f>
        <v>-4.01837230970225E-011</v>
      </c>
      <c r="AA22" s="26" t="n">
        <f aca="false">-1*$V39*G$45+$W39*G$46+$X39*G$47+$Y39*G$48+$Z39*G$49+$AA39*G$50</f>
        <v>875000000</v>
      </c>
      <c r="AC22" s="25" t="n">
        <f aca="false">V57*AC28+W57*AC29+X57*AC30+Y57*AC31+Z57*AC32+AA57*AC33</f>
        <v>6666666.66666667</v>
      </c>
      <c r="AJ22" s="11" t="n">
        <v>1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0</v>
      </c>
      <c r="AP22" s="7" t="n">
        <v>0</v>
      </c>
      <c r="AQ22" s="7" t="n">
        <v>0</v>
      </c>
      <c r="AR22" s="7" t="n">
        <v>0</v>
      </c>
      <c r="AS22" s="7" t="n">
        <v>0</v>
      </c>
      <c r="AT22" s="7" t="n">
        <v>0</v>
      </c>
      <c r="AU22" s="7" t="n">
        <v>0</v>
      </c>
      <c r="AV22" s="7" t="n">
        <v>0</v>
      </c>
      <c r="AW22" s="7"/>
    </row>
    <row r="23" customFormat="false" ht="12" hidden="false" customHeight="false" outlineLevel="0" collapsed="false">
      <c r="B23" s="22" t="n">
        <f aca="false">$B39*B$45+$C39*B$46+$D39*B$47+$E39*B$48+$F39*B$49+$G39*B$50</f>
        <v>-328.125</v>
      </c>
      <c r="C23" s="22" t="n">
        <f aca="false">$B39*C$45+$C39*C$46+$D39*C$47+$E39*C$48+$F39*C$49+$G39*C$50</f>
        <v>-3.21268866160695E-011</v>
      </c>
      <c r="D23" s="22" t="n">
        <f aca="false">$B39*D$45+$C39*D$46+$D39*D$47+$E39*D$48+$F39*D$49+$G39*D$50</f>
        <v>656250</v>
      </c>
      <c r="E23" s="22" t="n">
        <f aca="false">$B39*E$45+$C39*E$46+$D39*E$47+$E39*E$48+$F39*E$49+$G39*E$50</f>
        <v>328.125</v>
      </c>
      <c r="F23" s="22" t="n">
        <f aca="false">$B39*F$45+$C39*F$46+$D39*F$47+$E39*F$48+$F39*F$49+$G39*F$50</f>
        <v>3.21268866160695E-011</v>
      </c>
      <c r="G23" s="22" t="n">
        <f aca="false">$B39*G$45+$C39*G$46+$D39*G$47+$E39*G$48+$F39*G$49+$G39*G$50</f>
        <v>656250</v>
      </c>
      <c r="I23" s="23" t="n">
        <f aca="false">B57*I28+C57*I29+D57*I30+E57*I31+F57*I32+G57*I33</f>
        <v>20000</v>
      </c>
      <c r="L23" s="24" t="n">
        <f aca="false">$L40*L$46+$M40*L$47+$N40*L$48+$O40*L$49+$P40*L$50+$Q40*L$51</f>
        <v>-700000</v>
      </c>
      <c r="M23" s="24" t="n">
        <f aca="false">$L40*M$46+$M40*M$47+$N40*M$48+$O40*M$49+$P40*M$50+$Q40*M$51</f>
        <v>0</v>
      </c>
      <c r="N23" s="24" t="n">
        <f aca="false">$L40*N$46+$M40*N$47+$N40*N$48+$O40*N$49+$P40*N$50+$Q40*N$51</f>
        <v>0</v>
      </c>
      <c r="O23" s="24" t="n">
        <f aca="false">$L40*O$46+$M40*O$47+$N40*O$48+$O40*O$49+$P40*O$50+$Q40*O$51</f>
        <v>700000</v>
      </c>
      <c r="P23" s="24" t="n">
        <f aca="false">$L40*P$46+$M40*P$47+$N40*P$48+$O40*P$49+$P40*P$50+$Q40*P$51</f>
        <v>0</v>
      </c>
      <c r="Q23" s="24" t="n">
        <f aca="false">$L40*Q$46+$M40*Q$47+$N40*Q$48+$O40*Q$49+$P40*Q$50+$Q40*Q$51</f>
        <v>0</v>
      </c>
      <c r="S23" s="25" t="n">
        <f aca="false">L58*S28+M58*S29+N58*S30+O58*S31+P58*S32+Q58*S33</f>
        <v>0</v>
      </c>
      <c r="V23" s="26" t="n">
        <f aca="false">$V40*B$45+$W40*B$46+$X40*B$47+$Y40*B$48+$Z40*B$49+$AA40*B$50</f>
        <v>-328.125</v>
      </c>
      <c r="W23" s="26" t="n">
        <f aca="false">$V40*C$45+$W40*C$46+$X40*C$47+$Y40*C$48+$Z40*C$49+$AA40*C$50</f>
        <v>-3.21268866160695E-011</v>
      </c>
      <c r="X23" s="26" t="n">
        <f aca="false">$V40*D$45+$W40*D$46+$X40*D$47+$Y40*D$48+$Z40*D$49+$AA40*D$50</f>
        <v>656250</v>
      </c>
      <c r="Y23" s="26" t="n">
        <f aca="false">$V40*E$45+$W40*E$46+$X40*E$47+$Y40*E$48+$Z40*E$49+$AA40*E$50</f>
        <v>328.125</v>
      </c>
      <c r="Z23" s="26" t="n">
        <f aca="false">$V40*F$45+$W40*F$46+$X40*F$47+$Y40*F$48+$Z40*F$49+$AA40*F$50</f>
        <v>3.21268866160695E-011</v>
      </c>
      <c r="AA23" s="26" t="n">
        <f aca="false">$V40*G$45+$W40*G$46+$X40*G$47+$Y40*G$48+$Z40*G$49+$AA40*G$50</f>
        <v>656250</v>
      </c>
      <c r="AC23" s="25" t="n">
        <f aca="false">V58*AC28+W58*AC29+X58*AC30+Y58*AC31+Z58*AC32+AA58*AC33</f>
        <v>-10000</v>
      </c>
      <c r="AJ23" s="11" t="n">
        <v>2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0</v>
      </c>
      <c r="AP23" s="7" t="n">
        <v>0</v>
      </c>
      <c r="AQ23" s="7" t="n">
        <v>0</v>
      </c>
      <c r="AR23" s="7" t="n">
        <v>0</v>
      </c>
      <c r="AS23" s="7" t="n">
        <v>0</v>
      </c>
      <c r="AT23" s="7" t="n">
        <v>0</v>
      </c>
      <c r="AU23" s="7" t="n">
        <v>0</v>
      </c>
      <c r="AV23" s="7" t="n">
        <v>0</v>
      </c>
      <c r="AW23" s="7"/>
    </row>
    <row r="24" customFormat="false" ht="12" hidden="false" customHeight="false" outlineLevel="0" collapsed="false">
      <c r="B24" s="22" t="n">
        <f aca="false">$B40*B$45+$C40*B$46+$D40*B$47+$E40*B$48+$F40*B$49+$G40*B$50</f>
        <v>-3.21268866160695E-011</v>
      </c>
      <c r="C24" s="22" t="n">
        <f aca="false">$B40*C$45+$C40*C$46+$D40*C$47+$E40*C$48+$F40*C$49+$G40*C$50</f>
        <v>-525000</v>
      </c>
      <c r="D24" s="22" t="n">
        <f aca="false">$B40*D$45+$C40*D$46+$D40*D$47+$E40*D$48+$F40*D$49+$G40*D$50</f>
        <v>-4.01837230970225E-011</v>
      </c>
      <c r="E24" s="22" t="n">
        <f aca="false">$B40*E$45+$C40*E$46+$D40*E$47+$E40*E$48+$F40*E$49+$G40*E$50</f>
        <v>3.21268866160695E-011</v>
      </c>
      <c r="F24" s="22" t="n">
        <f aca="false">$B40*F$45+$C40*F$46+$D40*F$47+$E40*F$48+$F40*F$49+$G40*F$50</f>
        <v>525000</v>
      </c>
      <c r="G24" s="22" t="n">
        <f aca="false">$B40*G$45+$C40*G$46+$D40*G$47+$E40*G$48+$F40*G$49+$G40*G$50</f>
        <v>-4.01837230970225E-011</v>
      </c>
      <c r="I24" s="23" t="n">
        <f aca="false">B58*I28+C58*I29+D58*I30+E58*I31+F58*I32+G58*I33</f>
        <v>-1.22464679914735E-012</v>
      </c>
      <c r="L24" s="24" t="n">
        <f aca="false">$L41*L$46+$M41*L$47+$N41*L$48+$O41*L$49+$P41*L$50+$Q41*L$51</f>
        <v>0</v>
      </c>
      <c r="M24" s="24" t="n">
        <f aca="false">$L41*M$46+$M41*M$47+$N41*M$48+$O41*M$49+$P41*M$50+$Q41*M$51</f>
        <v>-777.777777777778</v>
      </c>
      <c r="N24" s="24" t="n">
        <f aca="false">$L41*N$46+$M41*N$47+$N41*N$48+$O41*N$49+$P41*N$50+$Q41*N$51</f>
        <v>-2333333.33333333</v>
      </c>
      <c r="O24" s="24" t="n">
        <f aca="false">$L41*O$46+$M41*O$47+$N41*O$48+$O41*O$49+$P41*O$50+$Q41*O$51</f>
        <v>0</v>
      </c>
      <c r="P24" s="24" t="n">
        <f aca="false">$L41*P$46+$M41*P$47+$N41*P$48+$O41*P$49+$P41*P$50+$Q41*P$51</f>
        <v>777.777777777778</v>
      </c>
      <c r="Q24" s="24" t="n">
        <f aca="false">$L41*Q$46+$M41*Q$47+$N41*Q$48+$O41*Q$49+$P41*Q$50+$Q41*Q$51</f>
        <v>-2333333.33333333</v>
      </c>
      <c r="S24" s="25" t="n">
        <f aca="false">L59*S28+M59*S29+N59*S30+O59*S31+P59*S32+Q59*S33</f>
        <v>-30000</v>
      </c>
      <c r="V24" s="26" t="n">
        <f aca="false">$V41*B$45+$W41*B$46+$X41*B$47+$Y41*B$48+$Z41*B$49+$AA41*B$50</f>
        <v>-3.21268866160695E-011</v>
      </c>
      <c r="W24" s="26" t="n">
        <f aca="false">$V41*C$45+$W41*C$46+$X41*C$47+$Y41*C$48+$Z41*C$49+$AA41*C$50</f>
        <v>-525000</v>
      </c>
      <c r="X24" s="26" t="n">
        <f aca="false">$V41*D$45+$W41*D$46+$X41*D$47+$Y41*D$48+$Z41*D$49+$AA41*D$50</f>
        <v>-4.01837230970225E-011</v>
      </c>
      <c r="Y24" s="26" t="n">
        <f aca="false">$V41*E$45+$W41*E$46+$X41*E$47+$Y41*E$48+$Z41*E$49+$AA41*E$50</f>
        <v>3.21268866160695E-011</v>
      </c>
      <c r="Z24" s="26" t="n">
        <f aca="false">$V41*F$45+$W41*F$46+$X41*F$47+$Y41*F$48+$Z41*F$49+$AA41*F$50</f>
        <v>525000</v>
      </c>
      <c r="AA24" s="26" t="n">
        <f aca="false">$V41*G$45+$W41*G$46+$X41*G$47+$Y41*G$48+$Z41*G$49+$AA41*G$50</f>
        <v>-4.01837230970225E-011</v>
      </c>
      <c r="AC24" s="25" t="n">
        <f aca="false">V59*AC28+W59*AC29+X59*AC30+Y59*AC31+Z59*AC32+AA59*AC33</f>
        <v>6.12323399573677E-013</v>
      </c>
      <c r="AJ24" s="11" t="n">
        <v>3</v>
      </c>
      <c r="AK24" s="7" t="n">
        <v>0</v>
      </c>
      <c r="AL24" s="7" t="n">
        <v>0</v>
      </c>
      <c r="AM24" s="7" t="n">
        <v>0</v>
      </c>
      <c r="AN24" s="7" t="n">
        <v>0</v>
      </c>
      <c r="AO24" s="7" t="n">
        <v>0</v>
      </c>
      <c r="AP24" s="7" t="n">
        <v>0</v>
      </c>
      <c r="AQ24" s="7" t="n">
        <v>0</v>
      </c>
      <c r="AR24" s="7" t="n">
        <v>0</v>
      </c>
      <c r="AS24" s="7" t="n">
        <v>0</v>
      </c>
      <c r="AT24" s="7" t="n">
        <v>0</v>
      </c>
      <c r="AU24" s="7" t="n">
        <v>0</v>
      </c>
      <c r="AV24" s="7" t="n">
        <v>0</v>
      </c>
      <c r="AW24" s="7"/>
    </row>
    <row r="25" customFormat="false" ht="12" hidden="false" customHeight="false" outlineLevel="0" collapsed="false">
      <c r="B25" s="22" t="n">
        <f aca="false">$B41*B$45+$C41*B$46+$D41*B$47+$E41*B$48+$F41*B$49+$G41*B$50</f>
        <v>-656250</v>
      </c>
      <c r="C25" s="22" t="n">
        <f aca="false">$B41*C$45+$C41*C$46+$D41*C$47+$E41*C$48+$F41*C$49+$G41*C$50</f>
        <v>4.01837230970225E-011</v>
      </c>
      <c r="D25" s="22" t="n">
        <f aca="false">$B41*D$45+$C41*D$46+$D41*D$47+$E41*D$48+$F41*D$49+$G41*D$50</f>
        <v>875000000</v>
      </c>
      <c r="E25" s="22" t="n">
        <f aca="false">$B41*E$45+$C41*E$46+$D41*E$47+$E41*E$48+$F41*E$49+$G41*E$50</f>
        <v>656250</v>
      </c>
      <c r="F25" s="22" t="n">
        <f aca="false">$B41*F$45+$C41*F$46+$D41*F$47+$E41*F$48+$F41*F$49+$G41*F$50</f>
        <v>-4.01837230970225E-011</v>
      </c>
      <c r="G25" s="22" t="n">
        <f aca="false">$B41*G$45+$C41*G$46+$D41*G$47+$E41*G$48+$F41*G$49+$G41*G$50</f>
        <v>1750000000</v>
      </c>
      <c r="I25" s="23" t="n">
        <f aca="false">B59*I28+C59*I29+D59*I30+E59*I31+F59*I32+G59*I33</f>
        <v>13333333.3333333</v>
      </c>
      <c r="K25" s="2"/>
      <c r="L25" s="24" t="n">
        <f aca="false">$L42*L$46+$M42*L$47+$N42*L$48+$O42*L$49+$P42*L$50+$Q42*L$51</f>
        <v>0</v>
      </c>
      <c r="M25" s="24" t="n">
        <f aca="false">$L42*M$46+$M42*M$47+$N42*M$48+$O42*M$49+$P42*M$50+$Q42*M$51</f>
        <v>2333333.33333333</v>
      </c>
      <c r="N25" s="24" t="n">
        <f aca="false">$L42*N$46+$M42*N$47+$N42*N$48+$O42*N$49+$P42*N$50+$Q42*N$51</f>
        <v>4666666666.66667</v>
      </c>
      <c r="O25" s="24" t="n">
        <f aca="false">$L42*O$46+$M42*O$47+$N42*O$48+$O42*O$49+$P42*O$50+$Q42*O$51</f>
        <v>0</v>
      </c>
      <c r="P25" s="24" t="n">
        <f aca="false">$L42*P$46+$M42*P$47+$N42*P$48+$O42*P$49+$P42*P$50+$Q42*P$51</f>
        <v>-2333333.33333333</v>
      </c>
      <c r="Q25" s="24" t="n">
        <f aca="false">$L42*Q$46+$M42*Q$47+$N42*Q$48+$O42*Q$49+$P42*Q$50+$Q42*Q$51</f>
        <v>9333333333.33333</v>
      </c>
      <c r="S25" s="25" t="n">
        <f aca="false">L60*S28+M60*S29+N60*S30+O60*S31+P60*S32+Q60*S33</f>
        <v>30000000</v>
      </c>
      <c r="U25" s="2"/>
      <c r="V25" s="26" t="n">
        <f aca="false">$V42*B$45+$W42*B$46+$X42*B$47+$Y42*B$48+$Z42*B$49+$AA42*B$50</f>
        <v>-656250</v>
      </c>
      <c r="W25" s="26" t="n">
        <f aca="false">$V42*C$45+$W42*C$46+$X42*C$47+$Y42*C$48+$Z42*C$49+$AA42*C$50</f>
        <v>4.01837230970225E-011</v>
      </c>
      <c r="X25" s="26" t="n">
        <f aca="false">$V42*D$45+$W42*D$46+$X42*D$47+$Y42*D$48+$Z42*D$49+$AA42*D$50</f>
        <v>875000000</v>
      </c>
      <c r="Y25" s="26" t="n">
        <f aca="false">$V42*E$45+$W42*E$46+$X42*E$47+$Y42*E$48+$Z42*E$49+$AA42*E$50</f>
        <v>656250</v>
      </c>
      <c r="Z25" s="26" t="n">
        <f aca="false">$V42*F$45+$W42*F$46+$X42*F$47+$Y42*F$48+$Z42*F$49+$AA42*F$50</f>
        <v>-4.01837230970225E-011</v>
      </c>
      <c r="AA25" s="26" t="n">
        <f aca="false">$V42*G$45+$W42*G$46+$X42*G$47+$Y42*G$48+$Z42*G$49+$AA42*G$50</f>
        <v>1750000000</v>
      </c>
      <c r="AC25" s="25" t="n">
        <f aca="false">V60*AC28+W60*AC29+X60*AC30+Y60*AC31+Z60*AC32+AA60*AC33</f>
        <v>-6666666.66666667</v>
      </c>
      <c r="AE25" s="2"/>
      <c r="AJ25" s="11" t="n">
        <v>4</v>
      </c>
      <c r="AK25" s="7" t="n">
        <v>0</v>
      </c>
      <c r="AL25" s="7" t="n">
        <v>0</v>
      </c>
      <c r="AM25" s="7" t="n">
        <v>0</v>
      </c>
      <c r="AN25" s="7" t="n">
        <v>0</v>
      </c>
      <c r="AO25" s="7" t="n">
        <v>0</v>
      </c>
      <c r="AP25" s="7" t="n">
        <v>0</v>
      </c>
      <c r="AQ25" s="7" t="n">
        <v>0</v>
      </c>
      <c r="AR25" s="7" t="n">
        <v>0</v>
      </c>
      <c r="AS25" s="7" t="n">
        <v>0</v>
      </c>
      <c r="AT25" s="7" t="n">
        <v>0</v>
      </c>
      <c r="AU25" s="7" t="n">
        <v>0</v>
      </c>
      <c r="AV25" s="7" t="n">
        <v>0</v>
      </c>
      <c r="AW25" s="7"/>
    </row>
    <row r="26" customFormat="false" ht="12" hidden="false" customHeight="false" outlineLevel="0" collapsed="false">
      <c r="I26" s="13"/>
      <c r="S26" s="2"/>
      <c r="U26" s="2"/>
      <c r="AC26" s="2"/>
      <c r="AE26" s="2"/>
      <c r="AJ26" s="11" t="n">
        <v>5</v>
      </c>
      <c r="AK26" s="7" t="n">
        <v>0</v>
      </c>
      <c r="AL26" s="7" t="n">
        <v>0</v>
      </c>
      <c r="AM26" s="7" t="n">
        <v>0</v>
      </c>
      <c r="AN26" s="7" t="n">
        <v>0</v>
      </c>
      <c r="AO26" s="7" t="n">
        <v>0</v>
      </c>
      <c r="AP26" s="7" t="n">
        <v>0</v>
      </c>
      <c r="AQ26" s="7" t="n">
        <v>0</v>
      </c>
      <c r="AR26" s="7" t="n">
        <v>0</v>
      </c>
      <c r="AS26" s="7" t="n">
        <v>0</v>
      </c>
      <c r="AT26" s="7" t="n">
        <v>0</v>
      </c>
      <c r="AU26" s="7" t="n">
        <v>0</v>
      </c>
      <c r="AV26" s="7" t="n">
        <v>0</v>
      </c>
      <c r="AW26" s="7"/>
      <c r="AY26" s="2"/>
    </row>
    <row r="27" customFormat="false" ht="12" hidden="false" customHeight="false" outlineLevel="0" collapsed="false">
      <c r="B27" s="2" t="s">
        <v>33</v>
      </c>
      <c r="I27" s="27" t="s">
        <v>34</v>
      </c>
      <c r="L27" s="2" t="s">
        <v>33</v>
      </c>
      <c r="S27" s="2" t="s">
        <v>34</v>
      </c>
      <c r="V27" s="2" t="s">
        <v>33</v>
      </c>
      <c r="AC27" s="2" t="s">
        <v>34</v>
      </c>
      <c r="AJ27" s="11" t="n">
        <v>6</v>
      </c>
      <c r="AK27" s="7" t="n">
        <v>0</v>
      </c>
      <c r="AL27" s="7" t="n">
        <v>0</v>
      </c>
      <c r="AM27" s="7" t="n">
        <v>0</v>
      </c>
      <c r="AN27" s="7" t="n">
        <v>0</v>
      </c>
      <c r="AO27" s="7" t="n">
        <v>0</v>
      </c>
      <c r="AP27" s="7" t="n">
        <v>0</v>
      </c>
      <c r="AQ27" s="7" t="n">
        <v>0</v>
      </c>
      <c r="AR27" s="7" t="n">
        <v>0</v>
      </c>
      <c r="AS27" s="7" t="n">
        <v>0</v>
      </c>
      <c r="AT27" s="7" t="n">
        <v>0</v>
      </c>
      <c r="AU27" s="7" t="n">
        <v>0</v>
      </c>
      <c r="AV27" s="7" t="n">
        <v>0</v>
      </c>
      <c r="AW27" s="7"/>
      <c r="AY27" s="2"/>
    </row>
    <row r="28" customFormat="false" ht="12" hidden="false" customHeight="false" outlineLevel="0" collapsed="false">
      <c r="B28" s="28" t="n">
        <f aca="false">$E$10/E6</f>
        <v>525000</v>
      </c>
      <c r="C28" s="29" t="n">
        <v>0</v>
      </c>
      <c r="D28" s="29" t="n">
        <v>0</v>
      </c>
      <c r="E28" s="28" t="n">
        <f aca="false">-$E$10/E6</f>
        <v>-525000</v>
      </c>
      <c r="F28" s="29" t="n">
        <v>0</v>
      </c>
      <c r="G28" s="29" t="n">
        <v>0</v>
      </c>
      <c r="I28" s="28" t="n">
        <f aca="false">-E6/2*E14</f>
        <v>-0</v>
      </c>
      <c r="L28" s="28" t="n">
        <f aca="false">$O$10/O6</f>
        <v>700000</v>
      </c>
      <c r="M28" s="29" t="n">
        <v>0</v>
      </c>
      <c r="N28" s="29" t="n">
        <v>0</v>
      </c>
      <c r="O28" s="28" t="n">
        <f aca="false">-$O$10/O6</f>
        <v>-700000</v>
      </c>
      <c r="P28" s="29" t="n">
        <v>0</v>
      </c>
      <c r="Q28" s="29" t="n">
        <v>0</v>
      </c>
      <c r="S28" s="30" t="n">
        <v>0</v>
      </c>
      <c r="V28" s="28" t="n">
        <f aca="false">$E$10/Y6</f>
        <v>525000</v>
      </c>
      <c r="W28" s="29" t="n">
        <v>0</v>
      </c>
      <c r="X28" s="29" t="n">
        <v>0</v>
      </c>
      <c r="Y28" s="28" t="n">
        <f aca="false">-$E$10/Y6</f>
        <v>-525000</v>
      </c>
      <c r="Z28" s="29" t="n">
        <v>0</v>
      </c>
      <c r="AA28" s="29" t="n">
        <v>0</v>
      </c>
      <c r="AC28" s="28" t="n">
        <f aca="false">-Y6/2*Y14</f>
        <v>-0</v>
      </c>
      <c r="AJ28" s="11" t="n">
        <v>7</v>
      </c>
      <c r="AK28" s="7" t="n">
        <v>0</v>
      </c>
      <c r="AL28" s="7" t="n">
        <v>0</v>
      </c>
      <c r="AM28" s="7" t="n">
        <v>0</v>
      </c>
      <c r="AN28" s="7" t="n">
        <v>0</v>
      </c>
      <c r="AO28" s="7" t="n">
        <v>0</v>
      </c>
      <c r="AP28" s="7" t="n">
        <v>0</v>
      </c>
      <c r="AQ28" s="31" t="n">
        <f aca="false">V20</f>
        <v>328.125</v>
      </c>
      <c r="AR28" s="31" t="n">
        <f aca="false">W20</f>
        <v>3.21268866160695E-011</v>
      </c>
      <c r="AS28" s="31" t="n">
        <f aca="false">X20</f>
        <v>-656250</v>
      </c>
      <c r="AT28" s="31" t="n">
        <f aca="false">Y20</f>
        <v>-328.125</v>
      </c>
      <c r="AU28" s="31" t="n">
        <f aca="false">Z20</f>
        <v>-3.21268866160695E-011</v>
      </c>
      <c r="AV28" s="31" t="n">
        <f aca="false">AA20</f>
        <v>-656250</v>
      </c>
      <c r="AW28" s="7"/>
      <c r="AX28" s="13" t="n">
        <f aca="false">AC20</f>
        <v>-10000</v>
      </c>
      <c r="AY28" s="32"/>
    </row>
    <row r="29" customFormat="false" ht="12" hidden="false" customHeight="false" outlineLevel="0" collapsed="false">
      <c r="B29" s="29" t="n">
        <v>0</v>
      </c>
      <c r="C29" s="28" t="n">
        <f aca="false">(12*$E$11)/$E$6^3</f>
        <v>328.125</v>
      </c>
      <c r="D29" s="28" t="n">
        <f aca="false">(6*$E$11)/$E$6^2</f>
        <v>656250</v>
      </c>
      <c r="E29" s="29" t="n">
        <v>0</v>
      </c>
      <c r="F29" s="28" t="n">
        <f aca="false">-(12*$E$11)/$E$6^3</f>
        <v>-328.125</v>
      </c>
      <c r="G29" s="28" t="n">
        <f aca="false">(6*$E$11)/$E$6^2</f>
        <v>656250</v>
      </c>
      <c r="I29" s="28" t="n">
        <f aca="false">-E6/2*E15</f>
        <v>-20000</v>
      </c>
      <c r="L29" s="29" t="n">
        <v>0</v>
      </c>
      <c r="M29" s="28" t="n">
        <f aca="false">(12*$O$11)/$O$6^3</f>
        <v>777.777777777778</v>
      </c>
      <c r="N29" s="28" t="n">
        <f aca="false">(6*$O$11)/$O$6^2</f>
        <v>2333333.33333333</v>
      </c>
      <c r="O29" s="29" t="n">
        <v>0</v>
      </c>
      <c r="P29" s="28" t="n">
        <f aca="false">-(12*$O$11)/$O$6^3</f>
        <v>-777.777777777778</v>
      </c>
      <c r="Q29" s="28" t="n">
        <f aca="false">(6*$O$11)/$O$6^2</f>
        <v>2333333.33333333</v>
      </c>
      <c r="S29" s="28" t="n">
        <f aca="false">-O6/2*(O14+O15)</f>
        <v>-30000</v>
      </c>
      <c r="V29" s="29" t="n">
        <v>0</v>
      </c>
      <c r="W29" s="28" t="n">
        <f aca="false">(12*$E$11)/$E$6^3</f>
        <v>328.125</v>
      </c>
      <c r="X29" s="28" t="n">
        <f aca="false">(6*$E$11)/$E$6^2</f>
        <v>656250</v>
      </c>
      <c r="Y29" s="29" t="n">
        <v>0</v>
      </c>
      <c r="Z29" s="28" t="n">
        <f aca="false">-(12*$E$11)/$E$6^3</f>
        <v>-328.125</v>
      </c>
      <c r="AA29" s="28" t="n">
        <f aca="false">(6*$E$11)/$E$6^2</f>
        <v>656250</v>
      </c>
      <c r="AC29" s="28" t="n">
        <f aca="false">-Y6/2*Y15</f>
        <v>10000</v>
      </c>
      <c r="AJ29" s="11" t="n">
        <v>8</v>
      </c>
      <c r="AK29" s="7" t="n">
        <v>0</v>
      </c>
      <c r="AL29" s="7" t="n">
        <v>0</v>
      </c>
      <c r="AM29" s="7" t="n">
        <v>0</v>
      </c>
      <c r="AN29" s="7" t="n">
        <v>0</v>
      </c>
      <c r="AO29" s="7" t="n">
        <v>0</v>
      </c>
      <c r="AP29" s="7" t="n">
        <v>0</v>
      </c>
      <c r="AQ29" s="31" t="n">
        <f aca="false">V21</f>
        <v>3.21268866160695E-011</v>
      </c>
      <c r="AR29" s="31" t="n">
        <f aca="false">W21</f>
        <v>525000</v>
      </c>
      <c r="AS29" s="31" t="n">
        <f aca="false">X21</f>
        <v>4.01837230970225E-011</v>
      </c>
      <c r="AT29" s="31" t="n">
        <f aca="false">Y21</f>
        <v>-3.21268866160695E-011</v>
      </c>
      <c r="AU29" s="31" t="n">
        <f aca="false">Z21</f>
        <v>-525000</v>
      </c>
      <c r="AV29" s="31" t="n">
        <f aca="false">AA21</f>
        <v>4.01837230970225E-011</v>
      </c>
      <c r="AW29" s="7"/>
      <c r="AX29" s="13" t="n">
        <f aca="false">AC21</f>
        <v>6.12323399573677E-013</v>
      </c>
      <c r="AY29" s="33"/>
    </row>
    <row r="30" customFormat="false" ht="12" hidden="false" customHeight="false" outlineLevel="0" collapsed="false">
      <c r="B30" s="29" t="n">
        <v>0</v>
      </c>
      <c r="C30" s="28" t="n">
        <f aca="false">(6*$E$11)/$E$6^2</f>
        <v>656250</v>
      </c>
      <c r="D30" s="28" t="n">
        <f aca="false">4*$E$11/$E$6</f>
        <v>1750000000</v>
      </c>
      <c r="E30" s="29" t="n">
        <v>0</v>
      </c>
      <c r="F30" s="28" t="n">
        <f aca="false">-(6*$E$11)/$E$6^2</f>
        <v>-656250</v>
      </c>
      <c r="G30" s="28" t="n">
        <f aca="false">2*$E$11/$E$6</f>
        <v>875000000</v>
      </c>
      <c r="I30" s="28" t="n">
        <f aca="false">-1*(E15*E6^2)/12</f>
        <v>-13333333.3333333</v>
      </c>
      <c r="L30" s="29" t="n">
        <v>0</v>
      </c>
      <c r="M30" s="28" t="n">
        <f aca="false">(6*$O$11)/$O$6^2</f>
        <v>2333333.33333333</v>
      </c>
      <c r="N30" s="28" t="n">
        <f aca="false">4*$O$11/$O$6</f>
        <v>9333333333.33333</v>
      </c>
      <c r="O30" s="29" t="n">
        <v>0</v>
      </c>
      <c r="P30" s="28" t="n">
        <f aca="false">-(6*$O$11)/$O$6^2</f>
        <v>-2333333.33333333</v>
      </c>
      <c r="Q30" s="28" t="n">
        <f aca="false">2*$O$11/$O$6</f>
        <v>4666666666.66667</v>
      </c>
      <c r="S30" s="28" t="n">
        <f aca="false">-1*((O14+O15)*O6^2)/12</f>
        <v>-30000000</v>
      </c>
      <c r="V30" s="29" t="n">
        <v>0</v>
      </c>
      <c r="W30" s="28" t="n">
        <f aca="false">(6*$E$11)/$E$6^2</f>
        <v>656250</v>
      </c>
      <c r="X30" s="28" t="n">
        <f aca="false">4*$E$11/$E$6</f>
        <v>1750000000</v>
      </c>
      <c r="Y30" s="29" t="n">
        <v>0</v>
      </c>
      <c r="Z30" s="28" t="n">
        <f aca="false">-(6*$E$11)/$E$6^2</f>
        <v>-656250</v>
      </c>
      <c r="AA30" s="28" t="n">
        <f aca="false">2*$E$11/$E$6</f>
        <v>875000000</v>
      </c>
      <c r="AC30" s="28" t="n">
        <f aca="false">-1*(Y15*Y6^2)/12</f>
        <v>6666666.66666667</v>
      </c>
      <c r="AJ30" s="11" t="n">
        <v>9</v>
      </c>
      <c r="AK30" s="7" t="n">
        <v>0</v>
      </c>
      <c r="AL30" s="7" t="n">
        <v>0</v>
      </c>
      <c r="AM30" s="7" t="n">
        <v>0</v>
      </c>
      <c r="AN30" s="7" t="n">
        <v>0</v>
      </c>
      <c r="AO30" s="7" t="n">
        <v>0</v>
      </c>
      <c r="AP30" s="7" t="n">
        <v>0</v>
      </c>
      <c r="AQ30" s="31" t="n">
        <f aca="false">V22</f>
        <v>-656250</v>
      </c>
      <c r="AR30" s="31" t="n">
        <f aca="false">W22</f>
        <v>4.01837230970225E-011</v>
      </c>
      <c r="AS30" s="31" t="n">
        <f aca="false">X22</f>
        <v>1750000000</v>
      </c>
      <c r="AT30" s="31" t="n">
        <f aca="false">Y22</f>
        <v>656250</v>
      </c>
      <c r="AU30" s="31" t="n">
        <f aca="false">Z22</f>
        <v>-4.01837230970225E-011</v>
      </c>
      <c r="AV30" s="31" t="n">
        <f aca="false">AA22</f>
        <v>875000000</v>
      </c>
      <c r="AW30" s="7"/>
      <c r="AX30" s="13" t="n">
        <f aca="false">AC22</f>
        <v>6666666.66666667</v>
      </c>
      <c r="AY30" s="32"/>
    </row>
    <row r="31" customFormat="false" ht="12" hidden="false" customHeight="false" outlineLevel="0" collapsed="false">
      <c r="B31" s="28" t="n">
        <f aca="false">-$E$10/E6</f>
        <v>-525000</v>
      </c>
      <c r="C31" s="29" t="n">
        <v>0</v>
      </c>
      <c r="D31" s="29" t="n">
        <v>0</v>
      </c>
      <c r="E31" s="28" t="n">
        <f aca="false">$E$10/E6</f>
        <v>525000</v>
      </c>
      <c r="F31" s="29" t="n">
        <v>0</v>
      </c>
      <c r="G31" s="29" t="n">
        <v>0</v>
      </c>
      <c r="I31" s="28" t="n">
        <f aca="false">-E6/2*E14</f>
        <v>-0</v>
      </c>
      <c r="L31" s="28" t="n">
        <f aca="false">-$O$10/O6</f>
        <v>-700000</v>
      </c>
      <c r="M31" s="29" t="n">
        <v>0</v>
      </c>
      <c r="N31" s="29" t="n">
        <v>0</v>
      </c>
      <c r="O31" s="28" t="n">
        <f aca="false">$O$10/O6</f>
        <v>700000</v>
      </c>
      <c r="P31" s="29" t="n">
        <v>0</v>
      </c>
      <c r="Q31" s="29" t="n">
        <v>0</v>
      </c>
      <c r="S31" s="30" t="n">
        <v>0</v>
      </c>
      <c r="V31" s="28" t="n">
        <f aca="false">-$E$10/Y6</f>
        <v>-525000</v>
      </c>
      <c r="W31" s="29" t="n">
        <v>0</v>
      </c>
      <c r="X31" s="29" t="n">
        <v>0</v>
      </c>
      <c r="Y31" s="28" t="n">
        <f aca="false">$E$10/Y6</f>
        <v>525000</v>
      </c>
      <c r="Z31" s="29" t="n">
        <v>0</v>
      </c>
      <c r="AA31" s="29" t="n">
        <v>0</v>
      </c>
      <c r="AC31" s="28" t="n">
        <f aca="false">-Y6/2*Y14</f>
        <v>-0</v>
      </c>
      <c r="AJ31" s="11" t="n">
        <v>10</v>
      </c>
      <c r="AK31" s="7" t="n">
        <v>0</v>
      </c>
      <c r="AL31" s="7" t="n">
        <v>0</v>
      </c>
      <c r="AM31" s="7" t="n">
        <v>0</v>
      </c>
      <c r="AN31" s="7" t="n">
        <v>0</v>
      </c>
      <c r="AO31" s="7" t="n">
        <v>0</v>
      </c>
      <c r="AP31" s="7" t="n">
        <v>0</v>
      </c>
      <c r="AQ31" s="31" t="n">
        <f aca="false">V23</f>
        <v>-328.125</v>
      </c>
      <c r="AR31" s="31" t="n">
        <f aca="false">W23</f>
        <v>-3.21268866160695E-011</v>
      </c>
      <c r="AS31" s="31" t="n">
        <f aca="false">X23</f>
        <v>656250</v>
      </c>
      <c r="AT31" s="31" t="n">
        <f aca="false">Y23</f>
        <v>328.125</v>
      </c>
      <c r="AU31" s="31" t="n">
        <f aca="false">Z23</f>
        <v>3.21268866160695E-011</v>
      </c>
      <c r="AV31" s="31" t="n">
        <f aca="false">AA23</f>
        <v>656250</v>
      </c>
      <c r="AW31" s="7"/>
      <c r="AX31" s="13" t="n">
        <f aca="false">AC23</f>
        <v>-10000</v>
      </c>
      <c r="AY31" s="32"/>
    </row>
    <row r="32" customFormat="false" ht="12" hidden="false" customHeight="false" outlineLevel="0" collapsed="false">
      <c r="B32" s="29" t="n">
        <v>0</v>
      </c>
      <c r="C32" s="28" t="n">
        <f aca="false">-(12*$E$11)/$E$6^3</f>
        <v>-328.125</v>
      </c>
      <c r="D32" s="28" t="n">
        <f aca="false">-(6*$E$11)/$E$6^2</f>
        <v>-656250</v>
      </c>
      <c r="E32" s="29" t="n">
        <v>0</v>
      </c>
      <c r="F32" s="28" t="n">
        <f aca="false">(12*$E$11)/$E$6^3</f>
        <v>328.125</v>
      </c>
      <c r="G32" s="28" t="n">
        <f aca="false">-(6*$E$11)/$E$6^2</f>
        <v>-656250</v>
      </c>
      <c r="I32" s="28" t="n">
        <f aca="false">-E6/2*E15</f>
        <v>-20000</v>
      </c>
      <c r="L32" s="29" t="n">
        <v>0</v>
      </c>
      <c r="M32" s="28" t="n">
        <f aca="false">-(12*$O$11)/$O$6^3</f>
        <v>-777.777777777778</v>
      </c>
      <c r="N32" s="28" t="n">
        <f aca="false">-(6*$O$11)/$O$6^2</f>
        <v>-2333333.33333333</v>
      </c>
      <c r="O32" s="29" t="n">
        <v>0</v>
      </c>
      <c r="P32" s="28" t="n">
        <f aca="false">(12*$O$11)/$O$6^3</f>
        <v>777.777777777778</v>
      </c>
      <c r="Q32" s="28" t="n">
        <f aca="false">-(6*$O$11)/$O$6^2</f>
        <v>-2333333.33333333</v>
      </c>
      <c r="R32" s="2"/>
      <c r="S32" s="28" t="n">
        <f aca="false">-O6/2*(O14+O15)</f>
        <v>-30000</v>
      </c>
      <c r="V32" s="29" t="n">
        <v>0</v>
      </c>
      <c r="W32" s="28" t="n">
        <f aca="false">-(12*$E$11)/$E$6^3</f>
        <v>-328.125</v>
      </c>
      <c r="X32" s="28" t="n">
        <f aca="false">-(6*$E$11)/$E$6^2</f>
        <v>-656250</v>
      </c>
      <c r="Y32" s="29" t="n">
        <v>0</v>
      </c>
      <c r="Z32" s="28" t="n">
        <f aca="false">(12*$E$11)/$E$6^3</f>
        <v>328.125</v>
      </c>
      <c r="AA32" s="28" t="n">
        <f aca="false">-(6*$E$11)/$E$6^2</f>
        <v>-656250</v>
      </c>
      <c r="AC32" s="28" t="n">
        <f aca="false">-Y6/2*Y15</f>
        <v>10000</v>
      </c>
      <c r="AJ32" s="11" t="n">
        <v>11</v>
      </c>
      <c r="AK32" s="7" t="n">
        <v>0</v>
      </c>
      <c r="AL32" s="7" t="n">
        <v>0</v>
      </c>
      <c r="AM32" s="7" t="n">
        <v>0</v>
      </c>
      <c r="AN32" s="7" t="n">
        <v>0</v>
      </c>
      <c r="AO32" s="7" t="n">
        <v>0</v>
      </c>
      <c r="AP32" s="7" t="n">
        <v>0</v>
      </c>
      <c r="AQ32" s="31" t="n">
        <f aca="false">V24</f>
        <v>-3.21268866160695E-011</v>
      </c>
      <c r="AR32" s="31" t="n">
        <f aca="false">W24</f>
        <v>-525000</v>
      </c>
      <c r="AS32" s="31" t="n">
        <f aca="false">X24</f>
        <v>-4.01837230970225E-011</v>
      </c>
      <c r="AT32" s="31" t="n">
        <f aca="false">Y24</f>
        <v>3.21268866160695E-011</v>
      </c>
      <c r="AU32" s="31" t="n">
        <f aca="false">Z24</f>
        <v>525000</v>
      </c>
      <c r="AV32" s="31" t="n">
        <f aca="false">AA24</f>
        <v>-4.01837230970225E-011</v>
      </c>
      <c r="AW32" s="7"/>
      <c r="AX32" s="13" t="n">
        <f aca="false">AC24</f>
        <v>6.12323399573677E-013</v>
      </c>
      <c r="AY32" s="33"/>
    </row>
    <row r="33" customFormat="false" ht="12" hidden="false" customHeight="false" outlineLevel="0" collapsed="false">
      <c r="B33" s="29" t="n">
        <v>0</v>
      </c>
      <c r="C33" s="28" t="n">
        <f aca="false">(6*$E$11)/$E$6^2</f>
        <v>656250</v>
      </c>
      <c r="D33" s="28" t="n">
        <f aca="false">2*$E$11/$E$6</f>
        <v>875000000</v>
      </c>
      <c r="E33" s="29" t="n">
        <v>0</v>
      </c>
      <c r="F33" s="28" t="n">
        <f aca="false">-(6*$E$11)/$E$6^2</f>
        <v>-656250</v>
      </c>
      <c r="G33" s="28" t="n">
        <f aca="false">4*$E$11/$E$6</f>
        <v>1750000000</v>
      </c>
      <c r="I33" s="28" t="n">
        <f aca="false">1*(E15*E6^2)/12</f>
        <v>13333333.3333333</v>
      </c>
      <c r="L33" s="29" t="n">
        <v>0</v>
      </c>
      <c r="M33" s="28" t="n">
        <f aca="false">(6*$O$11)/$O$6^2</f>
        <v>2333333.33333333</v>
      </c>
      <c r="N33" s="28" t="n">
        <f aca="false">2*$O$11/$O$6</f>
        <v>4666666666.66667</v>
      </c>
      <c r="O33" s="29" t="n">
        <v>0</v>
      </c>
      <c r="P33" s="28" t="n">
        <f aca="false">-(6*$O$11)/$O$6^2</f>
        <v>-2333333.33333333</v>
      </c>
      <c r="Q33" s="28" t="n">
        <f aca="false">4*$O$11/$O$6</f>
        <v>9333333333.33333</v>
      </c>
      <c r="S33" s="28" t="n">
        <f aca="false">1*((O14+O15)*O6^2)/12</f>
        <v>30000000</v>
      </c>
      <c r="V33" s="29" t="n">
        <v>0</v>
      </c>
      <c r="W33" s="28" t="n">
        <f aca="false">(6*$E$11)/$E$6^2</f>
        <v>656250</v>
      </c>
      <c r="X33" s="28" t="n">
        <f aca="false">2*$E$11/$E$6</f>
        <v>875000000</v>
      </c>
      <c r="Y33" s="29" t="n">
        <v>0</v>
      </c>
      <c r="Z33" s="28" t="n">
        <f aca="false">-(6*$E$11)/$E$6^2</f>
        <v>-656250</v>
      </c>
      <c r="AA33" s="28" t="n">
        <f aca="false">4*$E$11/$E$6</f>
        <v>1750000000</v>
      </c>
      <c r="AC33" s="28" t="n">
        <f aca="false">1*(Y15*Y6^2)/12</f>
        <v>-6666666.66666667</v>
      </c>
      <c r="AJ33" s="11" t="n">
        <v>12</v>
      </c>
      <c r="AK33" s="7" t="n">
        <v>0</v>
      </c>
      <c r="AL33" s="7" t="n">
        <v>0</v>
      </c>
      <c r="AM33" s="7" t="n">
        <v>0</v>
      </c>
      <c r="AN33" s="7" t="n">
        <v>0</v>
      </c>
      <c r="AO33" s="7" t="n">
        <v>0</v>
      </c>
      <c r="AP33" s="7" t="n">
        <v>0</v>
      </c>
      <c r="AQ33" s="31" t="n">
        <f aca="false">V25</f>
        <v>-656250</v>
      </c>
      <c r="AR33" s="31" t="n">
        <f aca="false">W25</f>
        <v>4.01837230970225E-011</v>
      </c>
      <c r="AS33" s="31" t="n">
        <f aca="false">X25</f>
        <v>875000000</v>
      </c>
      <c r="AT33" s="31" t="n">
        <f aca="false">Y25</f>
        <v>656250</v>
      </c>
      <c r="AU33" s="31" t="n">
        <f aca="false">Z25</f>
        <v>-4.01837230970225E-011</v>
      </c>
      <c r="AV33" s="31" t="n">
        <f aca="false">AA25</f>
        <v>1750000000</v>
      </c>
      <c r="AW33" s="7"/>
      <c r="AX33" s="13" t="n">
        <f aca="false">AC25</f>
        <v>-6666666.66666667</v>
      </c>
      <c r="AY33" s="32"/>
    </row>
    <row r="34" customFormat="false" ht="12" hidden="false" customHeight="false" outlineLevel="0" collapsed="false"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</row>
    <row r="35" customFormat="false" ht="12" hidden="false" customHeight="false" outlineLevel="0" collapsed="false">
      <c r="B35" s="2" t="s">
        <v>35</v>
      </c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</row>
    <row r="36" customFormat="false" ht="12" hidden="false" customHeight="false" outlineLevel="0" collapsed="false">
      <c r="B36" s="28" t="n">
        <f aca="false">$B54*B28+$C54*B29+$D54*B30+$E54*B31+$F54*B32+$G54*B33</f>
        <v>3.2146978477618E-011</v>
      </c>
      <c r="C36" s="28" t="n">
        <f aca="false">$B54*C28+$C54*C29+$D54*C30+$E54*C31+$F54*C32+$G54*C33</f>
        <v>-328.125</v>
      </c>
      <c r="D36" s="28" t="n">
        <f aca="false">$B54*D28+$C54*D29+$D54*D30+$E54*D31+$F54*D32+$G54*D33</f>
        <v>-656250</v>
      </c>
      <c r="E36" s="28" t="n">
        <f aca="false">$B54*E28+$C54*E29+$D54*E30+$E54*E31+$F54*E32+$G54*E33</f>
        <v>-3.2146978477618E-011</v>
      </c>
      <c r="F36" s="28" t="n">
        <f aca="false">$B54*F28+$C54*F29+$D54*F30+$E54*F31+$F54*F32+$G54*F33</f>
        <v>328.125</v>
      </c>
      <c r="G36" s="28" t="n">
        <f aca="false">$B54*G28+$C54*G29+$D54*G30+$E54*G31+$F54*G32+$G54*G33</f>
        <v>-656250</v>
      </c>
      <c r="L36" s="2" t="s">
        <v>35</v>
      </c>
      <c r="V36" s="2" t="s">
        <v>35</v>
      </c>
    </row>
    <row r="37" customFormat="false" ht="12" hidden="false" customHeight="false" outlineLevel="0" collapsed="false">
      <c r="B37" s="28" t="n">
        <f aca="false">$B55*B28+$C55*B29+$D55*B30+$E55*B31+$F55*B32+$G55*B33</f>
        <v>525000</v>
      </c>
      <c r="C37" s="28" t="n">
        <f aca="false">$B55*C28+$C55*C29+$D55*C30+$E55*C31+$F55*C32+$G55*C33</f>
        <v>2.00918615485113E-014</v>
      </c>
      <c r="D37" s="28" t="n">
        <f aca="false">$B55*D28+$C55*D29+$D55*D30+$E55*D31+$F55*D32+$G55*D33</f>
        <v>4.01837230970225E-011</v>
      </c>
      <c r="E37" s="28" t="n">
        <f aca="false">$B55*E28+$C55*E29+$D55*E30+$E55*E31+$F55*E32+$G55*E33</f>
        <v>-525000</v>
      </c>
      <c r="F37" s="28" t="n">
        <f aca="false">$B55*F28+$C55*F29+$D55*F30+$E55*F31+$F55*F32+$G55*F33</f>
        <v>-2.00918615485113E-014</v>
      </c>
      <c r="G37" s="28" t="n">
        <f aca="false">$B55*G28+$C55*G29+$D55*G30+$E55*G31+$F55*G32+$G55*G33</f>
        <v>4.01837230970225E-011</v>
      </c>
      <c r="L37" s="28" t="n">
        <f aca="false">$L55*L$28+$M55*L$29+$N55*L$30+$O55*L$31+$P55*L$32+$Q55*L$33</f>
        <v>700000</v>
      </c>
      <c r="M37" s="28" t="n">
        <f aca="false">$L55*M$28+$M55*M$29+$N55*M$30+$O55*M$31+$P55*M$32+$Q55*M$33</f>
        <v>0</v>
      </c>
      <c r="N37" s="28" t="n">
        <f aca="false">$L55*N$28+$M55*N$29+$N55*N$30+$O55*N$31+$P55*N$32+$Q55*N$33</f>
        <v>0</v>
      </c>
      <c r="O37" s="28" t="n">
        <f aca="false">$L55*O$28+$M55*O$29+$N55*O$30+$O55*O$31+$P55*O$32+$Q55*O$33</f>
        <v>-700000</v>
      </c>
      <c r="P37" s="28" t="n">
        <f aca="false">$L55*P$28+$M55*P$29+$N55*P$30+$O55*P$31+$P55*P$32+$Q55*P$33</f>
        <v>0</v>
      </c>
      <c r="Q37" s="28" t="n">
        <f aca="false">$L55*Q$28+$M55*Q$29+$N55*Q$30+$O55*Q$31+$P55*Q$32+$Q55*Q$33</f>
        <v>0</v>
      </c>
      <c r="V37" s="28" t="n">
        <f aca="false">$V55*V28+$W55*V29+$X55*V30+$Y55*V31+$Z55*V32+$AA55*V33</f>
        <v>3.2146978477618E-011</v>
      </c>
      <c r="W37" s="28" t="n">
        <f aca="false">$V55*W28+$W55*W29+$X55*W30+$Y55*W31+$Z55*W32+$AA55*W33</f>
        <v>-328.125</v>
      </c>
      <c r="X37" s="28" t="n">
        <f aca="false">$V55*X28+$W55*X29+$X55*X30+$Y55*X31+$Z55*X32+$AA55*X33</f>
        <v>-656250</v>
      </c>
      <c r="Y37" s="28" t="n">
        <f aca="false">$V55*Y28+$W55*Y29+$X55*Y30+$Y55*Y31+$Z55*Y32+$AA55*Y33</f>
        <v>-3.2146978477618E-011</v>
      </c>
      <c r="Z37" s="28" t="n">
        <f aca="false">$V55*Z28+$W55*Z29+$X55*Z30+$Y55*Z31+$Z55*Z32+$AA55*Z33</f>
        <v>328.125</v>
      </c>
      <c r="AA37" s="28" t="n">
        <f aca="false">$V55*AA28+$W55*AA29+$X55*AA30+$Y55*AA31+$Z55*AA32+$AA55*AA33</f>
        <v>-656250</v>
      </c>
    </row>
    <row r="38" customFormat="false" ht="12" hidden="false" customHeight="false" outlineLevel="0" collapsed="false">
      <c r="B38" s="28" t="n">
        <f aca="false">$B56*B28+$C56*B29+$D56*B30+$E56*B31+$F56*B32+$G56*B33</f>
        <v>0</v>
      </c>
      <c r="C38" s="28" t="n">
        <f aca="false">$B56*C28+$C56*C29+$D56*C30+$E56*C31+$F56*C32+$G56*C33</f>
        <v>656250</v>
      </c>
      <c r="D38" s="28" t="n">
        <f aca="false">$B56*D28+$C56*D29+$D56*D30+$E56*D31+$F56*D32+$G56*D33</f>
        <v>1750000000</v>
      </c>
      <c r="E38" s="28" t="n">
        <f aca="false">$B56*E28+$C56*E29+$D56*E30+$E56*E31+$F56*E32+$G56*E33</f>
        <v>0</v>
      </c>
      <c r="F38" s="28" t="n">
        <f aca="false">$B56*F28+$C56*F29+$D56*F30+$E56*F31+$F56*F32+$G56*F33</f>
        <v>-656250</v>
      </c>
      <c r="G38" s="28" t="n">
        <f aca="false">$B56*G28+$C56*G29+$D56*G30+$E56*G31+$F56*G32+$G56*G33</f>
        <v>875000000</v>
      </c>
      <c r="L38" s="28" t="n">
        <f aca="false">$L56*L$28+$M56*L$29+$N56*L$30+$O56*L$31+$P56*L$32+$Q56*L$33</f>
        <v>0</v>
      </c>
      <c r="M38" s="28" t="n">
        <f aca="false">$L56*M$28+$M56*M$29+$N56*M$30+$O56*M$31+$P56*M$32+$Q56*M$33</f>
        <v>777.777777777778</v>
      </c>
      <c r="N38" s="28" t="n">
        <f aca="false">$L56*N$28+$M56*N$29+$N56*N$30+$O56*N$31+$P56*N$32+$Q56*N$33</f>
        <v>2333333.33333333</v>
      </c>
      <c r="O38" s="28" t="n">
        <f aca="false">$L56*O$28+$M56*O$29+$N56*O$30+$O56*O$31+$P56*O$32+$Q56*O$33</f>
        <v>0</v>
      </c>
      <c r="P38" s="28" t="n">
        <f aca="false">$L56*P$28+$M56*P$29+$N56*P$30+$O56*P$31+$P56*P$32+$Q56*P$33</f>
        <v>-777.777777777778</v>
      </c>
      <c r="Q38" s="28" t="n">
        <f aca="false">$L56*Q$28+$M56*Q$29+$N56*Q$30+$O56*Q$31+$P56*Q$32+$Q56*Q$33</f>
        <v>2333333.33333333</v>
      </c>
      <c r="V38" s="28" t="n">
        <f aca="false">$V56*V28+$W56*V29+$X56*V30+$Y56*V31+$Z56*V32+$AA56*V33</f>
        <v>525000</v>
      </c>
      <c r="W38" s="28" t="n">
        <f aca="false">$V56*W28+$W56*W29+$X56*W30+$Y56*W31+$Z56*W32+$AA56*W33</f>
        <v>2.00918615485113E-014</v>
      </c>
      <c r="X38" s="28" t="n">
        <f aca="false">$V56*X28+$W56*X29+$X56*X30+$Y56*X31+$Z56*X32+$AA56*X33</f>
        <v>4.01837230970225E-011</v>
      </c>
      <c r="Y38" s="28" t="n">
        <f aca="false">$V56*Y28+$W56*Y29+$X56*Y30+$Y56*Y31+$Z56*Y32+$AA56*Y33</f>
        <v>-525000</v>
      </c>
      <c r="Z38" s="28" t="n">
        <f aca="false">$V56*Z28+$W56*Z29+$X56*Z30+$Y56*Z31+$Z56*Z32+$AA56*Z33</f>
        <v>-2.00918615485113E-014</v>
      </c>
      <c r="AA38" s="28" t="n">
        <f aca="false">$V56*AA28+$W56*AA29+$X56*AA30+$Y56*AA31+$Z56*AA32+$AA56*AA33</f>
        <v>4.01837230970225E-011</v>
      </c>
    </row>
    <row r="39" customFormat="false" ht="12" hidden="false" customHeight="false" outlineLevel="0" collapsed="false">
      <c r="B39" s="28" t="n">
        <f aca="false">$B57*B$28+$C57*B$29+$D57*B$30+$E57*B$31+$F57*B$32+$G57*B$33</f>
        <v>-3.2146978477618E-011</v>
      </c>
      <c r="C39" s="28" t="n">
        <f aca="false">$B57*C$28+$C57*C$29+$D57*C$30+$E57*C$31+$F57*C$32+$G57*C$33</f>
        <v>328.125</v>
      </c>
      <c r="D39" s="28" t="n">
        <f aca="false">$B57*D$28+$C57*D$29+$D57*D$30+$E57*D$31+$F57*D$32+$G57*D$33</f>
        <v>656250</v>
      </c>
      <c r="E39" s="28" t="n">
        <f aca="false">$B57*E$28+$C57*E$29+$D57*E$30+$E57*E$31+$F57*E$32+$G57*E$33</f>
        <v>3.2146978477618E-011</v>
      </c>
      <c r="F39" s="28" t="n">
        <f aca="false">$B57*F$28+$C57*F$29+$D57*F$30+$E57*F$31+$F57*F$32+$G57*F$33</f>
        <v>-328.125</v>
      </c>
      <c r="G39" s="28" t="n">
        <f aca="false">$B57*G$28+$C57*G$29+$D57*G$30+$E57*G$31+$F57*G$32+$G57*G$33</f>
        <v>656250</v>
      </c>
      <c r="L39" s="28" t="n">
        <f aca="false">$L57*L$28+$M57*L$29+$N57*L$30+$O57*L$31+$P57*L$32+$Q57*L$33</f>
        <v>0</v>
      </c>
      <c r="M39" s="28" t="n">
        <f aca="false">$L57*M$28+$M57*M$29+$N57*M$30+$O57*M$31+$P57*M$32+$Q57*M$33</f>
        <v>2333333.33333333</v>
      </c>
      <c r="N39" s="28" t="n">
        <f aca="false">$L57*N$28+$M57*N$29+$N57*N$30+$O57*N$31+$P57*N$32+$Q57*N$33</f>
        <v>9333333333.33333</v>
      </c>
      <c r="O39" s="28" t="n">
        <f aca="false">$L57*O$28+$M57*O$29+$N57*O$30+$O57*O$31+$P57*O$32+$Q57*O$33</f>
        <v>0</v>
      </c>
      <c r="P39" s="28" t="n">
        <f aca="false">$L57*P$28+$M57*P$29+$N57*P$30+$O57*P$31+$P57*P$32+$Q57*P$33</f>
        <v>-2333333.33333333</v>
      </c>
      <c r="Q39" s="28" t="n">
        <f aca="false">$L57*Q$28+$M57*Q$29+$N57*Q$30+$O57*Q$31+$P57*Q$32+$Q57*Q$33</f>
        <v>4666666666.66667</v>
      </c>
      <c r="V39" s="28" t="n">
        <f aca="false">$V57*V28+$W57*V29+$X57*V30+$Y57*V31+$Z57*V32+$AA57*V33</f>
        <v>0</v>
      </c>
      <c r="W39" s="28" t="n">
        <f aca="false">$V57*W28+$W57*W29+$X57*W30+$Y57*W31+$Z57*W32+$AA57*W33</f>
        <v>656250</v>
      </c>
      <c r="X39" s="28" t="n">
        <f aca="false">$V57*X28+$W57*X29+$X57*X30+$Y57*X31+$Z57*X32+$AA57*X33</f>
        <v>1750000000</v>
      </c>
      <c r="Y39" s="28" t="n">
        <f aca="false">$V57*Y28+$W57*Y29+$X57*Y30+$Y57*Y31+$Z57*Y32+$AA57*Y33</f>
        <v>0</v>
      </c>
      <c r="Z39" s="28" t="n">
        <f aca="false">$V57*Z28+$W57*Z29+$X57*Z30+$Y57*Z31+$Z57*Z32+$AA57*Z33</f>
        <v>-656250</v>
      </c>
      <c r="AA39" s="28" t="n">
        <f aca="false">$V57*AA28+$W57*AA29+$X57*AA30+$Y57*AA31+$Z57*AA32+$AA57*AA33</f>
        <v>875000000</v>
      </c>
    </row>
    <row r="40" customFormat="false" ht="12" hidden="false" customHeight="false" outlineLevel="0" collapsed="false">
      <c r="B40" s="28" t="n">
        <f aca="false">$B58*B$28+$C58*B$29+$D58*B$30+$E58*B$31+$F58*B$32+$G58*B$33</f>
        <v>-525000</v>
      </c>
      <c r="C40" s="28" t="n">
        <f aca="false">$B58*C$28+$C58*C$29+$D58*C$30+$E58*C$31+$F58*C$32+$G58*C$33</f>
        <v>-2.00918615485113E-014</v>
      </c>
      <c r="D40" s="28" t="n">
        <f aca="false">$B58*D$28+$C58*D$29+$D58*D$30+$E58*D$31+$F58*D$32+$G58*D$33</f>
        <v>-4.01837230970225E-011</v>
      </c>
      <c r="E40" s="28" t="n">
        <f aca="false">$B58*E$28+$C58*E$29+$D58*E$30+$E58*E$31+$F58*E$32+$G58*E$33</f>
        <v>525000</v>
      </c>
      <c r="F40" s="28" t="n">
        <f aca="false">$B58*F$28+$C58*F$29+$D58*F$30+$E58*F$31+$F58*F$32+$G58*F$33</f>
        <v>2.00918615485113E-014</v>
      </c>
      <c r="G40" s="28" t="n">
        <f aca="false">$B58*G$28+$C58*G$29+$D58*G$30+$E58*G$31+$F58*G$32+$G58*G$33</f>
        <v>-4.01837230970225E-011</v>
      </c>
      <c r="L40" s="28" t="n">
        <f aca="false">$L58*L$28+$M58*L$29+$N58*L$30+$O58*L$31+$P58*L$32+$Q58*L$33</f>
        <v>-700000</v>
      </c>
      <c r="M40" s="28" t="n">
        <f aca="false">$L58*M$28+$M58*M$29+$N58*M$30+$O58*M$31+$P58*M$32+$Q58*M$33</f>
        <v>0</v>
      </c>
      <c r="N40" s="28" t="n">
        <f aca="false">$L58*N$28+$M58*N$29+$N58*N$30+$O58*N$31+$P58*N$32+$Q58*N$33</f>
        <v>0</v>
      </c>
      <c r="O40" s="28" t="n">
        <f aca="false">$L58*O$28+$M58*O$29+$N58*O$30+$O58*O$31+$P58*O$32+$Q58*O$33</f>
        <v>700000</v>
      </c>
      <c r="P40" s="28" t="n">
        <f aca="false">$L58*P$28+$M58*P$29+$N58*P$30+$O58*P$31+$P58*P$32+$Q58*P$33</f>
        <v>0</v>
      </c>
      <c r="Q40" s="28" t="n">
        <f aca="false">$L58*Q$28+$M58*Q$29+$N58*Q$30+$O58*Q$31+$P58*Q$32+$Q58*Q$33</f>
        <v>0</v>
      </c>
      <c r="S40" s="2"/>
      <c r="V40" s="28" t="n">
        <f aca="false">$V58*B$28+$W58*B$29+$X58*B$30+$Y58*B$31+$Z58*B$32+$AA58*B$33</f>
        <v>-3.2146978477618E-011</v>
      </c>
      <c r="W40" s="28" t="n">
        <f aca="false">$V58*C$28+$W58*C$29+$X58*C$30+$Y58*C$31+$Z58*C$32+$AA58*C$33</f>
        <v>328.125</v>
      </c>
      <c r="X40" s="28" t="n">
        <f aca="false">$V58*D$28+$W58*D$29+$X58*D$30+$Y58*D$31+$Z58*D$32+$AA58*D$33</f>
        <v>656250</v>
      </c>
      <c r="Y40" s="28" t="n">
        <f aca="false">$V58*E$28+$W58*E$29+$X58*E$30+$Y58*E$31+$Z58*E$32+$AA58*E$33</f>
        <v>3.2146978477618E-011</v>
      </c>
      <c r="Z40" s="28" t="n">
        <f aca="false">$V58*F$28+$W58*F$29+$X58*F$30+$Y58*F$31+$Z58*F$32+$AA58*F$33</f>
        <v>-328.125</v>
      </c>
      <c r="AA40" s="28" t="n">
        <f aca="false">$V58*G$28+$W58*G$29+$X58*G$30+$Y58*G$31+$Z58*G$32+$AA58*G$33</f>
        <v>656250</v>
      </c>
    </row>
    <row r="41" customFormat="false" ht="12" hidden="false" customHeight="false" outlineLevel="0" collapsed="false">
      <c r="B41" s="28" t="n">
        <f aca="false">$B59*B$28+$C59*B$29+$D59*B$30+$E59*B$31+$F59*B$32+$G59*B$33</f>
        <v>0</v>
      </c>
      <c r="C41" s="28" t="n">
        <f aca="false">$B59*C$28+$C59*C$29+$D59*C$30+$E59*C$31+$F59*C$32+$G59*C$33</f>
        <v>656250</v>
      </c>
      <c r="D41" s="28" t="n">
        <f aca="false">$B59*D$28+$C59*D$29+$D59*D$30+$E59*D$31+$F59*D$32+$G59*D$33</f>
        <v>875000000</v>
      </c>
      <c r="E41" s="28" t="n">
        <f aca="false">$B59*E$28+$C59*E$29+$D59*E$30+$E59*E$31+$F59*E$32+$G59*E$33</f>
        <v>0</v>
      </c>
      <c r="F41" s="28" t="n">
        <f aca="false">$B59*F$28+$C59*F$29+$D59*F$30+$E59*F$31+$F59*F$32+$G59*F$33</f>
        <v>-656250</v>
      </c>
      <c r="G41" s="28" t="n">
        <f aca="false">$B59*G$28+$C59*G$29+$D59*G$30+$E59*G$31+$F59*G$32+$G59*G$33</f>
        <v>1750000000</v>
      </c>
      <c r="L41" s="28" t="n">
        <f aca="false">$L59*L$28+$M59*L$29+$N59*L$30+$O59*L$31+$P59*L$32+$Q59*L$33</f>
        <v>0</v>
      </c>
      <c r="M41" s="28" t="n">
        <f aca="false">$L59*M$28+$M59*M$29+$N59*M$30+$O59*M$31+$P59*M$32+$Q59*M$33</f>
        <v>-777.777777777778</v>
      </c>
      <c r="N41" s="28" t="n">
        <f aca="false">$L59*N$28+$M59*N$29+$N59*N$30+$O59*N$31+$P59*N$32+$Q59*N$33</f>
        <v>-2333333.33333333</v>
      </c>
      <c r="O41" s="28" t="n">
        <f aca="false">$L59*O$28+$M59*O$29+$N59*O$30+$O59*O$31+$P59*O$32+$Q59*O$33</f>
        <v>0</v>
      </c>
      <c r="P41" s="28" t="n">
        <f aca="false">$L59*P$28+$M59*P$29+$N59*P$30+$O59*P$31+$P59*P$32+$Q59*P$33</f>
        <v>777.777777777778</v>
      </c>
      <c r="Q41" s="28" t="n">
        <f aca="false">$L59*Q$28+$M59*Q$29+$N59*Q$30+$O59*Q$31+$P59*Q$32+$Q59*Q$33</f>
        <v>-2333333.33333333</v>
      </c>
      <c r="V41" s="28" t="n">
        <f aca="false">$V59*B$28+$W59*B$29+$X59*B$30+$Y59*B$31+$Z59*B$32+$AA59*B$33</f>
        <v>-525000</v>
      </c>
      <c r="W41" s="28" t="n">
        <f aca="false">$V59*C$28+$W59*C$29+$X59*C$30+$Y59*C$31+$Z59*C$32+$AA59*C$33</f>
        <v>-2.00918615485113E-014</v>
      </c>
      <c r="X41" s="28" t="n">
        <f aca="false">$V59*D$28+$W59*D$29+$X59*D$30+$Y59*D$31+$Z59*D$32+$AA59*D$33</f>
        <v>-4.01837230970225E-011</v>
      </c>
      <c r="Y41" s="28" t="n">
        <f aca="false">$V59*E$28+$W59*E$29+$X59*E$30+$Y59*E$31+$Z59*E$32+$AA59*E$33</f>
        <v>525000</v>
      </c>
      <c r="Z41" s="28" t="n">
        <f aca="false">$V59*F$28+$W59*F$29+$X59*F$30+$Y59*F$31+$Z59*F$32+$AA59*F$33</f>
        <v>2.00918615485113E-014</v>
      </c>
      <c r="AA41" s="28" t="n">
        <f aca="false">$V59*G$28+$W59*G$29+$X59*G$30+$Y59*G$31+$Z59*G$32+$AA59*G$33</f>
        <v>-4.01837230970225E-011</v>
      </c>
      <c r="AJ41" s="2" t="s">
        <v>36</v>
      </c>
      <c r="AS41" s="7"/>
      <c r="AT41" s="7"/>
      <c r="AU41" s="7"/>
      <c r="AV41" s="7"/>
    </row>
    <row r="42" customFormat="false" ht="12" hidden="false" customHeight="false" outlineLevel="0" collapsed="false">
      <c r="L42" s="28" t="n">
        <f aca="false">$L60*L$28+$M60*L$29+$N60*L$30+$O60*L$31+$P60*L$32+$Q60*L$33</f>
        <v>0</v>
      </c>
      <c r="M42" s="28" t="n">
        <f aca="false">$L60*M$28+$M60*M$29+$N60*M$30+$O60*M$31+$P60*M$32+$Q60*M$33</f>
        <v>2333333.33333333</v>
      </c>
      <c r="N42" s="28" t="n">
        <f aca="false">$L60*N$28+$M60*N$29+$N60*N$30+$O60*N$31+$P60*N$32+$Q60*N$33</f>
        <v>4666666666.66667</v>
      </c>
      <c r="O42" s="28" t="n">
        <f aca="false">$L60*O$28+$M60*O$29+$N60*O$30+$O60*O$31+$P60*O$32+$Q60*O$33</f>
        <v>0</v>
      </c>
      <c r="P42" s="28" t="n">
        <f aca="false">$L60*P$28+$M60*P$29+$N60*P$30+$O60*P$31+$P60*P$32+$Q60*P$33</f>
        <v>-2333333.33333333</v>
      </c>
      <c r="Q42" s="28" t="n">
        <f aca="false">$L60*Q$28+$M60*Q$29+$N60*Q$30+$O60*Q$31+$P60*Q$32+$Q60*Q$33</f>
        <v>9333333333.33333</v>
      </c>
      <c r="V42" s="28" t="n">
        <f aca="false">$V60*B$28+$W60*B$29+$X60*B$30+$Y60*B$31+$Z60*B$32+$AA60*B$33</f>
        <v>0</v>
      </c>
      <c r="W42" s="28" t="n">
        <f aca="false">$V60*C$28+$W60*C$29+$X60*C$30+$Y60*C$31+$Z60*C$32+$AA60*C$33</f>
        <v>656250</v>
      </c>
      <c r="X42" s="28" t="n">
        <f aca="false">$V60*D$28+$W60*D$29+$X60*D$30+$Y60*D$31+$Z60*D$32+$AA60*D$33</f>
        <v>875000000</v>
      </c>
      <c r="Y42" s="28" t="n">
        <f aca="false">$V60*E$28+$W60*E$29+$X60*E$30+$Y60*E$31+$Z60*E$32+$AA60*E$33</f>
        <v>0</v>
      </c>
      <c r="Z42" s="28" t="n">
        <f aca="false">$V60*F$28+$W60*F$29+$X60*F$30+$Y60*F$31+$Z60*F$32+$AA60*F$33</f>
        <v>-656250</v>
      </c>
      <c r="AA42" s="28" t="n">
        <f aca="false">$V60*G$28+$W60*G$29+$X60*G$30+$Y60*G$31+$Z60*G$32+$AA60*G$33</f>
        <v>1750000000</v>
      </c>
      <c r="AJ42" s="10"/>
      <c r="AK42" s="11" t="n">
        <v>1</v>
      </c>
      <c r="AL42" s="11" t="n">
        <v>2</v>
      </c>
      <c r="AM42" s="11" t="n">
        <v>3</v>
      </c>
      <c r="AN42" s="11" t="n">
        <v>4</v>
      </c>
      <c r="AO42" s="11" t="n">
        <v>5</v>
      </c>
      <c r="AP42" s="11" t="n">
        <v>6</v>
      </c>
      <c r="AQ42" s="11" t="n">
        <v>7</v>
      </c>
      <c r="AR42" s="11" t="n">
        <v>8</v>
      </c>
      <c r="AS42" s="11" t="n">
        <v>9</v>
      </c>
      <c r="AT42" s="11" t="n">
        <v>10</v>
      </c>
      <c r="AU42" s="11" t="n">
        <v>11</v>
      </c>
      <c r="AV42" s="11" t="n">
        <v>12</v>
      </c>
      <c r="AW42" s="7" t="s">
        <v>37</v>
      </c>
      <c r="AX42" s="10" t="s">
        <v>38</v>
      </c>
      <c r="AY42" s="7" t="s">
        <v>39</v>
      </c>
      <c r="AZ42" s="10" t="s">
        <v>10</v>
      </c>
      <c r="BB42" s="10" t="s">
        <v>38</v>
      </c>
      <c r="BC42" s="34"/>
      <c r="BD42" s="34" t="s">
        <v>40</v>
      </c>
    </row>
    <row r="43" customFormat="false" ht="12" hidden="false" customHeight="false" outlineLevel="0" collapsed="false">
      <c r="H43" s="35"/>
      <c r="AE43" s="2"/>
      <c r="AJ43" s="11" t="n">
        <v>1</v>
      </c>
      <c r="AK43" s="12" t="n">
        <f aca="false">AK6+BA6+AK22</f>
        <v>328.125</v>
      </c>
      <c r="AL43" s="12" t="n">
        <f aca="false">AL6+BB6+AL22</f>
        <v>3.21268866160695E-011</v>
      </c>
      <c r="AM43" s="12" t="n">
        <f aca="false">AM6+BC6+AM22</f>
        <v>-656250</v>
      </c>
      <c r="AN43" s="12" t="n">
        <f aca="false">AN6+BD6+AN22</f>
        <v>-328.125</v>
      </c>
      <c r="AO43" s="12" t="n">
        <f aca="false">AO6+BE6+AO22</f>
        <v>-3.21268866160695E-011</v>
      </c>
      <c r="AP43" s="12" t="n">
        <f aca="false">AP6+BF6+AP22</f>
        <v>-656250</v>
      </c>
      <c r="AQ43" s="21" t="n">
        <f aca="false">AQ6+BG6+AQ22</f>
        <v>0</v>
      </c>
      <c r="AR43" s="21" t="n">
        <f aca="false">AR6+BH6+AR22</f>
        <v>0</v>
      </c>
      <c r="AS43" s="21" t="n">
        <f aca="false">AS6+BI6+AS22</f>
        <v>0</v>
      </c>
      <c r="AT43" s="21" t="n">
        <f aca="false">AT6+BJ6+AT22</f>
        <v>0</v>
      </c>
      <c r="AU43" s="21" t="n">
        <f aca="false">AU6+BK6+AU22</f>
        <v>0</v>
      </c>
      <c r="AV43" s="21" t="n">
        <f aca="false">AV6+BL6+AV22</f>
        <v>0</v>
      </c>
      <c r="AX43" s="7" t="n">
        <v>0</v>
      </c>
      <c r="AZ43" s="13" t="n">
        <f aca="false">AX6+BN6+AX22</f>
        <v>20000</v>
      </c>
      <c r="BA43" s="1" t="s">
        <v>41</v>
      </c>
      <c r="BB43" s="36" t="n">
        <f aca="false" t="array" ref="BB43:BB44">AX43:AX44</f>
        <v>0</v>
      </c>
      <c r="BC43" s="7"/>
      <c r="BD43" s="7" t="n">
        <f aca="false" t="array" ref="BD43:BD54">MMULT(AK43:AV54,BB43:BB54)-AZ43:AZ54</f>
        <v>-20427.7243418746</v>
      </c>
    </row>
    <row r="44" customFormat="false" ht="12" hidden="false" customHeight="false" outlineLevel="0" collapsed="false">
      <c r="B44" s="2" t="s">
        <v>42</v>
      </c>
      <c r="AE44" s="2"/>
      <c r="AJ44" s="11" t="n">
        <v>2</v>
      </c>
      <c r="AK44" s="12" t="n">
        <f aca="false">AK7+BA7+AK23</f>
        <v>3.21268866160695E-011</v>
      </c>
      <c r="AL44" s="12" t="n">
        <f aca="false">AL7+BB7+AL23</f>
        <v>525000</v>
      </c>
      <c r="AM44" s="12" t="n">
        <f aca="false">AM7+BC7+AM23</f>
        <v>4.01837230970225E-011</v>
      </c>
      <c r="AN44" s="12" t="n">
        <f aca="false">AN7+BD7+AN23</f>
        <v>-3.21268866160695E-011</v>
      </c>
      <c r="AO44" s="12" t="n">
        <f aca="false">AO7+BE7+AO23</f>
        <v>-525000</v>
      </c>
      <c r="AP44" s="12" t="n">
        <f aca="false">AP7+BF7+AP23</f>
        <v>4.01837230970225E-011</v>
      </c>
      <c r="AQ44" s="21" t="n">
        <f aca="false">AQ7+BG7+AQ23</f>
        <v>0</v>
      </c>
      <c r="AR44" s="21" t="n">
        <f aca="false">AR7+BH7+AR23</f>
        <v>0</v>
      </c>
      <c r="AS44" s="21" t="n">
        <f aca="false">AS7+BI7+AS23</f>
        <v>0</v>
      </c>
      <c r="AT44" s="21" t="n">
        <f aca="false">AT7+BJ7+AT23</f>
        <v>0</v>
      </c>
      <c r="AU44" s="21" t="n">
        <f aca="false">AU7+BK7+AU23</f>
        <v>0</v>
      </c>
      <c r="AV44" s="21" t="n">
        <f aca="false">AV7+BL7+AV23</f>
        <v>0</v>
      </c>
      <c r="AX44" s="7" t="n">
        <v>0</v>
      </c>
      <c r="AZ44" s="13" t="n">
        <f aca="false">AX7+BN7+AX23</f>
        <v>-1.22464679914735E-012</v>
      </c>
      <c r="BA44" s="1" t="s">
        <v>43</v>
      </c>
      <c r="BB44" s="36" t="n">
        <v>0</v>
      </c>
      <c r="BC44" s="37"/>
      <c r="BD44" s="20" t="n">
        <v>23333.3333333307</v>
      </c>
    </row>
    <row r="45" customFormat="false" ht="12" hidden="false" customHeight="false" outlineLevel="0" collapsed="false">
      <c r="B45" s="38" t="n">
        <f aca="false">$C$5</f>
        <v>6.12323399573677E-017</v>
      </c>
      <c r="C45" s="38" t="n">
        <f aca="false">$E$5</f>
        <v>1</v>
      </c>
      <c r="D45" s="38" t="n">
        <v>0</v>
      </c>
      <c r="E45" s="38" t="n">
        <v>0</v>
      </c>
      <c r="F45" s="38" t="n">
        <v>0</v>
      </c>
      <c r="G45" s="38" t="n">
        <v>0</v>
      </c>
      <c r="L45" s="2" t="s">
        <v>42</v>
      </c>
      <c r="V45" s="2" t="s">
        <v>42</v>
      </c>
      <c r="AE45" s="32"/>
      <c r="AJ45" s="11" t="n">
        <v>3</v>
      </c>
      <c r="AK45" s="12" t="n">
        <f aca="false">AK8+BA8+AK24</f>
        <v>-656250</v>
      </c>
      <c r="AL45" s="12" t="n">
        <f aca="false">AL8+BB8+AL24</f>
        <v>4.01837230970225E-011</v>
      </c>
      <c r="AM45" s="12" t="n">
        <f aca="false">AM8+BC8+AM24</f>
        <v>1750000000</v>
      </c>
      <c r="AN45" s="12" t="n">
        <f aca="false">AN8+BD8+AN24</f>
        <v>656250</v>
      </c>
      <c r="AO45" s="12" t="n">
        <f aca="false">AO8+BE8+AO24</f>
        <v>-4.01837230970225E-011</v>
      </c>
      <c r="AP45" s="12" t="n">
        <f aca="false">AP8+BF8+AP24</f>
        <v>875000000</v>
      </c>
      <c r="AQ45" s="21" t="n">
        <f aca="false">AQ8+BG8+AQ24</f>
        <v>0</v>
      </c>
      <c r="AR45" s="21" t="n">
        <f aca="false">AR8+BH8+AR24</f>
        <v>0</v>
      </c>
      <c r="AS45" s="21" t="n">
        <f aca="false">AS8+BI8+AS24</f>
        <v>0</v>
      </c>
      <c r="AT45" s="21" t="n">
        <f aca="false">AT8+BJ8+AT24</f>
        <v>0</v>
      </c>
      <c r="AU45" s="21" t="n">
        <f aca="false">AU8+BK8+AU24</f>
        <v>0</v>
      </c>
      <c r="AV45" s="21" t="n">
        <f aca="false">AV8+BL8+AV24</f>
        <v>0</v>
      </c>
      <c r="AX45" s="7" t="s">
        <v>44</v>
      </c>
      <c r="AZ45" s="13" t="n">
        <f aca="false">AX8+BN8+AX24</f>
        <v>-13333333.3333333</v>
      </c>
      <c r="BB45" s="36" t="n">
        <f aca="false" t="array" ref="BB45:BB48">AV71:AV74</f>
        <v>-0.0363737839934569</v>
      </c>
      <c r="BC45" s="37"/>
      <c r="BD45" s="20" t="n">
        <v>0</v>
      </c>
    </row>
    <row r="46" customFormat="false" ht="12" hidden="false" customHeight="false" outlineLevel="0" collapsed="false">
      <c r="B46" s="38" t="n">
        <f aca="false">-$E$5</f>
        <v>-1</v>
      </c>
      <c r="C46" s="38" t="n">
        <f aca="false">$C$5</f>
        <v>6.12323399573677E-017</v>
      </c>
      <c r="D46" s="38" t="n">
        <v>0</v>
      </c>
      <c r="E46" s="38" t="n">
        <v>0</v>
      </c>
      <c r="F46" s="38" t="n">
        <v>0</v>
      </c>
      <c r="G46" s="38" t="n">
        <v>0</v>
      </c>
      <c r="L46" s="38" t="n">
        <f aca="false">$M$5</f>
        <v>1</v>
      </c>
      <c r="M46" s="38" t="n">
        <f aca="false">$O$5</f>
        <v>0</v>
      </c>
      <c r="N46" s="38" t="n">
        <v>0</v>
      </c>
      <c r="O46" s="38" t="n">
        <v>0</v>
      </c>
      <c r="P46" s="38" t="n">
        <v>0</v>
      </c>
      <c r="Q46" s="38" t="n">
        <v>0</v>
      </c>
      <c r="V46" s="38" t="n">
        <f aca="false">$C$5</f>
        <v>6.12323399573677E-017</v>
      </c>
      <c r="W46" s="38" t="n">
        <f aca="false">$E$5</f>
        <v>1</v>
      </c>
      <c r="X46" s="38" t="n">
        <v>0</v>
      </c>
      <c r="Y46" s="38" t="n">
        <v>0</v>
      </c>
      <c r="Z46" s="38" t="n">
        <v>0</v>
      </c>
      <c r="AA46" s="38" t="n">
        <v>0</v>
      </c>
      <c r="AE46" s="33"/>
      <c r="AJ46" s="11" t="n">
        <v>4</v>
      </c>
      <c r="AK46" s="12" t="n">
        <f aca="false">AK9+BA9+AK25</f>
        <v>-328.125</v>
      </c>
      <c r="AL46" s="12" t="n">
        <f aca="false">AL9+BB9+AL25</f>
        <v>-3.21268866160695E-011</v>
      </c>
      <c r="AM46" s="12" t="n">
        <f aca="false">AM9+BC9+AM25</f>
        <v>656250</v>
      </c>
      <c r="AN46" s="39" t="n">
        <f aca="false">AN9+BD9+AN25</f>
        <v>700328.125</v>
      </c>
      <c r="AO46" s="39" t="n">
        <f aca="false">AO9+BE9+AO25</f>
        <v>3.21268866160695E-011</v>
      </c>
      <c r="AP46" s="39" t="n">
        <f aca="false">AP9+BF9+AP25</f>
        <v>656250</v>
      </c>
      <c r="AQ46" s="17" t="n">
        <f aca="false">AQ9+BG9+AQ25</f>
        <v>0</v>
      </c>
      <c r="AR46" s="21" t="n">
        <f aca="false">AR9+BH9+AR25</f>
        <v>0</v>
      </c>
      <c r="AS46" s="21" t="n">
        <f aca="false">AS9+BI9+AS25</f>
        <v>0</v>
      </c>
      <c r="AT46" s="24" t="n">
        <f aca="false">AT9+BJ9+AT25</f>
        <v>-700000</v>
      </c>
      <c r="AU46" s="16" t="n">
        <f aca="false">AU9+BK9+AU25</f>
        <v>0</v>
      </c>
      <c r="AV46" s="16" t="n">
        <f aca="false">AV9+BL9+AV25</f>
        <v>0</v>
      </c>
      <c r="AX46" s="7" t="s">
        <v>45</v>
      </c>
      <c r="AZ46" s="13" t="n">
        <f aca="false">AX9+BN9+AX25</f>
        <v>20000</v>
      </c>
      <c r="BB46" s="36" t="n">
        <v>81.9356733185918</v>
      </c>
      <c r="BC46" s="37"/>
      <c r="BD46" s="20" t="n">
        <v>4.80940798297524E-009</v>
      </c>
      <c r="CE46" s="2"/>
    </row>
    <row r="47" customFormat="false" ht="12" hidden="false" customHeight="false" outlineLevel="0" collapsed="false">
      <c r="B47" s="38" t="n">
        <v>0</v>
      </c>
      <c r="C47" s="38" t="n">
        <v>0</v>
      </c>
      <c r="D47" s="38" t="n">
        <v>1</v>
      </c>
      <c r="E47" s="38" t="n">
        <v>0</v>
      </c>
      <c r="F47" s="38" t="n">
        <v>0</v>
      </c>
      <c r="G47" s="38" t="n">
        <v>0</v>
      </c>
      <c r="L47" s="38" t="n">
        <f aca="false">-$O$5</f>
        <v>-0</v>
      </c>
      <c r="M47" s="38" t="n">
        <f aca="false">$M$5</f>
        <v>1</v>
      </c>
      <c r="N47" s="38" t="n">
        <v>0</v>
      </c>
      <c r="O47" s="38" t="n">
        <v>0</v>
      </c>
      <c r="P47" s="38" t="n">
        <v>0</v>
      </c>
      <c r="Q47" s="38" t="n">
        <v>0</v>
      </c>
      <c r="V47" s="38" t="n">
        <f aca="false">-$E$5</f>
        <v>-1</v>
      </c>
      <c r="W47" s="38" t="n">
        <f aca="false">$C$5</f>
        <v>6.12323399573677E-017</v>
      </c>
      <c r="X47" s="38" t="n">
        <v>0</v>
      </c>
      <c r="Y47" s="38" t="n">
        <v>0</v>
      </c>
      <c r="Z47" s="38" t="n">
        <v>0</v>
      </c>
      <c r="AA47" s="38" t="n">
        <v>0</v>
      </c>
      <c r="AE47" s="32"/>
      <c r="AJ47" s="11" t="n">
        <v>5</v>
      </c>
      <c r="AK47" s="12" t="n">
        <f aca="false">AK10+BA10+AK26</f>
        <v>-3.21268866160695E-011</v>
      </c>
      <c r="AL47" s="12" t="n">
        <f aca="false">AL10+BB10+AL26</f>
        <v>-525000</v>
      </c>
      <c r="AM47" s="12" t="n">
        <f aca="false">AM10+BC10+AM26</f>
        <v>-4.01837230970225E-011</v>
      </c>
      <c r="AN47" s="39" t="n">
        <f aca="false">AN10+BD10+AN26</f>
        <v>3.21268866160695E-011</v>
      </c>
      <c r="AO47" s="39" t="n">
        <f aca="false">AO10+BE10+AO26</f>
        <v>525777.777777778</v>
      </c>
      <c r="AP47" s="39" t="n">
        <f aca="false">AP10+BF10+AP26</f>
        <v>2333333.33333333</v>
      </c>
      <c r="AQ47" s="17" t="n">
        <f aca="false">AQ10+BG10+AQ26</f>
        <v>0</v>
      </c>
      <c r="AR47" s="21" t="n">
        <f aca="false">AR10+BH10+AR26</f>
        <v>0</v>
      </c>
      <c r="AS47" s="21" t="n">
        <f aca="false">AS10+BI10+AS26</f>
        <v>0</v>
      </c>
      <c r="AT47" s="24" t="n">
        <f aca="false">AT10+BJ10+AT26</f>
        <v>0</v>
      </c>
      <c r="AU47" s="16" t="n">
        <f aca="false">AU10+BK10+AU26</f>
        <v>-777.777777777778</v>
      </c>
      <c r="AV47" s="16" t="n">
        <f aca="false">AV10+BL10+AV26</f>
        <v>2333333.33333333</v>
      </c>
      <c r="AX47" s="7" t="s">
        <v>46</v>
      </c>
      <c r="AZ47" s="13" t="n">
        <f aca="false">AX10+BN10+AX26</f>
        <v>-30000</v>
      </c>
      <c r="BB47" s="36" t="n">
        <v>-0.0444444444444445</v>
      </c>
      <c r="BC47" s="34"/>
      <c r="BD47" s="34" t="n">
        <v>2.63025867752731E-009</v>
      </c>
      <c r="BS47" s="13"/>
      <c r="CE47" s="2"/>
    </row>
    <row r="48" customFormat="false" ht="12" hidden="false" customHeight="false" outlineLevel="0" collapsed="false">
      <c r="B48" s="38" t="n">
        <v>0</v>
      </c>
      <c r="C48" s="38" t="n">
        <v>0</v>
      </c>
      <c r="D48" s="38" t="n">
        <v>0</v>
      </c>
      <c r="E48" s="38" t="n">
        <f aca="false">$C$5</f>
        <v>6.12323399573677E-017</v>
      </c>
      <c r="F48" s="38" t="n">
        <f aca="false">$E$5</f>
        <v>1</v>
      </c>
      <c r="G48" s="38" t="n">
        <v>0</v>
      </c>
      <c r="L48" s="38" t="n">
        <v>0</v>
      </c>
      <c r="M48" s="38" t="n">
        <v>0</v>
      </c>
      <c r="N48" s="38" t="n">
        <v>1</v>
      </c>
      <c r="O48" s="38" t="n">
        <v>0</v>
      </c>
      <c r="P48" s="38" t="n">
        <v>0</v>
      </c>
      <c r="Q48" s="38" t="n">
        <v>0</v>
      </c>
      <c r="V48" s="38" t="n">
        <v>0</v>
      </c>
      <c r="W48" s="38" t="n">
        <v>0</v>
      </c>
      <c r="X48" s="38" t="n">
        <v>1</v>
      </c>
      <c r="Y48" s="38" t="n">
        <v>0</v>
      </c>
      <c r="Z48" s="38" t="n">
        <v>0</v>
      </c>
      <c r="AA48" s="38" t="n">
        <v>0</v>
      </c>
      <c r="AE48" s="32"/>
      <c r="AJ48" s="11" t="n">
        <v>6</v>
      </c>
      <c r="AK48" s="12" t="n">
        <f aca="false">AK11+BA11+AK27</f>
        <v>-656250</v>
      </c>
      <c r="AL48" s="12" t="n">
        <f aca="false">AL11+BB11+AL27</f>
        <v>4.01837230970225E-011</v>
      </c>
      <c r="AM48" s="12" t="n">
        <f aca="false">AM11+BC11+AM27</f>
        <v>875000000</v>
      </c>
      <c r="AN48" s="39" t="n">
        <f aca="false">AN11+BD11+AN27</f>
        <v>656250</v>
      </c>
      <c r="AO48" s="39" t="n">
        <f aca="false">AO11+BE11+AO27</f>
        <v>2333333.33333333</v>
      </c>
      <c r="AP48" s="39" t="n">
        <f aca="false">AP11+BF11+AP27</f>
        <v>11083333333.3333</v>
      </c>
      <c r="AQ48" s="21" t="n">
        <f aca="false">AQ11+BG11+AQ27</f>
        <v>0</v>
      </c>
      <c r="AR48" s="21" t="n">
        <f aca="false">AR11+BH11+AR27</f>
        <v>0</v>
      </c>
      <c r="AS48" s="21" t="n">
        <f aca="false">AS11+BI11+AS27</f>
        <v>0</v>
      </c>
      <c r="AT48" s="24" t="n">
        <f aca="false">AT11+BJ11+AT27</f>
        <v>0</v>
      </c>
      <c r="AU48" s="24" t="n">
        <f aca="false">AU11+BK11+AU27</f>
        <v>-2333333.33333333</v>
      </c>
      <c r="AV48" s="24" t="n">
        <f aca="false">AV11+BL11+AV27</f>
        <v>4666666666.66667</v>
      </c>
      <c r="AX48" s="7" t="s">
        <v>47</v>
      </c>
      <c r="AZ48" s="13" t="n">
        <f aca="false">AX11+BN11+AX27</f>
        <v>-16666666.6666667</v>
      </c>
      <c r="BB48" s="40" t="n">
        <v>-0.00394228224012533</v>
      </c>
      <c r="BC48" s="37"/>
      <c r="BD48" s="20" t="n">
        <v>0</v>
      </c>
    </row>
    <row r="49" customFormat="false" ht="12" hidden="false" customHeight="false" outlineLevel="0" collapsed="false">
      <c r="B49" s="38" t="n">
        <v>0</v>
      </c>
      <c r="C49" s="38" t="n">
        <v>0</v>
      </c>
      <c r="D49" s="38" t="n">
        <v>0</v>
      </c>
      <c r="E49" s="38" t="n">
        <f aca="false">-$E$5</f>
        <v>-1</v>
      </c>
      <c r="F49" s="38" t="n">
        <f aca="false">$C$5</f>
        <v>6.12323399573677E-017</v>
      </c>
      <c r="G49" s="38" t="n">
        <v>0</v>
      </c>
      <c r="L49" s="38" t="n">
        <v>0</v>
      </c>
      <c r="M49" s="38" t="n">
        <v>0</v>
      </c>
      <c r="N49" s="38" t="n">
        <v>0</v>
      </c>
      <c r="O49" s="38" t="n">
        <f aca="false">$M$5</f>
        <v>1</v>
      </c>
      <c r="P49" s="38" t="n">
        <f aca="false">$O$5</f>
        <v>0</v>
      </c>
      <c r="Q49" s="38" t="n">
        <v>0</v>
      </c>
      <c r="V49" s="38" t="n">
        <v>0</v>
      </c>
      <c r="W49" s="38" t="n">
        <v>0</v>
      </c>
      <c r="X49" s="38" t="n">
        <v>0</v>
      </c>
      <c r="Y49" s="38" t="n">
        <f aca="false">$C$5</f>
        <v>6.12323399573677E-017</v>
      </c>
      <c r="Z49" s="38" t="n">
        <f aca="false">$E$5</f>
        <v>1</v>
      </c>
      <c r="AA49" s="38" t="n">
        <v>0</v>
      </c>
      <c r="AE49" s="33"/>
      <c r="AH49" s="2"/>
      <c r="AI49" s="2"/>
      <c r="AJ49" s="11" t="n">
        <v>7</v>
      </c>
      <c r="AK49" s="21" t="n">
        <f aca="false">AK12+BA12+AK28</f>
        <v>0</v>
      </c>
      <c r="AL49" s="21" t="n">
        <f aca="false">AL12+BB12+AL28</f>
        <v>0</v>
      </c>
      <c r="AM49" s="21" t="n">
        <f aca="false">AM12+BC12+AM28</f>
        <v>0</v>
      </c>
      <c r="AN49" s="17" t="n">
        <f aca="false">AN12+BD12+AN28</f>
        <v>0</v>
      </c>
      <c r="AO49" s="17" t="n">
        <f aca="false">AO12+BE12+AO28</f>
        <v>0</v>
      </c>
      <c r="AP49" s="21" t="n">
        <f aca="false">AP12+BF12+AP28</f>
        <v>0</v>
      </c>
      <c r="AQ49" s="31" t="n">
        <f aca="false">AQ12+BG12+AQ28</f>
        <v>328.125</v>
      </c>
      <c r="AR49" s="26" t="n">
        <f aca="false">AR12+BH12+AR28</f>
        <v>3.21268866160695E-011</v>
      </c>
      <c r="AS49" s="26" t="n">
        <f aca="false">AS12+BI12+AS28</f>
        <v>-656250</v>
      </c>
      <c r="AT49" s="26" t="n">
        <f aca="false">AT12+BJ12+AT28</f>
        <v>-328.125</v>
      </c>
      <c r="AU49" s="31" t="n">
        <f aca="false">AU12+BK12+AU28</f>
        <v>-3.21268866160695E-011</v>
      </c>
      <c r="AV49" s="31" t="n">
        <f aca="false">AV12+BL12+AV28</f>
        <v>-656250</v>
      </c>
      <c r="AX49" s="7" t="n">
        <v>0</v>
      </c>
      <c r="AZ49" s="13" t="n">
        <f aca="false">AX12+BN12+AX28</f>
        <v>-10000</v>
      </c>
      <c r="BA49" s="1" t="s">
        <v>48</v>
      </c>
      <c r="BB49" s="36" t="n">
        <f aca="false" t="array" ref="BB49:BB50">AX49:AX50</f>
        <v>0</v>
      </c>
      <c r="BC49" s="37"/>
      <c r="BD49" s="20" t="n">
        <v>427.724341874609</v>
      </c>
      <c r="CW49" s="2"/>
    </row>
    <row r="50" customFormat="false" ht="12" hidden="false" customHeight="false" outlineLevel="0" collapsed="false">
      <c r="B50" s="38" t="n">
        <v>0</v>
      </c>
      <c r="C50" s="38" t="n">
        <v>0</v>
      </c>
      <c r="D50" s="38" t="n">
        <v>0</v>
      </c>
      <c r="E50" s="38" t="n">
        <v>0</v>
      </c>
      <c r="F50" s="38" t="n">
        <v>0</v>
      </c>
      <c r="G50" s="38" t="n">
        <f aca="false">D47</f>
        <v>1</v>
      </c>
      <c r="L50" s="38" t="n">
        <v>0</v>
      </c>
      <c r="M50" s="38" t="n">
        <v>0</v>
      </c>
      <c r="N50" s="38" t="n">
        <v>0</v>
      </c>
      <c r="O50" s="38" t="n">
        <f aca="false">-$O$5</f>
        <v>-0</v>
      </c>
      <c r="P50" s="38" t="n">
        <f aca="false">$M$5</f>
        <v>1</v>
      </c>
      <c r="Q50" s="38" t="n">
        <v>0</v>
      </c>
      <c r="V50" s="38" t="n">
        <v>0</v>
      </c>
      <c r="W50" s="38" t="n">
        <v>0</v>
      </c>
      <c r="X50" s="38" t="n">
        <v>0</v>
      </c>
      <c r="Y50" s="38" t="n">
        <f aca="false">-$E$5</f>
        <v>-1</v>
      </c>
      <c r="Z50" s="38" t="n">
        <f aca="false">$C$5</f>
        <v>6.12323399573677E-017</v>
      </c>
      <c r="AA50" s="38" t="n">
        <v>0</v>
      </c>
      <c r="AE50" s="32"/>
      <c r="AH50" s="2"/>
      <c r="AI50" s="2"/>
      <c r="AJ50" s="11" t="n">
        <v>8</v>
      </c>
      <c r="AK50" s="21" t="n">
        <f aca="false">AK13+BA13+AK29</f>
        <v>0</v>
      </c>
      <c r="AL50" s="21" t="n">
        <f aca="false">AL13+BB13+AL29</f>
        <v>0</v>
      </c>
      <c r="AM50" s="21" t="n">
        <f aca="false">AM13+BC13+AM29</f>
        <v>0</v>
      </c>
      <c r="AN50" s="21" t="n">
        <f aca="false">AN13+BD13+AN29</f>
        <v>0</v>
      </c>
      <c r="AO50" s="21" t="n">
        <f aca="false">AO13+BE13+AO29</f>
        <v>0</v>
      </c>
      <c r="AP50" s="21" t="n">
        <f aca="false">AP13+BF13+AP29</f>
        <v>0</v>
      </c>
      <c r="AQ50" s="26" t="n">
        <f aca="false">AQ13+BG13+AQ29</f>
        <v>3.21268866160695E-011</v>
      </c>
      <c r="AR50" s="31" t="n">
        <f aca="false">AR13+BH13+AR29</f>
        <v>525000</v>
      </c>
      <c r="AS50" s="31" t="n">
        <f aca="false">AS13+BI13+AS29</f>
        <v>4.01837230970225E-011</v>
      </c>
      <c r="AT50" s="31" t="n">
        <f aca="false">AT13+BJ13+AT29</f>
        <v>-3.21268866160695E-011</v>
      </c>
      <c r="AU50" s="31" t="n">
        <f aca="false">AU13+BK13+AU29</f>
        <v>-525000</v>
      </c>
      <c r="AV50" s="31" t="n">
        <f aca="false">AV13+BL13+AV29</f>
        <v>4.01837230970225E-011</v>
      </c>
      <c r="AX50" s="7" t="n">
        <v>0</v>
      </c>
      <c r="AZ50" s="13" t="n">
        <f aca="false">AX13+BN13+AX29</f>
        <v>6.12323399573677E-013</v>
      </c>
      <c r="BA50" s="1" t="s">
        <v>49</v>
      </c>
      <c r="BB50" s="36" t="n">
        <v>0</v>
      </c>
      <c r="BC50" s="41"/>
      <c r="BD50" s="7" t="n">
        <v>36666.6666666667</v>
      </c>
      <c r="BK50" s="2"/>
      <c r="CW50" s="2"/>
    </row>
    <row r="51" customFormat="false" ht="12" hidden="false" customHeight="false" outlineLevel="0" collapsed="false">
      <c r="E51" s="7"/>
      <c r="F51" s="7"/>
      <c r="L51" s="38" t="n">
        <v>0</v>
      </c>
      <c r="M51" s="38" t="n">
        <v>0</v>
      </c>
      <c r="N51" s="38" t="n">
        <v>0</v>
      </c>
      <c r="O51" s="38" t="n">
        <v>0</v>
      </c>
      <c r="P51" s="38" t="n">
        <v>0</v>
      </c>
      <c r="Q51" s="38" t="n">
        <f aca="false">N48</f>
        <v>1</v>
      </c>
      <c r="V51" s="38" t="n">
        <v>0</v>
      </c>
      <c r="W51" s="38" t="n">
        <v>0</v>
      </c>
      <c r="X51" s="38" t="n">
        <v>0</v>
      </c>
      <c r="Y51" s="38" t="n">
        <v>0</v>
      </c>
      <c r="Z51" s="38" t="n">
        <v>0</v>
      </c>
      <c r="AA51" s="38" t="n">
        <f aca="false">X48</f>
        <v>1</v>
      </c>
      <c r="AH51" s="32"/>
      <c r="AI51" s="32"/>
      <c r="AJ51" s="11" t="n">
        <v>9</v>
      </c>
      <c r="AK51" s="21" t="n">
        <f aca="false">AK14+BA14+AK30</f>
        <v>0</v>
      </c>
      <c r="AL51" s="21" t="n">
        <f aca="false">AL14+BB14+AL30</f>
        <v>0</v>
      </c>
      <c r="AM51" s="21" t="n">
        <f aca="false">AM14+BC14+AM30</f>
        <v>0</v>
      </c>
      <c r="AN51" s="21" t="n">
        <f aca="false">AN14+BD14+AN30</f>
        <v>0</v>
      </c>
      <c r="AO51" s="21" t="n">
        <f aca="false">AO14+BE14+AO30</f>
        <v>0</v>
      </c>
      <c r="AP51" s="21" t="n">
        <f aca="false">AP14+BF14+AP30</f>
        <v>0</v>
      </c>
      <c r="AQ51" s="26" t="n">
        <f aca="false">AQ14+BG14+AQ30</f>
        <v>-656250</v>
      </c>
      <c r="AR51" s="31" t="n">
        <f aca="false">AR14+BH14+AR30</f>
        <v>4.01837230970225E-011</v>
      </c>
      <c r="AS51" s="31" t="n">
        <f aca="false">AS14+BI14+AS30</f>
        <v>1750000000</v>
      </c>
      <c r="AT51" s="31" t="n">
        <f aca="false">AT14+BJ14+AT30</f>
        <v>656250</v>
      </c>
      <c r="AU51" s="31" t="n">
        <f aca="false">AU14+BK14+AU30</f>
        <v>-4.01837230970225E-011</v>
      </c>
      <c r="AV51" s="31" t="n">
        <f aca="false">AV14+BL14+AV30</f>
        <v>875000000</v>
      </c>
      <c r="AX51" s="7" t="s">
        <v>50</v>
      </c>
      <c r="AZ51" s="13" t="n">
        <f aca="false">AX14+BN14+AX30</f>
        <v>6666666.66666667</v>
      </c>
      <c r="BB51" s="36" t="n">
        <f aca="false" t="array" ref="BB51:BB54">AV75:AV78</f>
        <v>-0.0274442054245325</v>
      </c>
      <c r="BC51" s="37"/>
      <c r="BD51" s="20" t="n">
        <v>0</v>
      </c>
      <c r="BK51" s="42"/>
      <c r="BL51" s="42"/>
      <c r="BM51" s="42"/>
      <c r="BN51" s="42"/>
      <c r="BO51" s="42"/>
      <c r="BP51" s="42"/>
      <c r="BR51" s="7"/>
      <c r="BT51" s="7"/>
      <c r="BV51" s="7"/>
      <c r="BY51" s="7"/>
    </row>
    <row r="52" customFormat="false" ht="12" hidden="false" customHeight="false" outlineLevel="0" collapsed="false">
      <c r="Y52" s="7"/>
      <c r="Z52" s="7"/>
      <c r="AH52" s="33"/>
      <c r="AI52" s="33"/>
      <c r="AJ52" s="11" t="n">
        <v>10</v>
      </c>
      <c r="AK52" s="21" t="n">
        <f aca="false">AK15+BA15+AK31</f>
        <v>0</v>
      </c>
      <c r="AL52" s="21" t="n">
        <f aca="false">AL15+BB15+AL31</f>
        <v>0</v>
      </c>
      <c r="AM52" s="21" t="n">
        <f aca="false">AM15+BC15+AM31</f>
        <v>0</v>
      </c>
      <c r="AN52" s="24" t="n">
        <f aca="false">AN15+BD15+AN31</f>
        <v>-700000</v>
      </c>
      <c r="AO52" s="24" t="n">
        <f aca="false">AO15+BE15+AO31</f>
        <v>0</v>
      </c>
      <c r="AP52" s="24" t="n">
        <f aca="false">AP15+BF15+AP31</f>
        <v>0</v>
      </c>
      <c r="AQ52" s="26" t="n">
        <f aca="false">AQ15+BG15+AQ31</f>
        <v>-328.125</v>
      </c>
      <c r="AR52" s="31" t="n">
        <f aca="false">AR15+BH15+AR31</f>
        <v>-3.21268866160695E-011</v>
      </c>
      <c r="AS52" s="31" t="n">
        <f aca="false">AS15+BI15+AS31</f>
        <v>656250</v>
      </c>
      <c r="AT52" s="43" t="n">
        <f aca="false">AT15+BJ15+AT31</f>
        <v>700328.125</v>
      </c>
      <c r="AU52" s="43" t="n">
        <f aca="false">AU15+BK15+AU31</f>
        <v>3.21268866160695E-011</v>
      </c>
      <c r="AV52" s="43" t="n">
        <f aca="false">AV15+BL15+AV31</f>
        <v>656250</v>
      </c>
      <c r="AX52" s="7" t="s">
        <v>51</v>
      </c>
      <c r="AZ52" s="13" t="n">
        <f aca="false">AX15+BN15+AX31</f>
        <v>-10000</v>
      </c>
      <c r="BB52" s="36" t="n">
        <v>81.9077129247945</v>
      </c>
      <c r="BC52" s="41"/>
      <c r="BD52" s="7" t="n">
        <v>-3.98904376197606E-009</v>
      </c>
      <c r="BE52" s="17"/>
      <c r="BK52" s="42"/>
      <c r="BL52" s="42"/>
      <c r="BM52" s="42"/>
      <c r="BN52" s="42"/>
      <c r="BO52" s="42"/>
      <c r="BP52" s="42"/>
      <c r="BR52" s="7"/>
      <c r="BT52" s="7"/>
      <c r="BV52" s="7"/>
      <c r="BY52" s="7"/>
    </row>
    <row r="53" customFormat="false" ht="12" hidden="false" customHeight="false" outlineLevel="0" collapsed="false">
      <c r="B53" s="2" t="s">
        <v>52</v>
      </c>
      <c r="I53" s="13"/>
      <c r="AH53" s="32"/>
      <c r="AI53" s="32"/>
      <c r="AJ53" s="11" t="n">
        <v>11</v>
      </c>
      <c r="AK53" s="21" t="n">
        <f aca="false">AK16+BA16+AK32</f>
        <v>0</v>
      </c>
      <c r="AL53" s="21" t="n">
        <f aca="false">AL16+BB16+AL32</f>
        <v>0</v>
      </c>
      <c r="AM53" s="21" t="n">
        <f aca="false">AM16+BC16+AM32</f>
        <v>0</v>
      </c>
      <c r="AN53" s="16" t="n">
        <f aca="false">AN16+BD16+AN32</f>
        <v>0</v>
      </c>
      <c r="AO53" s="16" t="n">
        <f aca="false">AO16+BE16+AO32</f>
        <v>-777.777777777778</v>
      </c>
      <c r="AP53" s="24" t="n">
        <f aca="false">AP16+BF16+AP32</f>
        <v>-2333333.33333333</v>
      </c>
      <c r="AQ53" s="31" t="n">
        <f aca="false">AQ16+BG16+AQ32</f>
        <v>-3.21268866160695E-011</v>
      </c>
      <c r="AR53" s="31" t="n">
        <f aca="false">AR16+BH16+AR32</f>
        <v>-525000</v>
      </c>
      <c r="AS53" s="31" t="n">
        <f aca="false">AS16+BI16+AS32</f>
        <v>-4.01837230970225E-011</v>
      </c>
      <c r="AT53" s="43" t="n">
        <f aca="false">AT16+BJ16+AT32</f>
        <v>3.21268866160695E-011</v>
      </c>
      <c r="AU53" s="43" t="n">
        <f aca="false">AU16+BK16+AU32</f>
        <v>525777.777777778</v>
      </c>
      <c r="AV53" s="43" t="n">
        <f aca="false">AV16+BL16+AV32</f>
        <v>-2333333.33333333</v>
      </c>
      <c r="AX53" s="7" t="s">
        <v>53</v>
      </c>
      <c r="AZ53" s="13" t="n">
        <f aca="false">AX16+BN16+AX32</f>
        <v>-30000</v>
      </c>
      <c r="BB53" s="36" t="n">
        <v>-0.0698412698412748</v>
      </c>
      <c r="BC53" s="41"/>
      <c r="BD53" s="7" t="n">
        <v>0</v>
      </c>
      <c r="BE53" s="17"/>
      <c r="BK53" s="42"/>
      <c r="BL53" s="42"/>
      <c r="BM53" s="42"/>
      <c r="BN53" s="42"/>
      <c r="BO53" s="42"/>
      <c r="BP53" s="42"/>
      <c r="BQ53" s="7"/>
      <c r="BR53" s="7"/>
      <c r="BS53" s="7"/>
      <c r="BT53" s="7"/>
      <c r="BU53" s="7"/>
      <c r="BV53" s="7"/>
      <c r="BW53" s="7"/>
      <c r="BX53" s="7"/>
      <c r="BY53" s="7"/>
    </row>
    <row r="54" customFormat="false" ht="12" hidden="false" customHeight="false" outlineLevel="0" collapsed="false">
      <c r="B54" s="38" t="n">
        <f aca="false">$C$5</f>
        <v>6.12323399573677E-017</v>
      </c>
      <c r="C54" s="38" t="n">
        <f aca="false">-$E$5</f>
        <v>-1</v>
      </c>
      <c r="D54" s="38" t="n">
        <v>0</v>
      </c>
      <c r="E54" s="38" t="n">
        <v>0</v>
      </c>
      <c r="F54" s="38" t="n">
        <v>0</v>
      </c>
      <c r="G54" s="38" t="n">
        <v>0</v>
      </c>
      <c r="L54" s="2" t="s">
        <v>52</v>
      </c>
      <c r="V54" s="2" t="s">
        <v>52</v>
      </c>
      <c r="AB54" s="7"/>
      <c r="AH54" s="32"/>
      <c r="AI54" s="32"/>
      <c r="AJ54" s="11" t="n">
        <v>12</v>
      </c>
      <c r="AK54" s="21" t="n">
        <f aca="false">AK17+BA17+AK33</f>
        <v>0</v>
      </c>
      <c r="AL54" s="21" t="n">
        <f aca="false">AL17+BB17+AL33</f>
        <v>0</v>
      </c>
      <c r="AM54" s="21" t="n">
        <f aca="false">AM17+BC17+AM33</f>
        <v>0</v>
      </c>
      <c r="AN54" s="16" t="n">
        <f aca="false">AN17+BD17+AN33</f>
        <v>0</v>
      </c>
      <c r="AO54" s="16" t="n">
        <f aca="false">AO17+BE17+AO33</f>
        <v>2333333.33333333</v>
      </c>
      <c r="AP54" s="24" t="n">
        <f aca="false">AP17+BF17+AP33</f>
        <v>4666666666.66667</v>
      </c>
      <c r="AQ54" s="31" t="n">
        <f aca="false">AQ17+BG17+AQ33</f>
        <v>-656250</v>
      </c>
      <c r="AR54" s="31" t="n">
        <f aca="false">AR17+BH17+AR33</f>
        <v>4.01837230970225E-011</v>
      </c>
      <c r="AS54" s="31" t="n">
        <f aca="false">AS17+BI17+AS33</f>
        <v>875000000</v>
      </c>
      <c r="AT54" s="43" t="n">
        <f aca="false">AT17+BJ17+AT33</f>
        <v>656250</v>
      </c>
      <c r="AU54" s="43" t="n">
        <f aca="false">AU17+BK17+AU33</f>
        <v>-2333333.33333333</v>
      </c>
      <c r="AV54" s="43" t="n">
        <f aca="false">AV17+BL17+AV33</f>
        <v>11083333333.3333</v>
      </c>
      <c r="AX54" s="7" t="s">
        <v>54</v>
      </c>
      <c r="AZ54" s="13" t="n">
        <f aca="false">AX17+BN17+AX33</f>
        <v>23333333.3333333</v>
      </c>
      <c r="BB54" s="44" t="n">
        <v>0.00107667377451686</v>
      </c>
      <c r="BC54" s="41"/>
      <c r="BD54" s="7" t="n">
        <v>0</v>
      </c>
      <c r="BE54" s="17"/>
      <c r="BK54" s="42"/>
      <c r="BL54" s="42"/>
      <c r="BM54" s="42"/>
      <c r="BN54" s="42"/>
      <c r="BO54" s="42"/>
      <c r="BP54" s="42"/>
      <c r="BR54" s="45"/>
      <c r="BT54" s="7"/>
      <c r="BV54" s="7"/>
      <c r="BY54" s="7"/>
    </row>
    <row r="55" customFormat="false" ht="12" hidden="false" customHeight="false" outlineLevel="0" collapsed="false">
      <c r="B55" s="38" t="n">
        <f aca="false">$E$5</f>
        <v>1</v>
      </c>
      <c r="C55" s="38" t="n">
        <f aca="false">$C$5</f>
        <v>6.12323399573677E-017</v>
      </c>
      <c r="D55" s="38" t="n">
        <v>0</v>
      </c>
      <c r="E55" s="38" t="n">
        <v>0</v>
      </c>
      <c r="F55" s="38" t="n">
        <v>0</v>
      </c>
      <c r="G55" s="38" t="n">
        <v>0</v>
      </c>
      <c r="L55" s="38" t="n">
        <f aca="false">$M$5</f>
        <v>1</v>
      </c>
      <c r="M55" s="38" t="n">
        <f aca="false">-$O$5</f>
        <v>-0</v>
      </c>
      <c r="N55" s="38" t="n">
        <v>0</v>
      </c>
      <c r="O55" s="38" t="n">
        <v>0</v>
      </c>
      <c r="P55" s="38" t="n">
        <v>0</v>
      </c>
      <c r="Q55" s="38" t="n">
        <v>0</v>
      </c>
      <c r="V55" s="38" t="n">
        <f aca="false">$C$5</f>
        <v>6.12323399573677E-017</v>
      </c>
      <c r="W55" s="38" t="n">
        <f aca="false">-$E$5</f>
        <v>-1</v>
      </c>
      <c r="X55" s="38" t="n">
        <v>0</v>
      </c>
      <c r="Y55" s="38" t="n">
        <v>0</v>
      </c>
      <c r="Z55" s="38" t="n">
        <v>0</v>
      </c>
      <c r="AA55" s="38" t="n">
        <v>0</v>
      </c>
      <c r="AB55" s="7"/>
      <c r="AH55" s="33"/>
      <c r="AI55" s="33"/>
      <c r="AZ55" s="20"/>
      <c r="BB55" s="36"/>
      <c r="BC55" s="41"/>
      <c r="BD55" s="41"/>
      <c r="BE55" s="17"/>
      <c r="BK55" s="42"/>
      <c r="BL55" s="42"/>
      <c r="BM55" s="42"/>
      <c r="BN55" s="42"/>
      <c r="BO55" s="42"/>
      <c r="BP55" s="42"/>
      <c r="BR55" s="45"/>
      <c r="BT55" s="7"/>
      <c r="BV55" s="7"/>
      <c r="BY55" s="7"/>
    </row>
    <row r="56" customFormat="false" ht="12" hidden="false" customHeight="false" outlineLevel="0" collapsed="false">
      <c r="B56" s="38" t="n">
        <v>0</v>
      </c>
      <c r="C56" s="38" t="n">
        <v>0</v>
      </c>
      <c r="D56" s="38" t="n">
        <f aca="false">D47</f>
        <v>1</v>
      </c>
      <c r="E56" s="38" t="n">
        <v>0</v>
      </c>
      <c r="F56" s="38" t="n">
        <v>0</v>
      </c>
      <c r="G56" s="38" t="n">
        <v>0</v>
      </c>
      <c r="L56" s="38" t="n">
        <f aca="false">$O$5</f>
        <v>0</v>
      </c>
      <c r="M56" s="38" t="n">
        <f aca="false">$M$5</f>
        <v>1</v>
      </c>
      <c r="N56" s="38" t="n">
        <v>0</v>
      </c>
      <c r="O56" s="38" t="n">
        <v>0</v>
      </c>
      <c r="P56" s="38" t="n">
        <v>0</v>
      </c>
      <c r="Q56" s="38" t="n">
        <v>0</v>
      </c>
      <c r="V56" s="38" t="n">
        <f aca="false">$E$5</f>
        <v>1</v>
      </c>
      <c r="W56" s="38" t="n">
        <f aca="false">$C$5</f>
        <v>6.12323399573677E-017</v>
      </c>
      <c r="X56" s="38" t="n">
        <v>0</v>
      </c>
      <c r="Y56" s="38" t="n">
        <v>0</v>
      </c>
      <c r="Z56" s="38" t="n">
        <v>0</v>
      </c>
      <c r="AA56" s="38" t="n">
        <v>0</v>
      </c>
      <c r="AB56" s="7"/>
      <c r="AH56" s="32"/>
      <c r="AI56" s="32"/>
      <c r="AZ56" s="20"/>
      <c r="BB56" s="36"/>
      <c r="BC56" s="34"/>
      <c r="BD56" s="34"/>
      <c r="BE56" s="17"/>
      <c r="BK56" s="42"/>
      <c r="BL56" s="42"/>
      <c r="BM56" s="42"/>
      <c r="BN56" s="42"/>
      <c r="BO56" s="42"/>
      <c r="BP56" s="42"/>
      <c r="BR56" s="45"/>
      <c r="BT56" s="7"/>
      <c r="BV56" s="7"/>
      <c r="BY56" s="7"/>
    </row>
    <row r="57" customFormat="false" ht="12" hidden="false" customHeight="false" outlineLevel="0" collapsed="false">
      <c r="B57" s="38" t="n">
        <v>0</v>
      </c>
      <c r="C57" s="38" t="n">
        <v>0</v>
      </c>
      <c r="D57" s="38" t="n">
        <v>0</v>
      </c>
      <c r="E57" s="38" t="n">
        <f aca="false">$C$5</f>
        <v>6.12323399573677E-017</v>
      </c>
      <c r="F57" s="38" t="n">
        <f aca="false">-$E$5</f>
        <v>-1</v>
      </c>
      <c r="G57" s="38" t="n">
        <v>0</v>
      </c>
      <c r="L57" s="38" t="n">
        <v>0</v>
      </c>
      <c r="M57" s="38" t="n">
        <v>0</v>
      </c>
      <c r="N57" s="38" t="n">
        <f aca="false">N48</f>
        <v>1</v>
      </c>
      <c r="O57" s="38" t="n">
        <v>0</v>
      </c>
      <c r="P57" s="38" t="n">
        <v>0</v>
      </c>
      <c r="Q57" s="38" t="n">
        <v>0</v>
      </c>
      <c r="V57" s="38" t="n">
        <v>0</v>
      </c>
      <c r="W57" s="38" t="n">
        <v>0</v>
      </c>
      <c r="X57" s="38" t="n">
        <f aca="false">X48</f>
        <v>1</v>
      </c>
      <c r="Y57" s="38" t="n">
        <v>0</v>
      </c>
      <c r="Z57" s="38" t="n">
        <v>0</v>
      </c>
      <c r="AA57" s="38" t="n">
        <v>0</v>
      </c>
      <c r="AB57" s="7"/>
      <c r="AZ57" s="20"/>
      <c r="BB57" s="7"/>
      <c r="BE57" s="17"/>
    </row>
    <row r="58" customFormat="false" ht="12" hidden="false" customHeight="false" outlineLevel="0" collapsed="false">
      <c r="B58" s="38" t="n">
        <v>0</v>
      </c>
      <c r="C58" s="38" t="n">
        <v>0</v>
      </c>
      <c r="D58" s="38" t="n">
        <v>0</v>
      </c>
      <c r="E58" s="38" t="n">
        <f aca="false">$E$5</f>
        <v>1</v>
      </c>
      <c r="F58" s="38" t="n">
        <f aca="false">$C$5</f>
        <v>6.12323399573677E-017</v>
      </c>
      <c r="G58" s="38" t="n">
        <v>0</v>
      </c>
      <c r="L58" s="38" t="n">
        <v>0</v>
      </c>
      <c r="M58" s="38" t="n">
        <v>0</v>
      </c>
      <c r="N58" s="38" t="n">
        <v>0</v>
      </c>
      <c r="O58" s="38" t="n">
        <f aca="false">$M$5</f>
        <v>1</v>
      </c>
      <c r="P58" s="38" t="n">
        <f aca="false">-$O$5</f>
        <v>-0</v>
      </c>
      <c r="Q58" s="38" t="n">
        <v>0</v>
      </c>
      <c r="V58" s="38" t="n">
        <v>0</v>
      </c>
      <c r="W58" s="38" t="n">
        <v>0</v>
      </c>
      <c r="X58" s="38" t="n">
        <v>0</v>
      </c>
      <c r="Y58" s="38" t="n">
        <f aca="false">$C$5</f>
        <v>6.12323399573677E-017</v>
      </c>
      <c r="Z58" s="38" t="n">
        <f aca="false">-$E$5</f>
        <v>-1</v>
      </c>
      <c r="AA58" s="38" t="n">
        <v>0</v>
      </c>
      <c r="AB58" s="7"/>
      <c r="AJ58" s="2" t="s">
        <v>55</v>
      </c>
      <c r="AY58" s="7"/>
      <c r="AZ58" s="20"/>
      <c r="BA58" s="7"/>
      <c r="BB58" s="20"/>
      <c r="BC58" s="46"/>
      <c r="BD58" s="46"/>
      <c r="BE58" s="20"/>
      <c r="BK58" s="2"/>
    </row>
    <row r="59" customFormat="false" ht="12" hidden="false" customHeight="false" outlineLevel="0" collapsed="false">
      <c r="B59" s="38" t="n">
        <v>0</v>
      </c>
      <c r="C59" s="38" t="n">
        <v>0</v>
      </c>
      <c r="D59" s="38" t="n">
        <v>0</v>
      </c>
      <c r="E59" s="38" t="n">
        <v>0</v>
      </c>
      <c r="F59" s="38" t="n">
        <v>0</v>
      </c>
      <c r="G59" s="38" t="n">
        <f aca="false">D47</f>
        <v>1</v>
      </c>
      <c r="L59" s="38" t="n">
        <v>0</v>
      </c>
      <c r="M59" s="38" t="n">
        <v>0</v>
      </c>
      <c r="N59" s="38" t="n">
        <v>0</v>
      </c>
      <c r="O59" s="38" t="n">
        <f aca="false">$O$5</f>
        <v>0</v>
      </c>
      <c r="P59" s="38" t="n">
        <f aca="false">$M$5</f>
        <v>1</v>
      </c>
      <c r="Q59" s="38" t="n">
        <v>0</v>
      </c>
      <c r="V59" s="38" t="n">
        <v>0</v>
      </c>
      <c r="W59" s="38" t="n">
        <v>0</v>
      </c>
      <c r="X59" s="38" t="n">
        <v>0</v>
      </c>
      <c r="Y59" s="38" t="n">
        <f aca="false">$E$5</f>
        <v>1</v>
      </c>
      <c r="Z59" s="38" t="n">
        <f aca="false">$C$5</f>
        <v>6.12323399573677E-017</v>
      </c>
      <c r="AA59" s="38" t="n">
        <v>0</v>
      </c>
      <c r="AB59" s="7"/>
      <c r="AJ59" s="10"/>
      <c r="AK59" s="10" t="n">
        <v>3</v>
      </c>
      <c r="AL59" s="10" t="n">
        <v>4</v>
      </c>
      <c r="AM59" s="10" t="n">
        <v>5</v>
      </c>
      <c r="AN59" s="10" t="n">
        <v>6</v>
      </c>
      <c r="AO59" s="10" t="n">
        <v>9</v>
      </c>
      <c r="AP59" s="10" t="n">
        <v>10</v>
      </c>
      <c r="AQ59" s="10" t="n">
        <v>11</v>
      </c>
      <c r="AR59" s="10" t="n">
        <v>12</v>
      </c>
      <c r="AS59" s="7" t="s">
        <v>37</v>
      </c>
      <c r="AT59" s="10" t="s">
        <v>38</v>
      </c>
      <c r="AU59" s="7" t="s">
        <v>39</v>
      </c>
      <c r="AV59" s="47" t="s">
        <v>10</v>
      </c>
      <c r="BB59" s="20"/>
      <c r="BE59" s="20"/>
      <c r="BK59" s="21"/>
      <c r="BL59" s="7"/>
      <c r="BM59" s="7"/>
      <c r="BN59" s="7"/>
      <c r="BO59" s="7"/>
      <c r="BP59" s="7"/>
      <c r="BR59" s="7"/>
      <c r="BT59" s="42"/>
      <c r="BV59" s="7"/>
      <c r="BY59" s="48"/>
      <c r="CA59" s="49"/>
    </row>
    <row r="60" customFormat="false" ht="12" hidden="false" customHeight="false" outlineLevel="0" collapsed="false">
      <c r="L60" s="38" t="n">
        <v>0</v>
      </c>
      <c r="M60" s="38" t="n">
        <v>0</v>
      </c>
      <c r="N60" s="38" t="n">
        <v>0</v>
      </c>
      <c r="O60" s="38" t="n">
        <v>0</v>
      </c>
      <c r="P60" s="38" t="n">
        <v>0</v>
      </c>
      <c r="Q60" s="38" t="n">
        <f aca="false">N48</f>
        <v>1</v>
      </c>
      <c r="V60" s="38" t="n">
        <v>0</v>
      </c>
      <c r="W60" s="38" t="n">
        <v>0</v>
      </c>
      <c r="X60" s="38" t="n">
        <v>0</v>
      </c>
      <c r="Y60" s="38" t="n">
        <v>0</v>
      </c>
      <c r="Z60" s="38" t="n">
        <v>0</v>
      </c>
      <c r="AA60" s="38" t="n">
        <f aca="false">X48</f>
        <v>1</v>
      </c>
      <c r="AB60" s="7"/>
      <c r="AJ60" s="10" t="n">
        <v>3</v>
      </c>
      <c r="AK60" s="13" t="n">
        <f aca="false" t="array" ref="AK60:AN63">AM45:AP48</f>
        <v>1750000000</v>
      </c>
      <c r="AL60" s="13" t="n">
        <v>656250</v>
      </c>
      <c r="AM60" s="13" t="n">
        <v>-4.01837230970225E-011</v>
      </c>
      <c r="AN60" s="13" t="n">
        <v>875000000</v>
      </c>
      <c r="AO60" s="13" t="n">
        <f aca="false" t="array" ref="AO60:AR63">AS45:AV48</f>
        <v>0</v>
      </c>
      <c r="AP60" s="13" t="n">
        <v>0</v>
      </c>
      <c r="AQ60" s="13" t="n">
        <v>0</v>
      </c>
      <c r="AR60" s="13" t="n">
        <v>0</v>
      </c>
      <c r="AS60" s="13"/>
      <c r="AT60" s="21" t="str">
        <f aca="false">AX45</f>
        <v>r13</v>
      </c>
      <c r="AV60" s="50" t="n">
        <f aca="false" t="array" ref="AV60:AV63">AZ45:AZ48</f>
        <v>-13333333.3333333</v>
      </c>
      <c r="BB60" s="20"/>
      <c r="BE60" s="20"/>
      <c r="BK60" s="21"/>
      <c r="BL60" s="7"/>
      <c r="BM60" s="7"/>
      <c r="BN60" s="7"/>
      <c r="BO60" s="7"/>
      <c r="BP60" s="7"/>
      <c r="BR60" s="7"/>
      <c r="BT60" s="42"/>
      <c r="BV60" s="7"/>
      <c r="BY60" s="48"/>
      <c r="CA60" s="49"/>
    </row>
    <row r="61" customFormat="false" ht="12" hidden="false" customHeight="false" outlineLevel="0" collapsed="false">
      <c r="V61" s="7"/>
      <c r="AC61" s="7"/>
      <c r="AJ61" s="10" t="n">
        <v>4</v>
      </c>
      <c r="AK61" s="13" t="n">
        <v>656250</v>
      </c>
      <c r="AL61" s="13" t="n">
        <v>700328.125</v>
      </c>
      <c r="AM61" s="13" t="n">
        <v>3.21268866160695E-011</v>
      </c>
      <c r="AN61" s="13" t="n">
        <v>656250</v>
      </c>
      <c r="AO61" s="13" t="n">
        <v>0</v>
      </c>
      <c r="AP61" s="13" t="n">
        <v>-700000</v>
      </c>
      <c r="AQ61" s="13" t="n">
        <v>0</v>
      </c>
      <c r="AR61" s="13" t="n">
        <v>0</v>
      </c>
      <c r="AS61" s="13"/>
      <c r="AT61" s="21" t="str">
        <f aca="false">AX46</f>
        <v>r21</v>
      </c>
      <c r="AV61" s="51" t="n">
        <v>20000</v>
      </c>
      <c r="BA61" s="7"/>
      <c r="BB61" s="20"/>
      <c r="BC61" s="7"/>
      <c r="BD61" s="7"/>
      <c r="BE61" s="20"/>
      <c r="BF61" s="7"/>
      <c r="BK61" s="21"/>
      <c r="BL61" s="7"/>
      <c r="BM61" s="7"/>
      <c r="BN61" s="7"/>
      <c r="BO61" s="7"/>
      <c r="BP61" s="7"/>
      <c r="BQ61" s="7"/>
      <c r="BR61" s="7"/>
      <c r="BS61" s="7"/>
      <c r="BT61" s="42"/>
      <c r="BU61" s="7"/>
      <c r="BV61" s="7"/>
      <c r="BW61" s="7"/>
      <c r="BX61" s="7"/>
      <c r="BY61" s="48"/>
      <c r="BZ61" s="7"/>
      <c r="CA61" s="49"/>
      <c r="CE61" s="52"/>
    </row>
    <row r="62" customFormat="false" ht="12" hidden="false" customHeight="false" outlineLevel="0" collapsed="false">
      <c r="M62" s="1" t="s">
        <v>56</v>
      </c>
      <c r="N62" s="1" t="s">
        <v>57</v>
      </c>
      <c r="O62" s="1" t="s">
        <v>57</v>
      </c>
      <c r="W62" s="7"/>
      <c r="AD62" s="7"/>
      <c r="AJ62" s="10" t="n">
        <v>5</v>
      </c>
      <c r="AK62" s="13" t="n">
        <v>-4.01837230970225E-011</v>
      </c>
      <c r="AL62" s="13" t="n">
        <v>3.21268866160695E-011</v>
      </c>
      <c r="AM62" s="13" t="n">
        <v>525777.777777778</v>
      </c>
      <c r="AN62" s="13" t="n">
        <v>2333333.33333333</v>
      </c>
      <c r="AO62" s="13" t="n">
        <v>0</v>
      </c>
      <c r="AP62" s="13" t="n">
        <v>0</v>
      </c>
      <c r="AQ62" s="13" t="n">
        <v>-777.777777777778</v>
      </c>
      <c r="AR62" s="13" t="n">
        <v>2333333.33333333</v>
      </c>
      <c r="AS62" s="13"/>
      <c r="AT62" s="21" t="str">
        <f aca="false">AX47</f>
        <v>r22</v>
      </c>
      <c r="AV62" s="51" t="n">
        <v>-30000</v>
      </c>
      <c r="BB62" s="20"/>
      <c r="BE62" s="20"/>
      <c r="BK62" s="21"/>
      <c r="BL62" s="7"/>
      <c r="BM62" s="7"/>
      <c r="BN62" s="7"/>
      <c r="BO62" s="7"/>
      <c r="BP62" s="7"/>
      <c r="BR62" s="7"/>
      <c r="BT62" s="42"/>
      <c r="BV62" s="7"/>
      <c r="BY62" s="48"/>
      <c r="CA62" s="49"/>
    </row>
    <row r="63" customFormat="false" ht="12" hidden="false" customHeight="false" outlineLevel="0" collapsed="false">
      <c r="I63" s="1" t="s">
        <v>58</v>
      </c>
      <c r="K63" s="1" t="s">
        <v>59</v>
      </c>
      <c r="M63" s="1" t="s">
        <v>60</v>
      </c>
      <c r="N63" s="1" t="s">
        <v>61</v>
      </c>
      <c r="O63" s="1" t="s">
        <v>62</v>
      </c>
      <c r="W63" s="7"/>
      <c r="AD63" s="7"/>
      <c r="AJ63" s="10" t="n">
        <v>6</v>
      </c>
      <c r="AK63" s="13" t="n">
        <v>875000000</v>
      </c>
      <c r="AL63" s="13" t="n">
        <v>656250</v>
      </c>
      <c r="AM63" s="13" t="n">
        <v>2333333.33333333</v>
      </c>
      <c r="AN63" s="13" t="n">
        <v>11083333333.3333</v>
      </c>
      <c r="AO63" s="13" t="n">
        <v>0</v>
      </c>
      <c r="AP63" s="13" t="n">
        <v>0</v>
      </c>
      <c r="AQ63" s="13" t="n">
        <v>-2333333.33333333</v>
      </c>
      <c r="AR63" s="13" t="n">
        <v>4666666666.66667</v>
      </c>
      <c r="AS63" s="13"/>
      <c r="AT63" s="21" t="str">
        <f aca="false">AX48</f>
        <v>r23</v>
      </c>
      <c r="AV63" s="51" t="n">
        <v>-16666666.6666667</v>
      </c>
      <c r="BB63" s="20"/>
      <c r="BE63" s="20"/>
      <c r="BK63" s="21"/>
      <c r="BL63" s="7"/>
      <c r="BM63" s="7"/>
      <c r="BN63" s="7"/>
      <c r="BO63" s="7"/>
      <c r="BP63" s="7"/>
      <c r="BR63" s="7"/>
      <c r="BT63" s="42"/>
      <c r="BV63" s="7"/>
      <c r="BY63" s="48"/>
      <c r="CA63" s="49"/>
    </row>
    <row r="64" customFormat="false" ht="12" hidden="false" customHeight="false" outlineLevel="0" collapsed="false">
      <c r="H64" s="1" t="s">
        <v>63</v>
      </c>
      <c r="I64" s="53" t="n">
        <v>10000</v>
      </c>
      <c r="J64" s="1" t="s">
        <v>64</v>
      </c>
      <c r="K64" s="1" t="s">
        <v>65</v>
      </c>
      <c r="L64" s="13" t="n">
        <f aca="false">COS(RADIANS(I65-E4))*I64</f>
        <v>6.12323399573677E-013</v>
      </c>
      <c r="M64" s="8" t="s">
        <v>66</v>
      </c>
      <c r="N64" s="35" t="n">
        <f aca="false">-I67/E6*L64</f>
        <v>-3.06161699786838E-013</v>
      </c>
      <c r="O64" s="35" t="n">
        <f aca="false">-I66/E6*L64</f>
        <v>-3.06161699786838E-013</v>
      </c>
      <c r="P64" s="1" t="s">
        <v>67</v>
      </c>
      <c r="AJ64" s="11" t="n">
        <v>9</v>
      </c>
      <c r="AK64" s="13" t="n">
        <f aca="false" t="array" ref="AK64:AN67">AM51:AP54</f>
        <v>0</v>
      </c>
      <c r="AL64" s="1" t="n">
        <v>0</v>
      </c>
      <c r="AM64" s="1" t="n">
        <v>0</v>
      </c>
      <c r="AN64" s="1" t="n">
        <v>0</v>
      </c>
      <c r="AO64" s="13" t="n">
        <f aca="false" t="array" ref="AO64:AR67">AS51:AV54</f>
        <v>1750000000</v>
      </c>
      <c r="AP64" s="1" t="n">
        <v>656250</v>
      </c>
      <c r="AQ64" s="1" t="n">
        <v>-4.01837230970225E-011</v>
      </c>
      <c r="AR64" s="1" t="n">
        <v>875000000</v>
      </c>
      <c r="AS64" s="1" t="s">
        <v>37</v>
      </c>
      <c r="AT64" s="7" t="s">
        <v>50</v>
      </c>
      <c r="AV64" s="13" t="n">
        <f aca="false" t="array" ref="AV64:AV67">AZ51:AZ54</f>
        <v>6666666.66666667</v>
      </c>
      <c r="BR64" s="54"/>
    </row>
    <row r="65" customFormat="false" ht="12" hidden="false" customHeight="false" outlineLevel="0" collapsed="false">
      <c r="H65" s="1" t="s">
        <v>68</v>
      </c>
      <c r="I65" s="53" t="n">
        <v>0</v>
      </c>
      <c r="J65" s="1" t="s">
        <v>5</v>
      </c>
      <c r="K65" s="1" t="s">
        <v>69</v>
      </c>
      <c r="L65" s="13" t="n">
        <f aca="false">SIN(RADIANS(I65-E4))*I64</f>
        <v>-10000</v>
      </c>
      <c r="M65" s="8" t="s">
        <v>70</v>
      </c>
      <c r="N65" s="35" t="n">
        <f aca="false">-1*I67^2*(3*I66+I67)/E6^3*L65</f>
        <v>5000</v>
      </c>
      <c r="O65" s="35" t="n">
        <f aca="false">-1*I66^2*(I66+3*I67)/E6^3*L65</f>
        <v>5000</v>
      </c>
      <c r="P65" s="1" t="s">
        <v>71</v>
      </c>
      <c r="AJ65" s="11" t="n">
        <v>10</v>
      </c>
      <c r="AK65" s="1" t="n">
        <v>0</v>
      </c>
      <c r="AL65" s="1" t="n">
        <v>-700000</v>
      </c>
      <c r="AM65" s="1" t="n">
        <v>0</v>
      </c>
      <c r="AN65" s="1" t="n">
        <v>0</v>
      </c>
      <c r="AO65" s="1" t="n">
        <v>656250</v>
      </c>
      <c r="AP65" s="1" t="n">
        <v>700328.125</v>
      </c>
      <c r="AQ65" s="1" t="n">
        <v>3.21268866160695E-011</v>
      </c>
      <c r="AR65" s="1" t="n">
        <v>656250</v>
      </c>
      <c r="AT65" s="7" t="s">
        <v>51</v>
      </c>
      <c r="AV65" s="1" t="n">
        <v>-10000</v>
      </c>
      <c r="BR65" s="54"/>
    </row>
    <row r="66" customFormat="false" ht="12" hidden="false" customHeight="false" outlineLevel="0" collapsed="false">
      <c r="H66" s="1" t="s">
        <v>72</v>
      </c>
      <c r="I66" s="53" t="n">
        <v>2000</v>
      </c>
      <c r="J66" s="1" t="s">
        <v>12</v>
      </c>
      <c r="M66" s="55" t="s">
        <v>73</v>
      </c>
      <c r="N66" s="35" t="n">
        <f aca="false">-1*I66*I67^2/E6^2*L65</f>
        <v>5000000</v>
      </c>
      <c r="O66" s="35" t="n">
        <f aca="false">I66^2*I67/E6^2*L65</f>
        <v>-5000000</v>
      </c>
      <c r="P66" s="1" t="s">
        <v>74</v>
      </c>
      <c r="AJ66" s="11" t="n">
        <v>11</v>
      </c>
      <c r="AK66" s="1" t="n">
        <v>0</v>
      </c>
      <c r="AL66" s="1" t="n">
        <v>0</v>
      </c>
      <c r="AM66" s="1" t="n">
        <v>-777.777777777778</v>
      </c>
      <c r="AN66" s="1" t="n">
        <v>-2333333.33333333</v>
      </c>
      <c r="AO66" s="1" t="n">
        <v>-4.01837230970225E-011</v>
      </c>
      <c r="AP66" s="1" t="n">
        <v>3.21268866160695E-011</v>
      </c>
      <c r="AQ66" s="1" t="n">
        <v>525777.777777778</v>
      </c>
      <c r="AR66" s="1" t="n">
        <v>-2333333.33333333</v>
      </c>
      <c r="AT66" s="7" t="s">
        <v>53</v>
      </c>
      <c r="AV66" s="1" t="n">
        <v>-30000</v>
      </c>
      <c r="BC66" s="56"/>
      <c r="BD66" s="56"/>
      <c r="BR66" s="54"/>
    </row>
    <row r="67" customFormat="false" ht="12" hidden="false" customHeight="false" outlineLevel="0" collapsed="false">
      <c r="H67" s="1" t="s">
        <v>75</v>
      </c>
      <c r="I67" s="57" t="n">
        <f aca="false">E6-I66</f>
        <v>2000</v>
      </c>
      <c r="M67" s="8"/>
      <c r="AJ67" s="11" t="n">
        <v>12</v>
      </c>
      <c r="AK67" s="1" t="n">
        <v>0</v>
      </c>
      <c r="AL67" s="1" t="n">
        <v>0</v>
      </c>
      <c r="AM67" s="1" t="n">
        <v>2333333.33333333</v>
      </c>
      <c r="AN67" s="1" t="n">
        <v>4666666666.66667</v>
      </c>
      <c r="AO67" s="1" t="n">
        <v>875000000</v>
      </c>
      <c r="AP67" s="1" t="n">
        <v>656250</v>
      </c>
      <c r="AQ67" s="1" t="n">
        <v>-2333333.33333333</v>
      </c>
      <c r="AR67" s="1" t="n">
        <v>11083333333.3333</v>
      </c>
      <c r="AT67" s="7" t="s">
        <v>54</v>
      </c>
      <c r="AV67" s="1" t="n">
        <v>23333333.3333333</v>
      </c>
      <c r="BR67" s="54"/>
    </row>
    <row r="68" customFormat="false" ht="12" hidden="false" customHeight="false" outlineLevel="0" collapsed="false">
      <c r="H68" s="1" t="s">
        <v>76</v>
      </c>
      <c r="M68" s="8" t="s">
        <v>66</v>
      </c>
      <c r="AJ68" s="10"/>
      <c r="AK68" s="10"/>
      <c r="AL68" s="10"/>
      <c r="AM68" s="10"/>
      <c r="AN68" s="10"/>
      <c r="AO68" s="10"/>
      <c r="AP68" s="10"/>
      <c r="AQ68" s="10"/>
      <c r="AR68" s="10"/>
      <c r="BR68" s="54"/>
    </row>
    <row r="69" customFormat="false" ht="12" hidden="false" customHeight="true" outlineLevel="0" collapsed="false">
      <c r="H69" s="1" t="s">
        <v>77</v>
      </c>
      <c r="M69" s="8" t="s">
        <v>70</v>
      </c>
      <c r="N69" s="1" t="n">
        <f aca="false">6*I66*I67/E6^3*I64</f>
        <v>3.75</v>
      </c>
      <c r="O69" s="1" t="n">
        <f aca="false">-6*I66*I67/E6^3*I64</f>
        <v>-3.75</v>
      </c>
      <c r="BR69" s="54"/>
    </row>
    <row r="70" customFormat="false" ht="12" hidden="false" customHeight="false" outlineLevel="0" collapsed="false">
      <c r="E70" s="15"/>
      <c r="M70" s="55" t="s">
        <v>73</v>
      </c>
      <c r="N70" s="1" t="n">
        <f aca="false">I67*(2*I66-I67)/E6^2*I64</f>
        <v>2500</v>
      </c>
      <c r="O70" s="1" t="n">
        <f aca="false">I66*(2*I67-I66)/E6^2*I64</f>
        <v>2500</v>
      </c>
      <c r="AG70" s="2"/>
      <c r="AH70" s="2"/>
      <c r="AJ70" s="10"/>
      <c r="AK70" s="10" t="n">
        <v>3</v>
      </c>
      <c r="AL70" s="10" t="n">
        <v>4</v>
      </c>
      <c r="AM70" s="10" t="n">
        <v>5</v>
      </c>
      <c r="AN70" s="10" t="n">
        <v>6</v>
      </c>
      <c r="AO70" s="10" t="n">
        <v>9</v>
      </c>
      <c r="AP70" s="10" t="n">
        <v>10</v>
      </c>
      <c r="AQ70" s="10" t="n">
        <v>11</v>
      </c>
      <c r="AR70" s="10" t="n">
        <v>12</v>
      </c>
      <c r="AS70" s="7" t="s">
        <v>37</v>
      </c>
      <c r="AT70" s="47" t="s">
        <v>10</v>
      </c>
      <c r="AU70" s="7" t="s">
        <v>39</v>
      </c>
      <c r="AV70" s="10" t="s">
        <v>38</v>
      </c>
    </row>
    <row r="71" customFormat="false" ht="12" hidden="false" customHeight="false" outlineLevel="0" collapsed="false">
      <c r="AG71" s="2"/>
      <c r="AH71" s="2"/>
      <c r="AI71" s="2"/>
      <c r="AJ71" s="10" t="n">
        <v>3</v>
      </c>
      <c r="AK71" s="1" t="n">
        <f aca="false" t="array" ref="AK71:AR78">MINVERSE(AK60:AR67)</f>
        <v>1.48534059813209E-009</v>
      </c>
      <c r="AL71" s="1" t="n">
        <v>-2.4291188322382E-006</v>
      </c>
      <c r="AM71" s="1" t="n">
        <v>-3.17460317460169E-010</v>
      </c>
      <c r="AN71" s="1" t="n">
        <v>-5.98492922837861E-012</v>
      </c>
      <c r="AO71" s="1" t="n">
        <v>8.72013899222411E-010</v>
      </c>
      <c r="AP71" s="1" t="n">
        <v>-2.42887058575122E-006</v>
      </c>
      <c r="AQ71" s="1" t="n">
        <v>3.17460317460467E-010</v>
      </c>
      <c r="AR71" s="1" t="n">
        <v>7.76251408685903E-011</v>
      </c>
      <c r="AT71" s="13" t="n">
        <f aca="false" t="array" ref="AT71:AT74">AV60:AV63</f>
        <v>-13333333.3333333</v>
      </c>
      <c r="AV71" s="36" t="n">
        <f aca="false" t="array" ref="AV71:AV78">MMULT(AK71:AR78,AT71:AT78)</f>
        <v>-0.0363737839934569</v>
      </c>
      <c r="AW71" s="1" t="s">
        <v>78</v>
      </c>
      <c r="AX71" s="1" t="n">
        <f aca="false">1000*AV71</f>
        <v>-36.3737839934569</v>
      </c>
      <c r="AY71" s="1" t="s">
        <v>79</v>
      </c>
    </row>
    <row r="72" customFormat="false" ht="12" hidden="false" customHeight="true" outlineLevel="0" collapsed="false">
      <c r="H72" s="1" t="s">
        <v>80</v>
      </c>
      <c r="M72" s="8" t="s">
        <v>66</v>
      </c>
      <c r="AJ72" s="10" t="n">
        <v>4</v>
      </c>
      <c r="AK72" s="1" t="n">
        <v>-2.4291188322382E-006</v>
      </c>
      <c r="AL72" s="13" t="n">
        <v>0.00666871691488493</v>
      </c>
      <c r="AM72" s="13" t="n">
        <v>1.26984126984086E-006</v>
      </c>
      <c r="AN72" s="1" t="n">
        <v>-1.4330002168729E-007</v>
      </c>
      <c r="AO72" s="1" t="n">
        <v>-2.42887058575122E-006</v>
      </c>
      <c r="AP72" s="1" t="n">
        <v>0.00666800266183465</v>
      </c>
      <c r="AQ72" s="1" t="n">
        <v>-1.26984126984168E-006</v>
      </c>
      <c r="AR72" s="1" t="n">
        <v>-1.43260824873557E-007</v>
      </c>
      <c r="AT72" s="1" t="n">
        <v>20000</v>
      </c>
      <c r="AV72" s="36" t="n">
        <v>81.9356733185918</v>
      </c>
      <c r="AW72" s="1" t="s">
        <v>12</v>
      </c>
    </row>
    <row r="73" customFormat="false" ht="15" hidden="false" customHeight="true" outlineLevel="0" collapsed="false">
      <c r="H73" s="1" t="s">
        <v>81</v>
      </c>
      <c r="M73" s="8" t="s">
        <v>70</v>
      </c>
      <c r="AJ73" s="10" t="n">
        <v>5</v>
      </c>
      <c r="AK73" s="1" t="n">
        <v>-3.17460317460492E-010</v>
      </c>
      <c r="AL73" s="13" t="n">
        <v>1.26984126984115E-006</v>
      </c>
      <c r="AM73" s="13" t="n">
        <v>1.9047619047619E-006</v>
      </c>
      <c r="AN73" s="1" t="n">
        <v>-3.17460317460311E-010</v>
      </c>
      <c r="AO73" s="1" t="n">
        <v>-3.17460317460172E-010</v>
      </c>
      <c r="AP73" s="1" t="n">
        <v>1.26984126984118E-006</v>
      </c>
      <c r="AQ73" s="1" t="n">
        <v>0</v>
      </c>
      <c r="AR73" s="1" t="n">
        <v>-3.17460317460388E-010</v>
      </c>
      <c r="AT73" s="1" t="n">
        <v>-30000</v>
      </c>
      <c r="AV73" s="36" t="n">
        <v>-0.0444444444444445</v>
      </c>
      <c r="AW73" s="1" t="s">
        <v>12</v>
      </c>
      <c r="BB73" s="7"/>
      <c r="BK73" s="2"/>
    </row>
    <row r="74" customFormat="false" ht="12" hidden="false" customHeight="false" outlineLevel="0" collapsed="false">
      <c r="M74" s="55" t="s">
        <v>73</v>
      </c>
      <c r="AJ74" s="10" t="n">
        <v>6</v>
      </c>
      <c r="AK74" s="1" t="n">
        <v>-5.98492922837839E-012</v>
      </c>
      <c r="AL74" s="1" t="n">
        <v>-1.43300021687291E-007</v>
      </c>
      <c r="AM74" s="1" t="n">
        <v>-3.17460317460309E-010</v>
      </c>
      <c r="AN74" s="1" t="n">
        <v>1.19444874722225E-010</v>
      </c>
      <c r="AO74" s="1" t="n">
        <v>7.76251408685901E-011</v>
      </c>
      <c r="AP74" s="1" t="n">
        <v>-1.43260824873556E-007</v>
      </c>
      <c r="AQ74" s="1" t="n">
        <v>3.17460317460326E-010</v>
      </c>
      <c r="AR74" s="1" t="n">
        <v>-4.78046630820132E-011</v>
      </c>
      <c r="AT74" s="1" t="n">
        <v>-16666666.6666667</v>
      </c>
      <c r="AV74" s="36" t="n">
        <v>-0.00394228224012533</v>
      </c>
      <c r="AW74" s="1" t="s">
        <v>78</v>
      </c>
      <c r="AX74" s="1" t="n">
        <f aca="false">1000*AV74</f>
        <v>-3.94228224012533</v>
      </c>
      <c r="AY74" s="1" t="s">
        <v>79</v>
      </c>
      <c r="AZ74" s="20"/>
      <c r="BB74" s="20"/>
      <c r="BE74" s="20"/>
      <c r="BK74" s="42"/>
      <c r="BL74" s="42"/>
      <c r="BM74" s="42"/>
      <c r="BN74" s="42"/>
      <c r="BO74" s="42"/>
      <c r="BP74" s="42"/>
      <c r="BR74" s="45"/>
      <c r="BT74" s="7"/>
      <c r="BV74" s="58"/>
    </row>
    <row r="75" customFormat="false" ht="12" hidden="false" customHeight="false" outlineLevel="0" collapsed="false">
      <c r="G75" s="59"/>
      <c r="M75" s="8"/>
      <c r="AJ75" s="10" t="n">
        <v>9</v>
      </c>
      <c r="AK75" s="1" t="n">
        <v>8.72013899222411E-010</v>
      </c>
      <c r="AL75" s="1" t="n">
        <v>-2.42887058575122E-006</v>
      </c>
      <c r="AM75" s="1" t="n">
        <v>-3.17460317460169E-010</v>
      </c>
      <c r="AN75" s="1" t="n">
        <v>7.762514086859E-011</v>
      </c>
      <c r="AO75" s="1" t="n">
        <v>1.48534059813209E-009</v>
      </c>
      <c r="AP75" s="1" t="n">
        <v>-2.4291188322382E-006</v>
      </c>
      <c r="AQ75" s="1" t="n">
        <v>3.17460317460467E-010</v>
      </c>
      <c r="AR75" s="1" t="n">
        <v>-5.98492922837822E-012</v>
      </c>
      <c r="AT75" s="13" t="n">
        <f aca="false">AV64</f>
        <v>6666666.66666667</v>
      </c>
      <c r="AV75" s="36" t="n">
        <v>-0.0274442054245325</v>
      </c>
      <c r="AW75" s="1" t="s">
        <v>78</v>
      </c>
      <c r="AX75" s="1" t="n">
        <f aca="false">1000*AV75</f>
        <v>-27.4442054245325</v>
      </c>
      <c r="AY75" s="1" t="s">
        <v>79</v>
      </c>
      <c r="AZ75" s="20"/>
      <c r="BB75" s="20"/>
      <c r="BE75" s="20"/>
      <c r="BK75" s="42"/>
      <c r="BL75" s="42"/>
      <c r="BM75" s="42"/>
      <c r="BN75" s="42"/>
      <c r="BO75" s="42"/>
      <c r="BP75" s="42"/>
      <c r="BR75" s="45"/>
      <c r="BT75" s="7"/>
      <c r="BV75" s="58"/>
    </row>
    <row r="76" customFormat="false" ht="12" hidden="false" customHeight="false" outlineLevel="0" collapsed="false">
      <c r="F76" s="1" t="s">
        <v>82</v>
      </c>
      <c r="M76" s="8"/>
      <c r="AJ76" s="10" t="n">
        <v>10</v>
      </c>
      <c r="AK76" s="1" t="n">
        <v>-2.42887058575122E-006</v>
      </c>
      <c r="AL76" s="1" t="n">
        <v>0.00666800266183465</v>
      </c>
      <c r="AM76" s="1" t="n">
        <v>1.26984126984086E-006</v>
      </c>
      <c r="AN76" s="1" t="n">
        <v>-1.43260824873556E-007</v>
      </c>
      <c r="AO76" s="13" t="n">
        <v>-2.4291188322382E-006</v>
      </c>
      <c r="AP76" s="1" t="n">
        <v>0.00666871691488493</v>
      </c>
      <c r="AQ76" s="1" t="n">
        <v>-1.26984126984168E-006</v>
      </c>
      <c r="AR76" s="1" t="n">
        <v>-1.43300021687291E-007</v>
      </c>
      <c r="AT76" s="13" t="n">
        <f aca="false">AV65</f>
        <v>-10000</v>
      </c>
      <c r="AV76" s="36" t="n">
        <v>81.9077129247945</v>
      </c>
      <c r="AW76" s="1" t="s">
        <v>12</v>
      </c>
      <c r="AZ76" s="20"/>
      <c r="BB76" s="20"/>
      <c r="BE76" s="20"/>
      <c r="BK76" s="42"/>
      <c r="BL76" s="42"/>
      <c r="BM76" s="42"/>
      <c r="BN76" s="42"/>
      <c r="BO76" s="42"/>
      <c r="BP76" s="42"/>
      <c r="BQ76" s="7"/>
      <c r="BR76" s="45"/>
      <c r="BS76" s="7"/>
      <c r="BT76" s="7"/>
      <c r="BU76" s="7"/>
      <c r="BV76" s="58"/>
    </row>
    <row r="77" customFormat="false" ht="12" hidden="false" customHeight="false" outlineLevel="0" collapsed="false">
      <c r="M77" s="55"/>
      <c r="AJ77" s="10" t="n">
        <v>11</v>
      </c>
      <c r="AK77" s="1" t="n">
        <v>3.17460317460466E-010</v>
      </c>
      <c r="AL77" s="1" t="n">
        <v>-1.26984126984168E-006</v>
      </c>
      <c r="AM77" s="1" t="n">
        <v>0</v>
      </c>
      <c r="AN77" s="1" t="n">
        <v>3.17460317460326E-010</v>
      </c>
      <c r="AO77" s="13" t="n">
        <v>3.17460317460466E-010</v>
      </c>
      <c r="AP77" s="1" t="n">
        <v>-1.26984126984168E-006</v>
      </c>
      <c r="AQ77" s="1" t="n">
        <v>1.9047619047619E-006</v>
      </c>
      <c r="AR77" s="1" t="n">
        <v>3.17460317460326E-010</v>
      </c>
      <c r="AT77" s="13" t="n">
        <f aca="false">AV66</f>
        <v>-30000</v>
      </c>
      <c r="AV77" s="36" t="n">
        <v>-0.0698412698412748</v>
      </c>
      <c r="AW77" s="1" t="s">
        <v>12</v>
      </c>
      <c r="AZ77" s="60"/>
      <c r="BB77" s="7"/>
      <c r="BE77" s="7"/>
      <c r="BK77" s="42"/>
      <c r="BL77" s="42"/>
      <c r="BM77" s="42"/>
      <c r="BN77" s="42"/>
      <c r="BO77" s="42"/>
      <c r="BP77" s="42"/>
      <c r="BR77" s="45"/>
      <c r="BT77" s="7"/>
      <c r="BV77" s="58"/>
    </row>
    <row r="78" customFormat="false" ht="12" hidden="false" customHeight="false" outlineLevel="0" collapsed="false">
      <c r="AJ78" s="10" t="n">
        <v>12</v>
      </c>
      <c r="AK78" s="1" t="n">
        <v>7.76251408685901E-011</v>
      </c>
      <c r="AL78" s="1" t="n">
        <v>-1.43260824873556E-007</v>
      </c>
      <c r="AM78" s="1" t="n">
        <v>-3.17460317460309E-010</v>
      </c>
      <c r="AN78" s="1" t="n">
        <v>-4.78046630820132E-011</v>
      </c>
      <c r="AO78" s="1" t="n">
        <v>-5.98492922837845E-012</v>
      </c>
      <c r="AP78" s="1" t="n">
        <v>-1.43300021687291E-007</v>
      </c>
      <c r="AQ78" s="1" t="n">
        <v>3.17460317460326E-010</v>
      </c>
      <c r="AR78" s="1" t="n">
        <v>1.19444874722225E-010</v>
      </c>
      <c r="AT78" s="13" t="n">
        <f aca="false">AV67</f>
        <v>23333333.3333333</v>
      </c>
      <c r="AV78" s="36" t="n">
        <v>0.00107667377451686</v>
      </c>
      <c r="AW78" s="1" t="s">
        <v>78</v>
      </c>
      <c r="AX78" s="1" t="n">
        <f aca="false">1000*AV78</f>
        <v>1.07667377451686</v>
      </c>
      <c r="AY78" s="1" t="s">
        <v>79</v>
      </c>
      <c r="AZ78" s="7"/>
      <c r="BB78" s="7"/>
      <c r="BE78" s="20"/>
      <c r="BK78" s="42"/>
      <c r="BL78" s="42"/>
      <c r="BM78" s="42"/>
      <c r="BN78" s="42"/>
      <c r="BO78" s="42"/>
      <c r="BP78" s="42"/>
      <c r="BR78" s="45"/>
      <c r="BT78" s="7"/>
      <c r="BV78" s="58"/>
    </row>
    <row r="79" customFormat="false" ht="12" hidden="false" customHeight="false" outlineLevel="0" collapsed="false">
      <c r="AJ79" s="10"/>
      <c r="AK79" s="10"/>
      <c r="AL79" s="10"/>
      <c r="AM79" s="10"/>
      <c r="AN79" s="10"/>
      <c r="AO79" s="10"/>
      <c r="AP79" s="10"/>
      <c r="AQ79" s="10"/>
      <c r="AR79" s="10"/>
      <c r="AY79" s="7"/>
      <c r="AZ79" s="60"/>
      <c r="BA79" s="7"/>
      <c r="BB79" s="7"/>
      <c r="BC79" s="46"/>
      <c r="BD79" s="46"/>
      <c r="BE79" s="20"/>
      <c r="BK79" s="42"/>
      <c r="BL79" s="42"/>
      <c r="BM79" s="42"/>
      <c r="BN79" s="42"/>
      <c r="BO79" s="42"/>
      <c r="BP79" s="42"/>
      <c r="BR79" s="45"/>
      <c r="BT79" s="7"/>
      <c r="BV79" s="58"/>
    </row>
    <row r="80" customFormat="false" ht="12" hidden="false" customHeight="false" outlineLevel="0" collapsed="false">
      <c r="AY80" s="7"/>
      <c r="AZ80" s="60"/>
      <c r="BA80" s="7"/>
      <c r="BB80" s="7"/>
      <c r="BC80" s="46"/>
      <c r="BD80" s="46"/>
      <c r="BE80" s="20"/>
    </row>
    <row r="81" customFormat="false" ht="12" hidden="false" customHeight="false" outlineLevel="0" collapsed="false">
      <c r="AZ81" s="7"/>
      <c r="BB81" s="20"/>
      <c r="BE81" s="20"/>
      <c r="BK81" s="2"/>
    </row>
    <row r="82" customFormat="false" ht="12" hidden="false" customHeight="false" outlineLevel="0" collapsed="false">
      <c r="AZ82" s="7"/>
      <c r="BB82" s="20"/>
      <c r="BE82" s="20"/>
      <c r="BK82" s="21"/>
      <c r="BL82" s="21"/>
      <c r="BM82" s="21"/>
      <c r="BN82" s="21"/>
      <c r="BO82" s="21"/>
      <c r="BP82" s="21"/>
      <c r="BR82" s="45"/>
      <c r="BT82" s="42"/>
      <c r="BV82" s="7"/>
      <c r="BY82" s="48"/>
      <c r="CA82" s="49"/>
    </row>
    <row r="83" customFormat="false" ht="12" hidden="false" customHeight="false" outlineLevel="0" collapsed="false">
      <c r="AJ83" s="1" t="s">
        <v>83</v>
      </c>
      <c r="AZ83" s="20"/>
      <c r="BB83" s="20"/>
      <c r="BE83" s="20"/>
      <c r="BK83" s="21"/>
      <c r="BL83" s="21"/>
      <c r="BM83" s="21"/>
      <c r="BN83" s="21"/>
      <c r="BO83" s="21"/>
      <c r="BP83" s="21"/>
      <c r="BR83" s="45"/>
      <c r="BT83" s="21"/>
      <c r="BV83" s="7"/>
      <c r="BY83" s="48"/>
      <c r="CA83" s="49"/>
      <c r="CE83" s="52"/>
    </row>
    <row r="84" customFormat="false" ht="12" hidden="false" customHeight="true" outlineLevel="0" collapsed="false">
      <c r="AJ84" s="1" t="s">
        <v>84</v>
      </c>
      <c r="AT84" s="61" t="s">
        <v>85</v>
      </c>
      <c r="AZ84" s="20"/>
      <c r="BB84" s="20"/>
      <c r="BE84" s="20"/>
      <c r="BK84" s="21"/>
      <c r="BL84" s="21"/>
      <c r="BM84" s="21"/>
      <c r="BN84" s="21"/>
      <c r="BO84" s="21"/>
      <c r="BP84" s="21"/>
      <c r="BQ84" s="7"/>
      <c r="BR84" s="45"/>
      <c r="BS84" s="7"/>
      <c r="BT84" s="21"/>
      <c r="BU84" s="7"/>
      <c r="BV84" s="7"/>
      <c r="BW84" s="7"/>
      <c r="BX84" s="7"/>
      <c r="BY84" s="48"/>
      <c r="BZ84" s="7"/>
      <c r="CA84" s="49"/>
    </row>
    <row r="85" customFormat="false" ht="12" hidden="false" customHeight="false" outlineLevel="0" collapsed="false">
      <c r="AJ85" s="10"/>
      <c r="AK85" s="10" t="n">
        <v>1</v>
      </c>
      <c r="AL85" s="10" t="n">
        <v>2</v>
      </c>
      <c r="AM85" s="10" t="n">
        <v>3</v>
      </c>
      <c r="AN85" s="10" t="n">
        <v>4</v>
      </c>
      <c r="AO85" s="10" t="n">
        <v>5</v>
      </c>
      <c r="AP85" s="10" t="n">
        <v>6</v>
      </c>
      <c r="AQ85" s="7" t="s">
        <v>37</v>
      </c>
      <c r="AR85" s="10" t="s">
        <v>86</v>
      </c>
      <c r="AS85" s="7" t="s">
        <v>87</v>
      </c>
      <c r="AT85" s="61"/>
      <c r="AU85" s="7" t="s">
        <v>39</v>
      </c>
      <c r="AV85" s="10" t="s">
        <v>88</v>
      </c>
      <c r="AZ85" s="7"/>
      <c r="BB85" s="7"/>
      <c r="BE85" s="20"/>
      <c r="BK85" s="21"/>
      <c r="BL85" s="21"/>
      <c r="BM85" s="21"/>
      <c r="BN85" s="21"/>
      <c r="BO85" s="21"/>
      <c r="BP85" s="21"/>
      <c r="BR85" s="45"/>
      <c r="BT85" s="42"/>
      <c r="BV85" s="7"/>
      <c r="BY85" s="48"/>
      <c r="CA85" s="49"/>
    </row>
    <row r="86" customFormat="false" ht="12" hidden="false" customHeight="false" outlineLevel="0" collapsed="false">
      <c r="AJ86" s="10" t="n">
        <v>1</v>
      </c>
      <c r="AK86" s="13" t="n">
        <f aca="false">B28</f>
        <v>525000</v>
      </c>
      <c r="AL86" s="13" t="n">
        <f aca="false">C28</f>
        <v>0</v>
      </c>
      <c r="AM86" s="13" t="n">
        <f aca="false">D28</f>
        <v>0</v>
      </c>
      <c r="AN86" s="13" t="n">
        <f aca="false">E28</f>
        <v>-525000</v>
      </c>
      <c r="AO86" s="13" t="n">
        <f aca="false">F28</f>
        <v>0</v>
      </c>
      <c r="AP86" s="13" t="n">
        <f aca="false">G28</f>
        <v>0</v>
      </c>
      <c r="AR86" s="1" t="n">
        <f aca="false" t="array" ref="AR86:AR91">MMULT(B45:G50,BB43:BB48)</f>
        <v>0</v>
      </c>
      <c r="AT86" s="13" t="n">
        <f aca="false">I28</f>
        <v>-0</v>
      </c>
      <c r="AV86" s="13" t="e">
        <f aca="false" t="array" ref="AV86:AV91">MMULT(AK86:AP91,_xlfn.anchorarray(AR86))-AT86:AT91</f>
        <v>#NAME?</v>
      </c>
      <c r="AZ86" s="7"/>
      <c r="BB86" s="7"/>
      <c r="BE86" s="20"/>
      <c r="BK86" s="21"/>
      <c r="BL86" s="21"/>
      <c r="BM86" s="21"/>
      <c r="BN86" s="21"/>
      <c r="BO86" s="21"/>
      <c r="BP86" s="21"/>
      <c r="BR86" s="45"/>
      <c r="BT86" s="21"/>
      <c r="BV86" s="7"/>
      <c r="BY86" s="48"/>
      <c r="CA86" s="49"/>
    </row>
    <row r="87" customFormat="false" ht="12" hidden="false" customHeight="false" outlineLevel="0" collapsed="false">
      <c r="AJ87" s="10" t="n">
        <v>2</v>
      </c>
      <c r="AK87" s="13" t="n">
        <f aca="false">B29</f>
        <v>0</v>
      </c>
      <c r="AL87" s="13" t="n">
        <f aca="false">C29</f>
        <v>328.125</v>
      </c>
      <c r="AM87" s="13" t="n">
        <f aca="false">D29</f>
        <v>656250</v>
      </c>
      <c r="AN87" s="13" t="n">
        <f aca="false">E29</f>
        <v>0</v>
      </c>
      <c r="AO87" s="13" t="n">
        <f aca="false">F29</f>
        <v>-328.125</v>
      </c>
      <c r="AP87" s="13" t="n">
        <f aca="false">G29</f>
        <v>656250</v>
      </c>
      <c r="AR87" s="1" t="n">
        <v>0</v>
      </c>
      <c r="AT87" s="13" t="n">
        <f aca="false">I29</f>
        <v>-20000</v>
      </c>
      <c r="AV87" s="1" t="e">
        <v>#NAME?</v>
      </c>
      <c r="AZ87" s="7"/>
      <c r="BB87" s="7"/>
      <c r="BE87" s="20"/>
      <c r="BK87" s="21"/>
      <c r="BL87" s="21"/>
      <c r="BM87" s="21"/>
      <c r="BN87" s="21"/>
      <c r="BO87" s="21"/>
      <c r="BP87" s="21"/>
      <c r="BR87" s="45"/>
      <c r="BT87" s="21"/>
      <c r="BV87" s="7"/>
      <c r="BY87" s="48"/>
      <c r="CA87" s="49"/>
    </row>
    <row r="88" customFormat="false" ht="12" hidden="false" customHeight="false" outlineLevel="0" collapsed="false">
      <c r="AJ88" s="10" t="n">
        <v>3</v>
      </c>
      <c r="AK88" s="13" t="n">
        <f aca="false">B30</f>
        <v>0</v>
      </c>
      <c r="AL88" s="13" t="n">
        <f aca="false">C30</f>
        <v>656250</v>
      </c>
      <c r="AM88" s="13" t="n">
        <f aca="false">D30</f>
        <v>1750000000</v>
      </c>
      <c r="AN88" s="13" t="n">
        <f aca="false">E30</f>
        <v>0</v>
      </c>
      <c r="AO88" s="13" t="n">
        <f aca="false">F30</f>
        <v>-656250</v>
      </c>
      <c r="AP88" s="13" t="n">
        <f aca="false">G30</f>
        <v>875000000</v>
      </c>
      <c r="AR88" s="1" t="n">
        <v>-0.0363737839934569</v>
      </c>
      <c r="AT88" s="13" t="n">
        <f aca="false">I30</f>
        <v>-13333333.3333333</v>
      </c>
      <c r="AV88" s="1" t="e">
        <v>#NAME?</v>
      </c>
    </row>
    <row r="89" customFormat="false" ht="12" hidden="false" customHeight="false" outlineLevel="0" collapsed="false">
      <c r="AJ89" s="10" t="n">
        <v>4</v>
      </c>
      <c r="AK89" s="13" t="n">
        <f aca="false">B31</f>
        <v>-525000</v>
      </c>
      <c r="AL89" s="13" t="n">
        <f aca="false">C31</f>
        <v>0</v>
      </c>
      <c r="AM89" s="13" t="n">
        <f aca="false">D31</f>
        <v>0</v>
      </c>
      <c r="AN89" s="13" t="n">
        <f aca="false">E31</f>
        <v>525000</v>
      </c>
      <c r="AO89" s="13" t="n">
        <f aca="false">F31</f>
        <v>0</v>
      </c>
      <c r="AP89" s="13" t="n">
        <f aca="false">G31</f>
        <v>0</v>
      </c>
      <c r="AR89" s="1" t="n">
        <v>-0.0444444444444394</v>
      </c>
      <c r="AT89" s="13" t="n">
        <f aca="false">I31</f>
        <v>-0</v>
      </c>
      <c r="AV89" s="1" t="e">
        <v>#NAME?</v>
      </c>
    </row>
    <row r="90" customFormat="false" ht="12" hidden="false" customHeight="false" outlineLevel="0" collapsed="false">
      <c r="AJ90" s="10" t="n">
        <v>5</v>
      </c>
      <c r="AK90" s="13" t="n">
        <f aca="false">B32</f>
        <v>0</v>
      </c>
      <c r="AL90" s="13" t="n">
        <f aca="false">C32</f>
        <v>-328.125</v>
      </c>
      <c r="AM90" s="13" t="n">
        <f aca="false">D32</f>
        <v>-656250</v>
      </c>
      <c r="AN90" s="13" t="n">
        <f aca="false">E32</f>
        <v>0</v>
      </c>
      <c r="AO90" s="13" t="n">
        <f aca="false">F32</f>
        <v>328.125</v>
      </c>
      <c r="AP90" s="13" t="n">
        <f aca="false">G32</f>
        <v>-656250</v>
      </c>
      <c r="AR90" s="1" t="n">
        <v>-81.9356733185918</v>
      </c>
      <c r="AT90" s="13" t="n">
        <f aca="false">I32</f>
        <v>-20000</v>
      </c>
      <c r="AV90" s="1" t="e">
        <v>#NAME?</v>
      </c>
    </row>
    <row r="91" customFormat="false" ht="12" hidden="false" customHeight="false" outlineLevel="0" collapsed="false">
      <c r="AJ91" s="10" t="n">
        <v>6</v>
      </c>
      <c r="AK91" s="13" t="n">
        <f aca="false">B33</f>
        <v>0</v>
      </c>
      <c r="AL91" s="13" t="n">
        <f aca="false">C33</f>
        <v>656250</v>
      </c>
      <c r="AM91" s="13" t="n">
        <f aca="false">D33</f>
        <v>875000000</v>
      </c>
      <c r="AN91" s="13" t="n">
        <f aca="false">E33</f>
        <v>0</v>
      </c>
      <c r="AO91" s="13" t="n">
        <f aca="false">F33</f>
        <v>-656250</v>
      </c>
      <c r="AP91" s="13" t="n">
        <f aca="false">G33</f>
        <v>1750000000</v>
      </c>
      <c r="AR91" s="1" t="n">
        <v>-0.00394228224012533</v>
      </c>
      <c r="AT91" s="13" t="n">
        <f aca="false">I33</f>
        <v>13333333.3333333</v>
      </c>
      <c r="AV91" s="1" t="e">
        <v>#NAME?</v>
      </c>
    </row>
    <row r="94" customFormat="false" ht="12" hidden="false" customHeight="false" outlineLevel="0" collapsed="false">
      <c r="BC94" s="56"/>
      <c r="BD94" s="56"/>
    </row>
    <row r="101" customFormat="false" ht="12" hidden="false" customHeight="false" outlineLevel="0" collapsed="false">
      <c r="BB101" s="7"/>
    </row>
    <row r="102" customFormat="false" ht="12" hidden="false" customHeight="false" outlineLevel="0" collapsed="false">
      <c r="AZ102" s="20"/>
      <c r="BB102" s="20"/>
      <c r="BE102" s="20"/>
      <c r="BK102" s="2"/>
    </row>
    <row r="103" customFormat="false" ht="12" hidden="false" customHeight="false" outlineLevel="0" collapsed="false">
      <c r="AZ103" s="20"/>
      <c r="BB103" s="20"/>
      <c r="BE103" s="20"/>
      <c r="BK103" s="42"/>
      <c r="BL103" s="42"/>
      <c r="BM103" s="42"/>
      <c r="BN103" s="42"/>
      <c r="BO103" s="42"/>
      <c r="BP103" s="42"/>
      <c r="BR103" s="7"/>
      <c r="BT103" s="7"/>
      <c r="BV103" s="7"/>
      <c r="BY103" s="7"/>
    </row>
    <row r="104" customFormat="false" ht="12" hidden="false" customHeight="false" outlineLevel="0" collapsed="false">
      <c r="W104" s="21"/>
      <c r="X104" s="7"/>
      <c r="Y104" s="7"/>
      <c r="Z104" s="7"/>
      <c r="AA104" s="7"/>
      <c r="AB104" s="7"/>
      <c r="AC104" s="7"/>
      <c r="AD104" s="7"/>
      <c r="AE104" s="7"/>
      <c r="AF104" s="7"/>
      <c r="AZ104" s="20"/>
      <c r="BB104" s="20"/>
      <c r="BE104" s="20"/>
      <c r="BK104" s="42"/>
      <c r="BL104" s="42"/>
      <c r="BM104" s="42"/>
      <c r="BN104" s="42"/>
      <c r="BO104" s="42"/>
      <c r="BP104" s="42"/>
      <c r="BR104" s="7"/>
      <c r="BT104" s="7"/>
      <c r="BV104" s="7"/>
      <c r="BY104" s="7"/>
    </row>
    <row r="105" customFormat="false" ht="12" hidden="false" customHeight="false" outlineLevel="0" collapsed="false">
      <c r="W105" s="7"/>
      <c r="X105" s="21"/>
      <c r="Y105" s="7"/>
      <c r="Z105" s="7"/>
      <c r="AA105" s="7"/>
      <c r="AB105" s="7"/>
      <c r="AC105" s="7"/>
      <c r="AD105" s="7"/>
      <c r="AE105" s="21"/>
      <c r="AF105" s="7"/>
      <c r="AZ105" s="60"/>
      <c r="BB105" s="7"/>
      <c r="BE105" s="7"/>
      <c r="BK105" s="42"/>
      <c r="BL105" s="42"/>
      <c r="BM105" s="42"/>
      <c r="BN105" s="42"/>
      <c r="BO105" s="42"/>
      <c r="BP105" s="42"/>
      <c r="BQ105" s="7"/>
      <c r="BR105" s="7"/>
      <c r="BS105" s="7"/>
      <c r="BT105" s="7"/>
      <c r="BU105" s="7"/>
      <c r="BV105" s="7"/>
      <c r="BW105" s="7"/>
      <c r="BX105" s="7"/>
      <c r="BY105" s="7"/>
    </row>
    <row r="106" customFormat="false" ht="12" hidden="false" customHeight="false" outlineLevel="0" collapsed="false">
      <c r="W106" s="7"/>
      <c r="X106" s="7"/>
      <c r="Y106" s="21"/>
      <c r="Z106" s="7"/>
      <c r="AA106" s="21"/>
      <c r="AB106" s="7"/>
      <c r="AC106" s="7"/>
      <c r="AD106" s="7"/>
      <c r="AE106" s="7"/>
      <c r="AF106" s="21"/>
      <c r="AZ106" s="7"/>
      <c r="BB106" s="7"/>
      <c r="BE106" s="7"/>
      <c r="BK106" s="42"/>
      <c r="BL106" s="42"/>
      <c r="BM106" s="42"/>
      <c r="BN106" s="42"/>
      <c r="BO106" s="42"/>
      <c r="BP106" s="42"/>
      <c r="BR106" s="45"/>
      <c r="BT106" s="7"/>
      <c r="BV106" s="7"/>
      <c r="BY106" s="7"/>
    </row>
    <row r="107" customFormat="false" ht="12" hidden="false" customHeight="false" outlineLevel="0" collapsed="false"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Z107" s="20"/>
      <c r="BB107" s="20"/>
      <c r="BE107" s="20"/>
      <c r="BK107" s="42"/>
      <c r="BL107" s="42"/>
      <c r="BM107" s="42"/>
      <c r="BN107" s="42"/>
      <c r="BO107" s="42"/>
      <c r="BP107" s="42"/>
      <c r="BR107" s="45"/>
      <c r="BT107" s="7"/>
      <c r="BV107" s="7"/>
      <c r="BY107" s="7"/>
    </row>
    <row r="108" customFormat="false" ht="12" hidden="false" customHeight="false" outlineLevel="0" collapsed="false">
      <c r="W108" s="7"/>
      <c r="X108" s="7"/>
      <c r="Y108" s="21"/>
      <c r="Z108" s="7"/>
      <c r="AA108" s="21"/>
      <c r="AB108" s="7"/>
      <c r="AC108" s="7"/>
      <c r="AD108" s="7"/>
      <c r="AE108" s="7"/>
      <c r="AF108" s="21"/>
      <c r="AZ108" s="7"/>
      <c r="BB108" s="20"/>
      <c r="BE108" s="62"/>
      <c r="BK108" s="42"/>
      <c r="BL108" s="42"/>
      <c r="BM108" s="42"/>
      <c r="BN108" s="42"/>
      <c r="BO108" s="42"/>
      <c r="BP108" s="42"/>
      <c r="BR108" s="45"/>
      <c r="BT108" s="7"/>
      <c r="BV108" s="7"/>
      <c r="BY108" s="7"/>
    </row>
    <row r="109" customFormat="false" ht="12" hidden="false" customHeight="false" outlineLevel="0" collapsed="false"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Z109" s="7"/>
      <c r="BB109" s="20"/>
      <c r="BE109" s="62"/>
    </row>
    <row r="110" customFormat="false" ht="12" hidden="false" customHeight="false" outlineLevel="0" collapsed="false"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Z110" s="20"/>
      <c r="BB110" s="20"/>
      <c r="BE110" s="62"/>
      <c r="BK110" s="2"/>
    </row>
    <row r="111" customFormat="false" ht="12" hidden="false" customHeight="false" outlineLevel="0" collapsed="false"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Z111" s="20"/>
      <c r="BB111" s="21"/>
      <c r="BE111" s="62"/>
      <c r="BK111" s="21"/>
      <c r="BL111" s="21"/>
      <c r="BM111" s="21"/>
      <c r="BN111" s="21"/>
      <c r="BO111" s="21"/>
      <c r="BP111" s="21"/>
      <c r="BR111" s="7"/>
      <c r="BT111" s="42"/>
      <c r="BV111" s="7"/>
      <c r="BY111" s="48"/>
      <c r="CA111" s="49"/>
    </row>
    <row r="112" customFormat="false" ht="12" hidden="false" customHeight="false" outlineLevel="0" collapsed="false">
      <c r="W112" s="7"/>
      <c r="X112" s="21"/>
      <c r="Y112" s="7"/>
      <c r="Z112" s="7"/>
      <c r="AA112" s="7"/>
      <c r="AB112" s="7"/>
      <c r="AC112" s="7"/>
      <c r="AD112" s="7"/>
      <c r="AE112" s="21"/>
      <c r="AF112" s="7"/>
      <c r="AZ112" s="20"/>
      <c r="BB112" s="21"/>
      <c r="BE112" s="62"/>
      <c r="BK112" s="21"/>
      <c r="BL112" s="21"/>
      <c r="BM112" s="21"/>
      <c r="BN112" s="21"/>
      <c r="BO112" s="21"/>
      <c r="BP112" s="21"/>
      <c r="BR112" s="7"/>
      <c r="BT112" s="42"/>
      <c r="BV112" s="7"/>
      <c r="BY112" s="48"/>
      <c r="CA112" s="49"/>
    </row>
    <row r="113" customFormat="false" ht="12" hidden="false" customHeight="false" outlineLevel="0" collapsed="false">
      <c r="W113" s="7"/>
      <c r="X113" s="7"/>
      <c r="Y113" s="21"/>
      <c r="Z113" s="7"/>
      <c r="AA113" s="21"/>
      <c r="AB113" s="7"/>
      <c r="AC113" s="7"/>
      <c r="AD113" s="7"/>
      <c r="AE113" s="7"/>
      <c r="AF113" s="21"/>
      <c r="AZ113" s="7"/>
      <c r="BB113" s="7"/>
      <c r="BE113" s="62"/>
      <c r="BK113" s="21"/>
      <c r="BL113" s="21"/>
      <c r="BM113" s="21"/>
      <c r="BN113" s="21"/>
      <c r="BO113" s="21"/>
      <c r="BP113" s="21"/>
      <c r="BQ113" s="7"/>
      <c r="BR113" s="7"/>
      <c r="BS113" s="7"/>
      <c r="BT113" s="42"/>
      <c r="BU113" s="7"/>
      <c r="BV113" s="7"/>
      <c r="BW113" s="7"/>
      <c r="BX113" s="7"/>
      <c r="BY113" s="48"/>
      <c r="BZ113" s="7"/>
      <c r="CA113" s="49"/>
    </row>
    <row r="114" customFormat="false" ht="12" hidden="false" customHeight="false" outlineLevel="0" collapsed="false"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Z114" s="7"/>
      <c r="BB114" s="7"/>
      <c r="BE114" s="62"/>
      <c r="BK114" s="21"/>
      <c r="BL114" s="21"/>
      <c r="BM114" s="21"/>
      <c r="BN114" s="21"/>
      <c r="BO114" s="21"/>
      <c r="BP114" s="21"/>
      <c r="BR114" s="7"/>
      <c r="BT114" s="42"/>
      <c r="BV114" s="7"/>
      <c r="BY114" s="48"/>
      <c r="CA114" s="49"/>
    </row>
    <row r="115" customFormat="false" ht="12" hidden="false" customHeight="false" outlineLevel="0" collapsed="false">
      <c r="W115" s="7"/>
      <c r="X115" s="7"/>
      <c r="Y115" s="21"/>
      <c r="Z115" s="7"/>
      <c r="AA115" s="21"/>
      <c r="AB115" s="7"/>
      <c r="AC115" s="7"/>
      <c r="AD115" s="7"/>
      <c r="AE115" s="7"/>
      <c r="AF115" s="21"/>
      <c r="AZ115" s="7"/>
      <c r="BB115" s="7"/>
      <c r="BE115" s="7"/>
      <c r="BK115" s="21"/>
      <c r="BL115" s="21"/>
      <c r="BM115" s="21"/>
      <c r="BN115" s="21"/>
      <c r="BO115" s="21"/>
      <c r="BP115" s="21"/>
      <c r="BR115" s="7"/>
      <c r="BT115" s="42"/>
      <c r="BV115" s="7"/>
      <c r="BY115" s="48"/>
      <c r="CA115" s="49"/>
    </row>
    <row r="116" customFormat="false" ht="12" hidden="false" customHeight="false" outlineLevel="0" collapsed="false">
      <c r="BK116" s="21"/>
      <c r="BL116" s="21"/>
      <c r="BM116" s="21"/>
      <c r="BN116" s="21"/>
      <c r="BO116" s="21"/>
      <c r="BP116" s="21"/>
      <c r="BR116" s="7"/>
      <c r="BT116" s="42"/>
      <c r="BV116" s="7"/>
      <c r="BY116" s="48"/>
      <c r="CA116" s="49"/>
    </row>
    <row r="118" customFormat="false" ht="12" hidden="false" customHeight="false" outlineLevel="0" collapsed="false">
      <c r="B118" s="2"/>
      <c r="AF118" s="2"/>
    </row>
    <row r="119" customFormat="false" ht="12" hidden="false" customHeight="false" outlineLevel="0" collapsed="false">
      <c r="E119" s="15"/>
      <c r="F119" s="9"/>
      <c r="V119" s="7"/>
    </row>
    <row r="120" customFormat="false" ht="12" hidden="false" customHeight="false" outlineLevel="0" collapsed="false">
      <c r="E120" s="15"/>
      <c r="F120" s="9"/>
      <c r="V120" s="7"/>
      <c r="AW120" s="7"/>
      <c r="AX120" s="7"/>
    </row>
    <row r="121" customFormat="false" ht="12" hidden="false" customHeight="false" outlineLevel="0" collapsed="false">
      <c r="E121" s="15"/>
      <c r="F121" s="9"/>
      <c r="V121" s="7"/>
      <c r="AW121" s="21"/>
      <c r="AX121" s="21"/>
      <c r="AZ121" s="20"/>
      <c r="BB121" s="20"/>
      <c r="BE121" s="62"/>
    </row>
    <row r="122" customFormat="false" ht="12" hidden="false" customHeight="false" outlineLevel="0" collapsed="false">
      <c r="V122" s="7"/>
      <c r="AW122" s="21"/>
      <c r="AX122" s="21"/>
      <c r="AZ122" s="20"/>
      <c r="BB122" s="20"/>
      <c r="BE122" s="62"/>
    </row>
    <row r="123" customFormat="false" ht="12" hidden="false" customHeight="false" outlineLevel="0" collapsed="false">
      <c r="V123" s="7"/>
      <c r="AW123" s="21"/>
      <c r="AX123" s="21"/>
      <c r="AZ123" s="20"/>
      <c r="BB123" s="20"/>
      <c r="BE123" s="62"/>
    </row>
    <row r="124" customFormat="false" ht="12" hidden="false" customHeight="false" outlineLevel="0" collapsed="false">
      <c r="V124" s="7"/>
      <c r="AW124" s="21"/>
      <c r="AX124" s="17"/>
      <c r="AZ124" s="60"/>
      <c r="BB124" s="21"/>
      <c r="BE124" s="62"/>
    </row>
    <row r="125" customFormat="false" ht="12" hidden="false" customHeight="false" outlineLevel="0" collapsed="false">
      <c r="V125" s="7"/>
      <c r="AW125" s="21"/>
      <c r="AX125" s="17"/>
      <c r="AZ125" s="60"/>
      <c r="BB125" s="21"/>
      <c r="BE125" s="62"/>
    </row>
    <row r="126" customFormat="false" ht="12" hidden="false" customHeight="false" outlineLevel="0" collapsed="false">
      <c r="V126" s="7"/>
      <c r="AW126" s="21"/>
      <c r="AX126" s="21"/>
      <c r="AY126" s="7"/>
      <c r="AZ126" s="60"/>
      <c r="BB126" s="20"/>
      <c r="BE126" s="62"/>
    </row>
    <row r="127" customFormat="false" ht="12" hidden="false" customHeight="false" outlineLevel="0" collapsed="false">
      <c r="V127" s="7"/>
      <c r="AW127" s="21"/>
      <c r="AX127" s="17"/>
      <c r="AZ127" s="60"/>
      <c r="BA127" s="7"/>
      <c r="BB127" s="20"/>
      <c r="BC127" s="46"/>
      <c r="BD127" s="46"/>
      <c r="BE127" s="62"/>
    </row>
    <row r="128" customFormat="false" ht="12" hidden="false" customHeight="false" outlineLevel="0" collapsed="false">
      <c r="V128" s="7"/>
      <c r="AW128" s="17"/>
      <c r="AX128" s="21"/>
      <c r="AZ128" s="60"/>
      <c r="BB128" s="20"/>
      <c r="BE128" s="62"/>
    </row>
    <row r="129" customFormat="false" ht="12" hidden="false" customHeight="false" outlineLevel="0" collapsed="false">
      <c r="V129" s="7"/>
      <c r="AW129" s="17"/>
      <c r="AX129" s="21"/>
      <c r="AY129" s="13"/>
      <c r="AZ129" s="60"/>
      <c r="BB129" s="20"/>
      <c r="BE129" s="62"/>
    </row>
    <row r="130" customFormat="false" ht="12" hidden="false" customHeight="false" outlineLevel="0" collapsed="false">
      <c r="V130" s="7"/>
      <c r="AW130" s="17"/>
      <c r="AX130" s="21"/>
      <c r="AZ130" s="60"/>
      <c r="BB130" s="20"/>
      <c r="BE130" s="62"/>
    </row>
    <row r="131" customFormat="false" ht="12" hidden="false" customHeight="false" outlineLevel="0" collapsed="false">
      <c r="V131" s="7"/>
      <c r="AW131" s="17"/>
      <c r="AX131" s="17"/>
      <c r="AZ131" s="60"/>
      <c r="BB131" s="21"/>
      <c r="BE131" s="62"/>
    </row>
    <row r="132" customFormat="false" ht="12" hidden="false" customHeight="false" outlineLevel="0" collapsed="false">
      <c r="V132" s="7"/>
      <c r="AW132" s="17"/>
      <c r="AX132" s="17"/>
      <c r="AZ132" s="60"/>
      <c r="BB132" s="21"/>
      <c r="BE132" s="62"/>
    </row>
    <row r="133" customFormat="false" ht="12" hidden="false" customHeight="false" outlineLevel="0" collapsed="false">
      <c r="V133" s="7"/>
      <c r="AJ133" s="7"/>
      <c r="AK133" s="21"/>
      <c r="AL133" s="21"/>
      <c r="AM133" s="21"/>
      <c r="AN133" s="21"/>
      <c r="AO133" s="21"/>
      <c r="AP133" s="21"/>
      <c r="AQ133" s="21"/>
      <c r="AR133" s="17"/>
      <c r="AS133" s="17"/>
      <c r="AT133" s="17"/>
      <c r="AU133" s="17"/>
      <c r="AV133" s="17"/>
      <c r="AW133" s="17"/>
      <c r="AX133" s="21"/>
      <c r="AZ133" s="60"/>
      <c r="BB133" s="20"/>
      <c r="BE133" s="62"/>
    </row>
    <row r="134" customFormat="false" ht="12" hidden="false" customHeight="false" outlineLevel="0" collapsed="false">
      <c r="V134" s="7"/>
      <c r="AJ134" s="7"/>
      <c r="AK134" s="21"/>
      <c r="AL134" s="21"/>
      <c r="AM134" s="21"/>
      <c r="AN134" s="17"/>
      <c r="AO134" s="17"/>
      <c r="AP134" s="21"/>
      <c r="AQ134" s="17"/>
      <c r="AR134" s="32"/>
      <c r="AS134" s="32"/>
      <c r="AT134" s="32"/>
      <c r="AU134" s="17"/>
      <c r="AV134" s="17"/>
      <c r="AW134" s="21"/>
      <c r="AX134" s="17"/>
      <c r="AZ134" s="60"/>
      <c r="BB134" s="20"/>
      <c r="BE134" s="62"/>
    </row>
    <row r="135" customFormat="false" ht="12" hidden="false" customHeight="false" outlineLevel="0" collapsed="false">
      <c r="V135" s="7"/>
      <c r="AK135" s="63"/>
      <c r="AL135" s="63"/>
      <c r="AM135" s="63"/>
    </row>
    <row r="136" customFormat="false" ht="12" hidden="false" customHeight="false" outlineLevel="0" collapsed="false">
      <c r="V136" s="7"/>
    </row>
    <row r="137" customFormat="false" ht="12" hidden="false" customHeight="false" outlineLevel="0" collapsed="false">
      <c r="BX137" s="64"/>
    </row>
    <row r="138" customFormat="false" ht="12" hidden="false" customHeight="false" outlineLevel="0" collapsed="false">
      <c r="BX138" s="64"/>
    </row>
    <row r="139" customFormat="false" ht="12" hidden="false" customHeight="false" outlineLevel="0" collapsed="false">
      <c r="BX139" s="64"/>
    </row>
    <row r="141" customFormat="false" ht="12" hidden="false" customHeight="false" outlineLevel="0" collapsed="false">
      <c r="BX141" s="64"/>
      <c r="CL141" s="56"/>
    </row>
    <row r="142" customFormat="false" ht="12" hidden="false" customHeight="false" outlineLevel="0" collapsed="false">
      <c r="BX142" s="64"/>
    </row>
    <row r="143" customFormat="false" ht="12" hidden="false" customHeight="false" outlineLevel="0" collapsed="false">
      <c r="BX143" s="64"/>
    </row>
    <row r="144" customFormat="false" ht="12" hidden="false" customHeight="false" outlineLevel="0" collapsed="false">
      <c r="BL144" s="7"/>
      <c r="BT144" s="2"/>
    </row>
    <row r="145" customFormat="false" ht="12" hidden="false" customHeight="false" outlineLevel="0" collapsed="false">
      <c r="BL145" s="7"/>
      <c r="BN145" s="7"/>
      <c r="BP145" s="7"/>
      <c r="BR145" s="7"/>
      <c r="BT145" s="42"/>
      <c r="BU145" s="7"/>
      <c r="BV145" s="7"/>
      <c r="BW145" s="7"/>
      <c r="BX145" s="7"/>
      <c r="BY145" s="7"/>
      <c r="BZ145" s="7"/>
      <c r="CA145" s="65"/>
      <c r="CB145" s="7"/>
      <c r="CD145" s="7"/>
      <c r="CF145" s="7"/>
    </row>
    <row r="146" customFormat="false" ht="12" hidden="false" customHeight="false" outlineLevel="0" collapsed="false">
      <c r="BL146" s="7"/>
      <c r="BN146" s="7"/>
      <c r="BP146" s="7"/>
      <c r="BR146" s="7"/>
      <c r="BT146" s="7"/>
      <c r="BU146" s="42"/>
      <c r="BV146" s="7"/>
      <c r="BW146" s="7"/>
      <c r="BX146" s="7"/>
      <c r="BY146" s="7"/>
      <c r="BZ146" s="7"/>
      <c r="CA146" s="66"/>
      <c r="CB146" s="7"/>
      <c r="CD146" s="7"/>
      <c r="CF146" s="7"/>
    </row>
    <row r="147" customFormat="false" ht="12" hidden="false" customHeight="false" outlineLevel="0" collapsed="false">
      <c r="BL147" s="7"/>
      <c r="BN147" s="7"/>
      <c r="BP147" s="7"/>
      <c r="BR147" s="7"/>
      <c r="BT147" s="7"/>
      <c r="BU147" s="7"/>
      <c r="BV147" s="7"/>
      <c r="BW147" s="7"/>
      <c r="BX147" s="7"/>
      <c r="BY147" s="7"/>
      <c r="BZ147" s="7"/>
      <c r="CA147" s="65"/>
      <c r="CB147" s="7"/>
      <c r="CC147" s="7"/>
      <c r="CD147" s="7"/>
      <c r="CE147" s="7"/>
      <c r="CF147" s="7"/>
    </row>
    <row r="148" customFormat="false" ht="12" hidden="false" customHeight="false" outlineLevel="0" collapsed="false">
      <c r="BL148" s="7"/>
      <c r="BN148" s="7"/>
      <c r="BP148" s="7"/>
      <c r="BR148" s="7"/>
      <c r="BT148" s="7"/>
      <c r="BU148" s="7"/>
      <c r="BV148" s="7"/>
      <c r="BW148" s="42"/>
      <c r="BX148" s="42"/>
      <c r="BY148" s="7"/>
      <c r="BZ148" s="7"/>
      <c r="CA148" s="66"/>
      <c r="CB148" s="21"/>
      <c r="CD148" s="7"/>
      <c r="CF148" s="21"/>
    </row>
    <row r="149" customFormat="false" ht="12" hidden="false" customHeight="false" outlineLevel="0" collapsed="false">
      <c r="AM149" s="2"/>
      <c r="BL149" s="7"/>
      <c r="BN149" s="7"/>
      <c r="BP149" s="7"/>
      <c r="BR149" s="7"/>
      <c r="BT149" s="7"/>
      <c r="BU149" s="7"/>
      <c r="BV149" s="7"/>
      <c r="BW149" s="7"/>
      <c r="BX149" s="7"/>
      <c r="BY149" s="42"/>
      <c r="BZ149" s="7"/>
      <c r="CA149" s="66"/>
      <c r="CB149" s="21"/>
      <c r="CD149" s="7"/>
      <c r="CF149" s="21"/>
    </row>
    <row r="150" customFormat="false" ht="12" hidden="false" customHeight="false" outlineLevel="0" collapsed="false">
      <c r="AN150" s="7"/>
      <c r="AO150" s="7"/>
      <c r="AP150" s="7"/>
      <c r="AQ150" s="7"/>
      <c r="AR150" s="7"/>
      <c r="AS150" s="7"/>
      <c r="AT150" s="7"/>
      <c r="AU150" s="7"/>
      <c r="BL150" s="7"/>
      <c r="BN150" s="7"/>
      <c r="BP150" s="7"/>
      <c r="BR150" s="7"/>
      <c r="BT150" s="7"/>
      <c r="BU150" s="7"/>
      <c r="BV150" s="7"/>
      <c r="BW150" s="7"/>
      <c r="BX150" s="7"/>
      <c r="BY150" s="7"/>
      <c r="BZ150" s="7"/>
      <c r="CA150" s="66"/>
      <c r="CB150" s="21"/>
      <c r="CD150" s="7"/>
      <c r="CF150" s="21"/>
    </row>
    <row r="151" customFormat="false" ht="12" hidden="false" customHeight="false" outlineLevel="0" collapsed="false">
      <c r="AM151" s="7"/>
      <c r="AN151" s="21"/>
      <c r="AO151" s="21"/>
      <c r="AP151" s="21"/>
      <c r="AQ151" s="21"/>
      <c r="AR151" s="21"/>
      <c r="AS151" s="21"/>
      <c r="AT151" s="21"/>
      <c r="AU151" s="21"/>
      <c r="AV151" s="7"/>
      <c r="AW151" s="20"/>
      <c r="AX151" s="7"/>
      <c r="AY151" s="21"/>
      <c r="BL151" s="7"/>
      <c r="BM151" s="7"/>
      <c r="BN151" s="7"/>
      <c r="BO151" s="7"/>
      <c r="BP151" s="7"/>
      <c r="BQ151" s="46"/>
      <c r="BR151" s="7"/>
    </row>
    <row r="152" customFormat="false" ht="12" hidden="false" customHeight="false" outlineLevel="0" collapsed="false">
      <c r="AM152" s="7"/>
      <c r="AN152" s="21"/>
      <c r="AO152" s="21"/>
      <c r="AP152" s="21"/>
      <c r="AQ152" s="21"/>
      <c r="AR152" s="21"/>
      <c r="AS152" s="21"/>
      <c r="AT152" s="21"/>
      <c r="AU152" s="21"/>
      <c r="AW152" s="20"/>
      <c r="AY152" s="21"/>
      <c r="BL152" s="42"/>
      <c r="BN152" s="20"/>
      <c r="BP152" s="15"/>
      <c r="BR152" s="17"/>
      <c r="BT152" s="2"/>
    </row>
    <row r="153" customFormat="false" ht="12" hidden="false" customHeight="false" outlineLevel="0" collapsed="false">
      <c r="AM153" s="7"/>
      <c r="AN153" s="21"/>
      <c r="AO153" s="21"/>
      <c r="AP153" s="21"/>
      <c r="AQ153" s="21"/>
      <c r="AR153" s="21"/>
      <c r="AS153" s="21"/>
      <c r="AT153" s="21"/>
      <c r="AU153" s="21"/>
      <c r="AW153" s="20"/>
      <c r="AY153" s="21"/>
      <c r="BL153" s="42"/>
      <c r="BN153" s="20"/>
      <c r="BP153" s="15"/>
      <c r="BR153" s="67"/>
      <c r="BT153" s="21"/>
      <c r="BU153" s="7"/>
      <c r="BV153" s="42"/>
      <c r="BW153" s="21"/>
      <c r="BX153" s="21"/>
      <c r="BY153" s="7"/>
      <c r="BZ153" s="42"/>
      <c r="CB153" s="7"/>
      <c r="CD153" s="7"/>
      <c r="CF153" s="7"/>
      <c r="CH153" s="68"/>
    </row>
    <row r="154" customFormat="false" ht="12" hidden="false" customHeight="false" outlineLevel="0" collapsed="false">
      <c r="AM154" s="7"/>
      <c r="AN154" s="21"/>
      <c r="AO154" s="21"/>
      <c r="AP154" s="21"/>
      <c r="AQ154" s="21"/>
      <c r="AR154" s="21"/>
      <c r="AS154" s="21"/>
      <c r="AT154" s="21"/>
      <c r="AU154" s="21"/>
      <c r="AW154" s="20"/>
      <c r="AY154" s="21"/>
      <c r="BL154" s="42"/>
      <c r="BN154" s="20"/>
      <c r="BP154" s="15"/>
      <c r="BR154" s="17"/>
      <c r="BT154" s="7"/>
      <c r="BU154" s="21"/>
      <c r="BV154" s="21"/>
      <c r="BW154" s="7"/>
      <c r="BX154" s="7"/>
      <c r="BY154" s="21"/>
      <c r="BZ154" s="21"/>
      <c r="CB154" s="7"/>
      <c r="CD154" s="21"/>
      <c r="CF154" s="7"/>
      <c r="CH154" s="68"/>
    </row>
    <row r="155" customFormat="false" ht="12" hidden="false" customHeight="false" outlineLevel="0" collapsed="false">
      <c r="AM155" s="7"/>
      <c r="AN155" s="21"/>
      <c r="AO155" s="21"/>
      <c r="AP155" s="21"/>
      <c r="AQ155" s="21"/>
      <c r="AR155" s="21"/>
      <c r="AS155" s="21"/>
      <c r="AT155" s="21"/>
      <c r="AU155" s="21"/>
      <c r="AW155" s="20"/>
      <c r="AY155" s="21"/>
      <c r="BL155" s="42"/>
      <c r="BN155" s="20"/>
      <c r="BP155" s="21"/>
      <c r="BR155" s="17"/>
      <c r="BT155" s="42"/>
      <c r="BU155" s="21"/>
      <c r="BV155" s="21"/>
      <c r="BW155" s="21"/>
      <c r="BX155" s="21"/>
      <c r="BY155" s="21"/>
      <c r="BZ155" s="21"/>
      <c r="CA155" s="7"/>
      <c r="CB155" s="7"/>
      <c r="CC155" s="7"/>
      <c r="CD155" s="21"/>
      <c r="CE155" s="7"/>
      <c r="CF155" s="7"/>
      <c r="CG155" s="7"/>
      <c r="CH155" s="68"/>
      <c r="CN155" s="52"/>
    </row>
    <row r="156" customFormat="false" ht="12" hidden="false" customHeight="false" outlineLevel="0" collapsed="false">
      <c r="AM156" s="7"/>
      <c r="AN156" s="21"/>
      <c r="AO156" s="21"/>
      <c r="AP156" s="21"/>
      <c r="AQ156" s="21"/>
      <c r="AR156" s="21"/>
      <c r="AS156" s="21"/>
      <c r="AT156" s="21"/>
      <c r="AU156" s="21"/>
      <c r="AW156" s="20"/>
      <c r="AY156" s="21"/>
      <c r="BL156" s="42"/>
      <c r="BN156" s="20"/>
      <c r="BP156" s="21"/>
      <c r="BR156" s="67"/>
      <c r="BT156" s="21"/>
      <c r="BU156" s="7"/>
      <c r="BV156" s="42"/>
      <c r="BW156" s="69"/>
      <c r="BX156" s="69"/>
      <c r="BY156" s="7"/>
      <c r="BZ156" s="42"/>
      <c r="CB156" s="21"/>
      <c r="CD156" s="7"/>
      <c r="CF156" s="7"/>
      <c r="CH156" s="68"/>
    </row>
    <row r="157" customFormat="false" ht="12" hidden="false" customHeight="false" outlineLevel="0" collapsed="false">
      <c r="AM157" s="7"/>
      <c r="AN157" s="21"/>
      <c r="AO157" s="21"/>
      <c r="AP157" s="21"/>
      <c r="AQ157" s="21"/>
      <c r="AR157" s="21"/>
      <c r="AS157" s="21"/>
      <c r="AT157" s="21"/>
      <c r="AU157" s="21"/>
      <c r="AW157" s="20"/>
      <c r="AY157" s="21"/>
      <c r="BD157" s="70"/>
      <c r="BL157" s="42"/>
      <c r="BN157" s="20"/>
      <c r="BO157" s="63"/>
      <c r="BP157" s="7"/>
      <c r="BR157" s="17"/>
      <c r="BT157" s="7"/>
      <c r="BU157" s="21"/>
      <c r="BV157" s="21"/>
      <c r="BW157" s="7"/>
      <c r="BX157" s="7"/>
      <c r="BY157" s="21"/>
      <c r="BZ157" s="21"/>
      <c r="CB157" s="21"/>
      <c r="CD157" s="21"/>
      <c r="CF157" s="7"/>
      <c r="CH157" s="68"/>
    </row>
    <row r="158" customFormat="false" ht="12" hidden="false" customHeight="false" outlineLevel="0" collapsed="false">
      <c r="AM158" s="7"/>
      <c r="AN158" s="21"/>
      <c r="AO158" s="21"/>
      <c r="AP158" s="21"/>
      <c r="AQ158" s="21"/>
      <c r="AR158" s="21"/>
      <c r="AS158" s="21"/>
      <c r="AT158" s="21"/>
      <c r="AU158" s="21"/>
      <c r="AW158" s="20"/>
      <c r="AY158" s="21"/>
      <c r="BD158" s="70"/>
      <c r="BL158" s="42"/>
      <c r="BN158" s="7"/>
      <c r="BP158" s="7"/>
      <c r="BR158" s="7"/>
      <c r="BT158" s="42"/>
      <c r="BU158" s="21"/>
      <c r="BV158" s="21"/>
      <c r="BW158" s="42"/>
      <c r="BX158" s="42"/>
      <c r="BY158" s="21"/>
      <c r="BZ158" s="21"/>
      <c r="CB158" s="21"/>
      <c r="CD158" s="21"/>
      <c r="CF158" s="7"/>
      <c r="CH158" s="71"/>
    </row>
    <row r="159" customFormat="false" ht="12" hidden="false" customHeight="false" outlineLevel="0" collapsed="false">
      <c r="BD159" s="70"/>
      <c r="BR159" s="63"/>
    </row>
    <row r="160" customFormat="false" ht="12" hidden="false" customHeight="false" outlineLevel="0" collapsed="false">
      <c r="AS160" s="56"/>
      <c r="BD160" s="70"/>
      <c r="BK160" s="2"/>
      <c r="BP160" s="63"/>
    </row>
    <row r="161" customFormat="false" ht="12" hidden="false" customHeight="false" outlineLevel="0" collapsed="false">
      <c r="BD161" s="70"/>
      <c r="BJ161" s="7"/>
      <c r="BK161" s="7"/>
      <c r="BL161" s="7"/>
      <c r="BM161" s="7"/>
      <c r="BN161" s="7"/>
      <c r="BO161" s="7"/>
      <c r="BP161" s="7"/>
      <c r="BQ161" s="7"/>
      <c r="BR161" s="7"/>
      <c r="BW161" s="72"/>
      <c r="BX161" s="72"/>
      <c r="CC161" s="56"/>
    </row>
    <row r="162" customFormat="false" ht="12" hidden="false" customHeight="false" outlineLevel="0" collapsed="false">
      <c r="AM162" s="2"/>
      <c r="AZ162" s="73"/>
      <c r="BA162" s="73"/>
      <c r="BB162" s="73"/>
      <c r="BC162" s="73"/>
      <c r="BD162" s="70"/>
      <c r="BK162" s="64"/>
      <c r="BL162" s="64"/>
      <c r="BN162" s="63"/>
      <c r="BT162" s="2"/>
      <c r="CA162" s="64"/>
      <c r="CB162" s="64"/>
      <c r="CC162" s="63"/>
    </row>
    <row r="163" customFormat="false" ht="12" hidden="false" customHeight="false" outlineLevel="0" collapsed="false">
      <c r="AN163" s="7"/>
      <c r="AO163" s="7"/>
      <c r="AP163" s="7"/>
      <c r="AQ163" s="7"/>
      <c r="AR163" s="7"/>
      <c r="AS163" s="7"/>
      <c r="AT163" s="7"/>
      <c r="AU163" s="7"/>
      <c r="AZ163" s="73"/>
      <c r="BA163" s="73"/>
      <c r="BB163" s="73"/>
      <c r="BC163" s="73"/>
      <c r="BD163" s="73"/>
      <c r="BE163" s="73"/>
    </row>
    <row r="164" customFormat="false" ht="12" hidden="false" customHeight="false" outlineLevel="0" collapsed="false">
      <c r="AM164" s="7"/>
      <c r="AN164" s="21"/>
      <c r="AO164" s="21"/>
      <c r="AP164" s="21"/>
      <c r="AQ164" s="21"/>
      <c r="AR164" s="21"/>
      <c r="AS164" s="21"/>
      <c r="AT164" s="21"/>
      <c r="AU164" s="21"/>
      <c r="AV164" s="7"/>
      <c r="AW164" s="13"/>
      <c r="AX164" s="7"/>
      <c r="AY164" s="20"/>
      <c r="AZ164" s="60"/>
      <c r="BA164" s="74"/>
      <c r="BB164" s="73"/>
      <c r="BC164" s="73"/>
      <c r="BD164" s="75"/>
      <c r="BE164" s="73"/>
      <c r="BQ164" s="64"/>
    </row>
    <row r="165" customFormat="false" ht="12" hidden="false" customHeight="false" outlineLevel="0" collapsed="false">
      <c r="AM165" s="7"/>
      <c r="AN165" s="21"/>
      <c r="AO165" s="21"/>
      <c r="AP165" s="21"/>
      <c r="AQ165" s="21"/>
      <c r="AR165" s="21"/>
      <c r="AS165" s="21"/>
      <c r="AT165" s="21"/>
      <c r="AU165" s="21"/>
      <c r="AW165" s="13"/>
      <c r="AY165" s="20"/>
      <c r="AZ165" s="73"/>
      <c r="BA165" s="74"/>
      <c r="BB165" s="73"/>
      <c r="BC165" s="73"/>
      <c r="BD165" s="75"/>
      <c r="BE165" s="73"/>
      <c r="BK165" s="2"/>
      <c r="BT165" s="2"/>
      <c r="BY165" s="2"/>
    </row>
    <row r="166" customFormat="false" ht="12" hidden="false" customHeight="false" outlineLevel="0" collapsed="false">
      <c r="AM166" s="7"/>
      <c r="AN166" s="21"/>
      <c r="AO166" s="21"/>
      <c r="AP166" s="21"/>
      <c r="AQ166" s="21"/>
      <c r="AR166" s="21"/>
      <c r="AS166" s="21"/>
      <c r="AT166" s="21"/>
      <c r="AU166" s="21"/>
      <c r="AW166" s="13"/>
      <c r="AY166" s="20"/>
      <c r="AZ166" s="73"/>
      <c r="BA166" s="74"/>
      <c r="BB166" s="76"/>
      <c r="BC166" s="73"/>
      <c r="BD166" s="77"/>
      <c r="BE166" s="73"/>
      <c r="BP166" s="78"/>
      <c r="BQ166" s="79"/>
      <c r="BR166" s="80"/>
      <c r="BT166" s="20"/>
      <c r="BU166" s="81"/>
      <c r="BV166" s="2"/>
      <c r="BY166" s="20"/>
      <c r="BZ166" s="79"/>
      <c r="CA166" s="2"/>
    </row>
    <row r="167" customFormat="false" ht="12" hidden="false" customHeight="false" outlineLevel="0" collapsed="false">
      <c r="AM167" s="7"/>
      <c r="AN167" s="21"/>
      <c r="AO167" s="21"/>
      <c r="AP167" s="21"/>
      <c r="AQ167" s="21"/>
      <c r="AR167" s="21"/>
      <c r="AS167" s="21"/>
      <c r="AT167" s="21"/>
      <c r="AU167" s="21"/>
      <c r="AW167" s="13"/>
      <c r="AY167" s="20"/>
      <c r="BA167" s="74"/>
      <c r="BB167" s="76"/>
      <c r="BC167" s="73"/>
      <c r="BD167" s="75"/>
      <c r="BE167" s="73"/>
      <c r="BP167" s="78"/>
      <c r="BQ167" s="79"/>
      <c r="BR167" s="80"/>
      <c r="BT167" s="20"/>
      <c r="BU167" s="81"/>
      <c r="BV167" s="2"/>
      <c r="BY167" s="20"/>
      <c r="BZ167" s="79"/>
      <c r="CA167" s="2"/>
    </row>
    <row r="168" customFormat="false" ht="12" hidden="false" customHeight="false" outlineLevel="0" collapsed="false">
      <c r="AM168" s="7"/>
      <c r="AN168" s="21"/>
      <c r="AO168" s="21"/>
      <c r="AP168" s="21"/>
      <c r="AQ168" s="21"/>
      <c r="AR168" s="21"/>
      <c r="AS168" s="21"/>
      <c r="AT168" s="21"/>
      <c r="AU168" s="21"/>
      <c r="AW168" s="13"/>
      <c r="AY168" s="20"/>
      <c r="AZ168" s="73"/>
      <c r="BA168" s="74"/>
      <c r="BB168" s="73"/>
      <c r="BC168" s="73"/>
      <c r="BD168" s="75"/>
      <c r="BE168" s="73"/>
      <c r="BP168" s="78"/>
      <c r="BQ168" s="79"/>
      <c r="BR168" s="80"/>
      <c r="BT168" s="20"/>
      <c r="BU168" s="81"/>
      <c r="BV168" s="2"/>
      <c r="BW168" s="82"/>
      <c r="BX168" s="82"/>
      <c r="BY168" s="20"/>
      <c r="BZ168" s="79"/>
      <c r="CA168" s="2"/>
    </row>
    <row r="169" customFormat="false" ht="12" hidden="false" customHeight="false" outlineLevel="0" collapsed="false">
      <c r="AM169" s="7"/>
      <c r="AN169" s="21"/>
      <c r="AO169" s="21"/>
      <c r="AP169" s="21"/>
      <c r="AQ169" s="21"/>
      <c r="AR169" s="21"/>
      <c r="AS169" s="21"/>
      <c r="AT169" s="21"/>
      <c r="AU169" s="21"/>
      <c r="AW169" s="13"/>
      <c r="AY169" s="20"/>
      <c r="AZ169" s="73"/>
      <c r="BA169" s="74"/>
      <c r="BB169" s="73"/>
      <c r="BC169" s="73"/>
      <c r="BD169" s="75"/>
      <c r="BE169" s="73"/>
      <c r="BL169" s="83"/>
      <c r="BM169" s="84"/>
      <c r="BN169" s="84"/>
      <c r="BP169" s="78"/>
      <c r="BQ169" s="79"/>
      <c r="BT169" s="20"/>
      <c r="BU169" s="81"/>
      <c r="BV169" s="2"/>
      <c r="BW169" s="82"/>
      <c r="BX169" s="82"/>
      <c r="BY169" s="20"/>
      <c r="BZ169" s="79"/>
      <c r="CA169" s="2"/>
    </row>
    <row r="170" customFormat="false" ht="12" hidden="false" customHeight="false" outlineLevel="0" collapsed="false">
      <c r="AM170" s="7"/>
      <c r="AN170" s="21"/>
      <c r="AO170" s="21"/>
      <c r="AP170" s="21"/>
      <c r="AQ170" s="21"/>
      <c r="AR170" s="21"/>
      <c r="AS170" s="21"/>
      <c r="AT170" s="21"/>
      <c r="AU170" s="21"/>
      <c r="AW170" s="13"/>
      <c r="AY170" s="20"/>
      <c r="AZ170" s="73"/>
      <c r="BA170" s="74"/>
      <c r="BB170" s="76"/>
      <c r="BC170" s="73"/>
      <c r="BD170" s="75"/>
      <c r="BE170" s="73"/>
      <c r="BP170" s="78"/>
      <c r="BQ170" s="70"/>
      <c r="BT170" s="20"/>
      <c r="BU170" s="81"/>
      <c r="BV170" s="2"/>
      <c r="BY170" s="20"/>
      <c r="BZ170" s="79"/>
      <c r="CA170" s="2"/>
    </row>
    <row r="171" customFormat="false" ht="12" hidden="false" customHeight="false" outlineLevel="0" collapsed="false">
      <c r="AM171" s="7"/>
      <c r="AN171" s="21"/>
      <c r="AO171" s="21"/>
      <c r="AP171" s="21"/>
      <c r="AQ171" s="21"/>
      <c r="AR171" s="21"/>
      <c r="AS171" s="21"/>
      <c r="AT171" s="21"/>
      <c r="AU171" s="21"/>
      <c r="AW171" s="13"/>
      <c r="AY171" s="20"/>
      <c r="AZ171" s="73"/>
      <c r="BA171" s="74"/>
      <c r="BB171" s="76"/>
      <c r="BC171" s="73"/>
      <c r="BD171" s="75"/>
      <c r="BE171" s="73"/>
      <c r="BP171" s="78"/>
      <c r="BQ171" s="70"/>
      <c r="BT171" s="20"/>
      <c r="BU171" s="81"/>
      <c r="BV171" s="2"/>
      <c r="BY171" s="20"/>
      <c r="BZ171" s="79"/>
      <c r="CA171" s="2"/>
      <c r="CF171" s="2"/>
    </row>
    <row r="172" customFormat="false" ht="12" hidden="false" customHeight="false" outlineLevel="0" collapsed="false">
      <c r="BB172" s="73"/>
      <c r="BC172" s="73"/>
      <c r="BD172" s="73"/>
      <c r="BE172" s="73"/>
      <c r="BW172" s="82"/>
      <c r="BX172" s="82"/>
      <c r="BY172" s="20"/>
      <c r="BZ172" s="79"/>
      <c r="CA172" s="2"/>
    </row>
    <row r="173" customFormat="false" ht="12" hidden="false" customHeight="false" outlineLevel="0" collapsed="false">
      <c r="AZ173" s="73"/>
      <c r="BA173" s="73"/>
      <c r="BB173" s="85"/>
      <c r="BC173" s="73"/>
      <c r="BD173" s="73"/>
      <c r="BE173" s="73"/>
      <c r="BF173" s="73"/>
      <c r="BW173" s="82"/>
      <c r="BX173" s="82"/>
      <c r="BY173" s="20"/>
      <c r="BZ173" s="79"/>
      <c r="CA173" s="2"/>
    </row>
    <row r="174" customFormat="false" ht="12" hidden="false" customHeight="false" outlineLevel="0" collapsed="false">
      <c r="AZ174" s="73"/>
      <c r="BA174" s="73"/>
      <c r="BB174" s="73"/>
      <c r="BC174" s="73"/>
      <c r="BD174" s="73"/>
      <c r="BE174" s="73"/>
      <c r="BF174" s="73"/>
    </row>
    <row r="175" customFormat="false" ht="12" hidden="false" customHeight="false" outlineLevel="0" collapsed="false">
      <c r="AM175" s="2"/>
      <c r="AZ175" s="73"/>
      <c r="BA175" s="73"/>
      <c r="BB175" s="73"/>
      <c r="BC175" s="73"/>
      <c r="BD175" s="73"/>
      <c r="BE175" s="73"/>
      <c r="BF175" s="73"/>
    </row>
    <row r="176" customFormat="false" ht="12" hidden="false" customHeight="false" outlineLevel="0" collapsed="false">
      <c r="AN176" s="7"/>
      <c r="AO176" s="7"/>
      <c r="AP176" s="7"/>
      <c r="AQ176" s="7"/>
      <c r="AR176" s="7"/>
      <c r="AS176" s="7"/>
      <c r="AT176" s="7"/>
      <c r="AU176" s="7"/>
      <c r="AW176" s="21"/>
      <c r="AZ176" s="73"/>
      <c r="BA176" s="73"/>
      <c r="BB176" s="73"/>
      <c r="BC176" s="73"/>
      <c r="BD176" s="73"/>
      <c r="BE176" s="73"/>
      <c r="BF176" s="73"/>
      <c r="BK176" s="2"/>
      <c r="BP176" s="2"/>
      <c r="BT176" s="2"/>
      <c r="BY176" s="2"/>
      <c r="CD176" s="2"/>
      <c r="CI176" s="2"/>
      <c r="CM176" s="2"/>
    </row>
    <row r="177" customFormat="false" ht="12" hidden="false" customHeight="false" outlineLevel="0" collapsed="false">
      <c r="AM177" s="7"/>
      <c r="AN177" s="21"/>
      <c r="AO177" s="21"/>
      <c r="AP177" s="21"/>
      <c r="AQ177" s="21"/>
      <c r="AR177" s="42"/>
      <c r="AS177" s="42"/>
      <c r="AT177" s="42"/>
      <c r="AU177" s="42"/>
      <c r="AW177" s="21"/>
      <c r="AY177" s="21"/>
      <c r="AZ177" s="73"/>
      <c r="BA177" s="15"/>
      <c r="BB177" s="73"/>
      <c r="BC177" s="71"/>
      <c r="BD177" s="71"/>
      <c r="BE177" s="73"/>
      <c r="BF177" s="49"/>
      <c r="BK177" s="15"/>
      <c r="BL177" s="70"/>
      <c r="BM177" s="2"/>
      <c r="BP177" s="7"/>
      <c r="BQ177" s="70"/>
      <c r="BR177" s="2"/>
      <c r="BT177" s="7"/>
      <c r="BU177" s="70"/>
      <c r="BV177" s="2"/>
      <c r="BY177" s="7"/>
      <c r="BZ177" s="70"/>
      <c r="CA177" s="2"/>
      <c r="CD177" s="7"/>
      <c r="CE177" s="70"/>
      <c r="CF177" s="2"/>
      <c r="CI177" s="7"/>
      <c r="CJ177" s="70"/>
      <c r="CK177" s="2"/>
      <c r="CM177" s="7"/>
      <c r="CN177" s="70"/>
      <c r="CO177" s="2"/>
    </row>
    <row r="178" customFormat="false" ht="12" hidden="false" customHeight="false" outlineLevel="0" collapsed="false">
      <c r="AM178" s="7"/>
      <c r="AN178" s="21"/>
      <c r="AO178" s="21"/>
      <c r="AP178" s="21"/>
      <c r="AQ178" s="21"/>
      <c r="AR178" s="42"/>
      <c r="AS178" s="42"/>
      <c r="AT178" s="42"/>
      <c r="AU178" s="42"/>
      <c r="AW178" s="21"/>
      <c r="AY178" s="21"/>
      <c r="AZ178" s="73"/>
      <c r="BA178" s="15"/>
      <c r="BB178" s="73"/>
      <c r="BC178" s="71"/>
      <c r="BD178" s="71"/>
      <c r="BE178" s="73"/>
      <c r="BF178" s="49"/>
      <c r="BK178" s="15"/>
      <c r="BL178" s="70"/>
      <c r="BM178" s="2"/>
      <c r="BP178" s="7"/>
      <c r="BQ178" s="70"/>
      <c r="BR178" s="2"/>
      <c r="BT178" s="7"/>
      <c r="BU178" s="70"/>
      <c r="BV178" s="2"/>
      <c r="BY178" s="7"/>
      <c r="BZ178" s="70"/>
      <c r="CA178" s="2"/>
      <c r="CD178" s="7"/>
      <c r="CE178" s="70"/>
      <c r="CF178" s="2"/>
      <c r="CI178" s="7"/>
      <c r="CJ178" s="70"/>
      <c r="CK178" s="2"/>
      <c r="CM178" s="7"/>
      <c r="CN178" s="70"/>
      <c r="CO178" s="2"/>
    </row>
    <row r="179" customFormat="false" ht="12" hidden="false" customHeight="false" outlineLevel="0" collapsed="false">
      <c r="AM179" s="7"/>
      <c r="AN179" s="21"/>
      <c r="AO179" s="21"/>
      <c r="AP179" s="21"/>
      <c r="AQ179" s="21"/>
      <c r="AR179" s="42"/>
      <c r="AS179" s="42"/>
      <c r="AT179" s="42"/>
      <c r="AU179" s="42"/>
      <c r="AV179" s="7"/>
      <c r="AW179" s="21"/>
      <c r="AX179" s="7"/>
      <c r="AY179" s="21"/>
      <c r="AZ179" s="60"/>
      <c r="BA179" s="15"/>
      <c r="BB179" s="60"/>
      <c r="BC179" s="71"/>
      <c r="BD179" s="71"/>
      <c r="BE179" s="60"/>
      <c r="BF179" s="49"/>
      <c r="BK179" s="15"/>
      <c r="BL179" s="70"/>
      <c r="BM179" s="2"/>
      <c r="BP179" s="7"/>
      <c r="BQ179" s="70"/>
      <c r="BR179" s="2"/>
      <c r="BT179" s="7"/>
      <c r="BU179" s="70"/>
      <c r="BV179" s="2"/>
      <c r="BY179" s="7"/>
      <c r="BZ179" s="70"/>
      <c r="CA179" s="2"/>
      <c r="CD179" s="7"/>
      <c r="CE179" s="70"/>
      <c r="CF179" s="2"/>
      <c r="CI179" s="7"/>
      <c r="CJ179" s="70"/>
      <c r="CK179" s="2"/>
      <c r="CM179" s="7"/>
      <c r="CN179" s="70"/>
      <c r="CO179" s="2"/>
    </row>
    <row r="180" customFormat="false" ht="12" hidden="false" customHeight="false" outlineLevel="0" collapsed="false">
      <c r="AM180" s="7"/>
      <c r="AN180" s="7"/>
      <c r="AO180" s="7"/>
      <c r="AP180" s="7"/>
      <c r="AQ180" s="7"/>
      <c r="AR180" s="21"/>
      <c r="AS180" s="21"/>
      <c r="AT180" s="21"/>
      <c r="AU180" s="21"/>
      <c r="AW180" s="21"/>
      <c r="AY180" s="21"/>
      <c r="AZ180" s="73"/>
      <c r="BA180" s="15"/>
      <c r="BB180" s="73"/>
      <c r="BC180" s="71"/>
      <c r="BD180" s="71"/>
      <c r="BE180" s="73"/>
      <c r="BF180" s="49"/>
      <c r="BK180" s="15"/>
      <c r="BL180" s="70"/>
      <c r="BM180" s="2"/>
      <c r="BP180" s="7"/>
      <c r="BQ180" s="70"/>
      <c r="BR180" s="2"/>
      <c r="BT180" s="7"/>
      <c r="BU180" s="70"/>
      <c r="BV180" s="2"/>
      <c r="BY180" s="7"/>
      <c r="BZ180" s="70"/>
      <c r="CA180" s="2"/>
      <c r="CD180" s="7"/>
      <c r="CE180" s="70"/>
      <c r="CF180" s="2"/>
      <c r="CI180" s="7"/>
      <c r="CJ180" s="70"/>
      <c r="CK180" s="2"/>
      <c r="CM180" s="7"/>
      <c r="CN180" s="70"/>
      <c r="CO180" s="2"/>
    </row>
    <row r="181" customFormat="false" ht="12" hidden="false" customHeight="false" outlineLevel="0" collapsed="false">
      <c r="AM181" s="7"/>
      <c r="AN181" s="7"/>
      <c r="AO181" s="7"/>
      <c r="AP181" s="7"/>
      <c r="AQ181" s="7"/>
      <c r="AR181" s="21"/>
      <c r="AS181" s="21"/>
      <c r="AT181" s="21"/>
      <c r="AU181" s="21"/>
      <c r="AW181" s="21"/>
      <c r="AY181" s="21"/>
      <c r="AZ181" s="73"/>
      <c r="BA181" s="15"/>
      <c r="BB181" s="73"/>
      <c r="BC181" s="71"/>
      <c r="BD181" s="71"/>
      <c r="BE181" s="73"/>
      <c r="BF181" s="49"/>
      <c r="BK181" s="15"/>
      <c r="BL181" s="70"/>
      <c r="BM181" s="2"/>
      <c r="BP181" s="7"/>
      <c r="BQ181" s="70"/>
      <c r="BR181" s="2"/>
      <c r="BT181" s="7"/>
      <c r="BU181" s="70"/>
      <c r="BV181" s="2"/>
      <c r="BY181" s="7"/>
      <c r="BZ181" s="70"/>
      <c r="CA181" s="2"/>
      <c r="CD181" s="7"/>
      <c r="CE181" s="70"/>
      <c r="CF181" s="2"/>
      <c r="CI181" s="7"/>
      <c r="CJ181" s="70"/>
      <c r="CK181" s="2"/>
      <c r="CM181" s="7"/>
      <c r="CN181" s="70"/>
      <c r="CO181" s="2"/>
    </row>
    <row r="182" customFormat="false" ht="12" hidden="false" customHeight="false" outlineLevel="0" collapsed="false">
      <c r="AM182" s="7"/>
      <c r="AN182" s="7"/>
      <c r="AO182" s="7"/>
      <c r="AP182" s="7"/>
      <c r="AQ182" s="7"/>
      <c r="AR182" s="21"/>
      <c r="AS182" s="21"/>
      <c r="AT182" s="21"/>
      <c r="AU182" s="21"/>
      <c r="AW182" s="21"/>
      <c r="AY182" s="21"/>
      <c r="AZ182" s="73"/>
      <c r="BA182" s="15"/>
      <c r="BB182" s="73"/>
      <c r="BC182" s="71"/>
      <c r="BD182" s="71"/>
      <c r="BE182" s="73"/>
      <c r="BF182" s="49"/>
      <c r="BK182" s="15"/>
      <c r="BL182" s="70"/>
      <c r="BM182" s="2"/>
      <c r="BP182" s="7"/>
      <c r="BQ182" s="70"/>
      <c r="BR182" s="2"/>
      <c r="BT182" s="7"/>
      <c r="BU182" s="70"/>
      <c r="BV182" s="2"/>
      <c r="BY182" s="7"/>
      <c r="BZ182" s="70"/>
      <c r="CA182" s="2"/>
      <c r="CD182" s="7"/>
      <c r="CE182" s="70"/>
      <c r="CF182" s="2"/>
      <c r="CI182" s="7"/>
      <c r="CJ182" s="70"/>
      <c r="CK182" s="2"/>
      <c r="CM182" s="7"/>
      <c r="CN182" s="70"/>
      <c r="CO182" s="2"/>
    </row>
    <row r="183" customFormat="false" ht="12" hidden="false" customHeight="false" outlineLevel="0" collapsed="false">
      <c r="AW183" s="21"/>
      <c r="AZ183" s="73"/>
      <c r="BA183" s="73"/>
      <c r="BB183" s="73"/>
      <c r="BC183" s="73"/>
      <c r="BD183" s="73"/>
      <c r="BE183" s="73"/>
      <c r="BF183" s="73"/>
      <c r="BT183" s="70"/>
    </row>
    <row r="184" customFormat="false" ht="12" hidden="false" customHeight="false" outlineLevel="0" collapsed="false">
      <c r="AW184" s="21"/>
      <c r="BE184" s="73"/>
      <c r="BF184" s="73"/>
    </row>
    <row r="185" customFormat="false" ht="12" hidden="false" customHeight="false" outlineLevel="0" collapsed="false">
      <c r="AW185" s="21"/>
      <c r="AZ185" s="73"/>
      <c r="BA185" s="73"/>
      <c r="BB185" s="73"/>
      <c r="BC185" s="73"/>
      <c r="BD185" s="73"/>
      <c r="BE185" s="73"/>
      <c r="BF185" s="73"/>
      <c r="BK185" s="2"/>
      <c r="BR185" s="86"/>
    </row>
    <row r="186" customFormat="false" ht="12" hidden="false" customHeight="false" outlineLevel="0" collapsed="false">
      <c r="AW186" s="21"/>
      <c r="BL186" s="79"/>
      <c r="BM186" s="2"/>
    </row>
    <row r="187" customFormat="false" ht="12" hidden="false" customHeight="false" outlineLevel="0" collapsed="false">
      <c r="BL187" s="79"/>
      <c r="BM187" s="2"/>
    </row>
    <row r="190" customFormat="false" ht="12" hidden="false" customHeight="false" outlineLevel="0" collapsed="false">
      <c r="BL190" s="79"/>
      <c r="BM190" s="2"/>
    </row>
    <row r="191" customFormat="false" ht="12" hidden="false" customHeight="false" outlineLevel="0" collapsed="false">
      <c r="BL191" s="79"/>
      <c r="BM191" s="2"/>
    </row>
    <row r="192" customFormat="false" ht="12" hidden="false" customHeight="false" outlineLevel="0" collapsed="false">
      <c r="BL192" s="79"/>
      <c r="BM192" s="2"/>
    </row>
    <row r="193" customFormat="false" ht="12" hidden="false" customHeight="false" outlineLevel="0" collapsed="false">
      <c r="BL193" s="79"/>
      <c r="BM193" s="2"/>
    </row>
    <row r="195" customFormat="false" ht="12" hidden="false" customHeight="false" outlineLevel="0" collapsed="false">
      <c r="BL195" s="79"/>
      <c r="BM195" s="2"/>
    </row>
    <row r="198" customFormat="false" ht="12" hidden="false" customHeight="false" outlineLevel="0" collapsed="false">
      <c r="BL198" s="79"/>
      <c r="BM198" s="2"/>
    </row>
    <row r="199" customFormat="false" ht="12" hidden="false" customHeight="false" outlineLevel="0" collapsed="false">
      <c r="BL199" s="79"/>
      <c r="BM199" s="2"/>
    </row>
    <row r="200" customFormat="false" ht="12" hidden="false" customHeight="false" outlineLevel="0" collapsed="false">
      <c r="BL200" s="79"/>
      <c r="BM200" s="2"/>
    </row>
    <row r="201" customFormat="false" ht="12" hidden="false" customHeight="false" outlineLevel="0" collapsed="false">
      <c r="BL201" s="79"/>
      <c r="BM201" s="2"/>
    </row>
    <row r="203" customFormat="false" ht="12" hidden="false" customHeight="false" outlineLevel="0" collapsed="false">
      <c r="BL203" s="79"/>
      <c r="BM203" s="2"/>
    </row>
    <row r="206" customFormat="false" ht="12" hidden="false" customHeight="false" outlineLevel="0" collapsed="false">
      <c r="BL206" s="79"/>
      <c r="BM206" s="2"/>
    </row>
    <row r="207" customFormat="false" ht="12" hidden="false" customHeight="false" outlineLevel="0" collapsed="false">
      <c r="BL207" s="79"/>
      <c r="BM207" s="2"/>
    </row>
    <row r="208" customFormat="false" ht="12" hidden="false" customHeight="false" outlineLevel="0" collapsed="false">
      <c r="BL208" s="79"/>
      <c r="BM208" s="2"/>
    </row>
    <row r="209" customFormat="false" ht="12" hidden="false" customHeight="false" outlineLevel="0" collapsed="false">
      <c r="BL209" s="79"/>
      <c r="BM209" s="2"/>
    </row>
    <row r="219" customFormat="false" ht="12" hidden="false" customHeight="false" outlineLevel="0" collapsed="false">
      <c r="BF219" s="73"/>
    </row>
    <row r="220" customFormat="false" ht="12" hidden="false" customHeight="false" outlineLevel="0" collapsed="false">
      <c r="BF220" s="73"/>
    </row>
    <row r="221" customFormat="false" ht="12" hidden="false" customHeight="false" outlineLevel="0" collapsed="false">
      <c r="BF221" s="73"/>
    </row>
    <row r="222" customFormat="false" ht="12" hidden="false" customHeight="false" outlineLevel="0" collapsed="false">
      <c r="BF222" s="73"/>
    </row>
    <row r="223" customFormat="false" ht="12" hidden="false" customHeight="false" outlineLevel="0" collapsed="false">
      <c r="BF223" s="73"/>
    </row>
    <row r="224" customFormat="false" ht="12" hidden="false" customHeight="false" outlineLevel="0" collapsed="false">
      <c r="BF224" s="73"/>
    </row>
    <row r="225" customFormat="false" ht="12" hidden="false" customHeight="false" outlineLevel="0" collapsed="false">
      <c r="BF225" s="73"/>
    </row>
    <row r="226" customFormat="false" ht="12" hidden="false" customHeight="false" outlineLevel="0" collapsed="false">
      <c r="BF226" s="73"/>
    </row>
    <row r="227" customFormat="false" ht="12" hidden="false" customHeight="false" outlineLevel="0" collapsed="false">
      <c r="BF227" s="73"/>
    </row>
  </sheetData>
  <mergeCells count="1">
    <mergeCell ref="AT84:AT85"/>
  </mergeCells>
  <conditionalFormatting sqref="AZ43:AZ54">
    <cfRule type="expression" priority="2" aboveAverage="0" equalAverage="0" bottom="0" percent="0" rank="0" text="" dxfId="0">
      <formula>ABS(AZ43)&lt;0.1</formula>
    </cfRule>
  </conditionalFormatting>
  <conditionalFormatting sqref="AK43:AV54">
    <cfRule type="expression" priority="3" aboveAverage="0" equalAverage="0" bottom="0" percent="0" rank="0" text="" dxfId="1">
      <formula>ABS(AK43)&lt;0.1</formula>
    </cfRule>
  </conditionalFormatting>
  <conditionalFormatting sqref="BR166:BR168">
    <cfRule type="cellIs" priority="4" operator="equal" aboveAverage="0" equalAverage="0" bottom="0" percent="0" rank="0" text="" dxfId="2">
      <formula>"VIRHE!"</formula>
    </cfRule>
    <cfRule type="cellIs" priority="5" operator="equal" aboveAverage="0" equalAverage="0" bottom="0" percent="0" rank="0" text="" dxfId="3">
      <formula>"OK!"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W233"/>
  <sheetViews>
    <sheetView showFormulas="false" showGridLines="true" showRowColHeaders="true" showZeros="true" rightToLeft="false" tabSelected="false" showOutlineSymbols="true" defaultGridColor="true" view="normal" topLeftCell="AC13" colorId="64" zoomScale="100" zoomScaleNormal="100" zoomScalePageLayoutView="100" workbookViewId="0">
      <selection pane="topLeft" activeCell="BF58" activeCellId="0" sqref="BF58"/>
    </sheetView>
  </sheetViews>
  <sheetFormatPr defaultColWidth="9.140625" defaultRowHeight="12" customHeight="false" zeroHeight="false" outlineLevelRow="0" outlineLevelCol="0"/>
  <cols>
    <col collapsed="false" customWidth="false" hidden="false" outlineLevel="0" max="35" min="1" style="34" width="9.14"/>
    <col collapsed="false" customWidth="true" hidden="false" outlineLevel="0" max="36" min="36" style="34" width="10.72"/>
    <col collapsed="false" customWidth="true" hidden="false" outlineLevel="0" max="37" min="37" style="34" width="9.57"/>
    <col collapsed="false" customWidth="true" hidden="false" outlineLevel="0" max="38" min="38" style="34" width="12.57"/>
    <col collapsed="false" customWidth="true" hidden="false" outlineLevel="0" max="39" min="39" style="34" width="10.57"/>
    <col collapsed="false" customWidth="true" hidden="false" outlineLevel="0" max="40" min="40" style="34" width="9.3"/>
    <col collapsed="false" customWidth="true" hidden="false" outlineLevel="0" max="41" min="41" style="34" width="13.13"/>
    <col collapsed="false" customWidth="true" hidden="false" outlineLevel="0" max="43" min="42" style="34" width="9.3"/>
    <col collapsed="false" customWidth="true" hidden="false" outlineLevel="0" max="44" min="44" style="34" width="12.57"/>
    <col collapsed="false" customWidth="true" hidden="false" outlineLevel="0" max="45" min="45" style="34" width="10.57"/>
    <col collapsed="false" customWidth="true" hidden="false" outlineLevel="0" max="46" min="46" style="34" width="12.42"/>
    <col collapsed="false" customWidth="true" hidden="false" outlineLevel="0" max="47" min="47" style="34" width="13.13"/>
    <col collapsed="false" customWidth="true" hidden="false" outlineLevel="0" max="48" min="48" style="34" width="12.42"/>
    <col collapsed="false" customWidth="true" hidden="false" outlineLevel="0" max="50" min="49" style="34" width="11.57"/>
    <col collapsed="false" customWidth="false" hidden="false" outlineLevel="0" max="53" min="51" style="34" width="9.14"/>
    <col collapsed="false" customWidth="true" hidden="false" outlineLevel="0" max="54" min="54" style="34" width="12.28"/>
    <col collapsed="false" customWidth="false" hidden="false" outlineLevel="0" max="57" min="55" style="34" width="9.14"/>
    <col collapsed="false" customWidth="true" hidden="false" outlineLevel="0" max="58" min="58" style="34" width="11.57"/>
    <col collapsed="false" customWidth="false" hidden="false" outlineLevel="0" max="16384" min="59" style="34" width="9.14"/>
  </cols>
  <sheetData>
    <row r="1" customFormat="false" ht="12" hidden="false" customHeight="false" outlineLevel="0" collapsed="false">
      <c r="A1" s="7"/>
      <c r="B1" s="7" t="s">
        <v>0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  <c r="BG1" s="7"/>
      <c r="BH1" s="7"/>
      <c r="BI1" s="7"/>
      <c r="BJ1" s="7"/>
      <c r="BK1" s="7"/>
      <c r="BL1" s="7"/>
      <c r="BM1" s="7"/>
      <c r="BN1" s="7"/>
    </row>
    <row r="2" customFormat="false" ht="12" hidden="false" customHeight="false" outlineLevel="0" collapsed="false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</row>
    <row r="3" customFormat="false" ht="12" hidden="false" customHeight="false" outlineLevel="0" collapsed="false">
      <c r="A3" s="7"/>
      <c r="B3" s="87" t="s">
        <v>1</v>
      </c>
      <c r="C3" s="7"/>
      <c r="D3" s="7"/>
      <c r="E3" s="3"/>
      <c r="F3" s="3"/>
      <c r="G3" s="7"/>
      <c r="H3" s="7"/>
      <c r="I3" s="7"/>
      <c r="J3" s="7"/>
      <c r="K3" s="7"/>
      <c r="L3" s="87" t="s">
        <v>2</v>
      </c>
      <c r="M3" s="7"/>
      <c r="N3" s="7"/>
      <c r="O3" s="3"/>
      <c r="P3" s="3"/>
      <c r="Q3" s="7"/>
      <c r="R3" s="7"/>
      <c r="S3" s="88"/>
      <c r="T3" s="7"/>
      <c r="U3" s="7"/>
      <c r="V3" s="87" t="s">
        <v>3</v>
      </c>
      <c r="W3" s="7"/>
      <c r="X3" s="3"/>
      <c r="Y3" s="3"/>
      <c r="Z3" s="7"/>
      <c r="AA3" s="7"/>
      <c r="AB3" s="7"/>
      <c r="AC3" s="7"/>
      <c r="AD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</row>
    <row r="4" customFormat="false" ht="12" hidden="false" customHeight="false" outlineLevel="0" collapsed="false">
      <c r="A4" s="7"/>
      <c r="B4" s="52" t="s">
        <v>4</v>
      </c>
      <c r="C4" s="7"/>
      <c r="D4" s="7"/>
      <c r="E4" s="89" t="n">
        <v>90</v>
      </c>
      <c r="F4" s="7" t="s">
        <v>5</v>
      </c>
      <c r="G4" s="7"/>
      <c r="H4" s="7"/>
      <c r="I4" s="7"/>
      <c r="J4" s="7"/>
      <c r="K4" s="7"/>
      <c r="L4" s="52" t="s">
        <v>4</v>
      </c>
      <c r="M4" s="7"/>
      <c r="N4" s="7"/>
      <c r="O4" s="90" t="n">
        <v>0</v>
      </c>
      <c r="P4" s="7" t="s">
        <v>5</v>
      </c>
      <c r="Q4" s="7"/>
      <c r="R4" s="7"/>
      <c r="S4" s="7"/>
      <c r="T4" s="7"/>
      <c r="U4" s="7"/>
      <c r="V4" s="52" t="s">
        <v>4</v>
      </c>
      <c r="W4" s="7"/>
      <c r="X4" s="7"/>
      <c r="Y4" s="90" t="n">
        <v>90</v>
      </c>
      <c r="Z4" s="7" t="s">
        <v>5</v>
      </c>
      <c r="AA4" s="7"/>
      <c r="AB4" s="7"/>
      <c r="AC4" s="7"/>
      <c r="AD4" s="7"/>
      <c r="AJ4" s="87" t="s">
        <v>6</v>
      </c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88"/>
      <c r="AZ4" s="87" t="s">
        <v>7</v>
      </c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</row>
    <row r="5" customFormat="false" ht="12" hidden="false" customHeight="false" outlineLevel="0" collapsed="false">
      <c r="A5" s="7"/>
      <c r="B5" s="7" t="s">
        <v>8</v>
      </c>
      <c r="C5" s="91" t="n">
        <f aca="false">COS(RADIANS(E4))</f>
        <v>6.12323399573677E-017</v>
      </c>
      <c r="D5" s="7" t="s">
        <v>9</v>
      </c>
      <c r="E5" s="90" t="n">
        <f aca="false">SIN(RADIANS(E4))</f>
        <v>1</v>
      </c>
      <c r="F5" s="7"/>
      <c r="G5" s="7"/>
      <c r="H5" s="7"/>
      <c r="I5" s="7"/>
      <c r="J5" s="7"/>
      <c r="K5" s="7"/>
      <c r="L5" s="52" t="s">
        <v>8</v>
      </c>
      <c r="M5" s="91" t="n">
        <f aca="false">IF(ROUND(COS(RADIANS(O4)),5)=0,0,COS(RADIANS(O4)))</f>
        <v>1</v>
      </c>
      <c r="N5" s="7" t="s">
        <v>9</v>
      </c>
      <c r="O5" s="90" t="n">
        <f aca="false">IF(ROUND(SIN(RADIANS(O4)),5)=0,0,SIN(RADIANS(O4)))</f>
        <v>0</v>
      </c>
      <c r="P5" s="7"/>
      <c r="Q5" s="7"/>
      <c r="R5" s="7"/>
      <c r="S5" s="7"/>
      <c r="T5" s="7"/>
      <c r="U5" s="7"/>
      <c r="V5" s="7" t="s">
        <v>8</v>
      </c>
      <c r="W5" s="91" t="n">
        <f aca="false">IF(ROUND(COS(RADIANS(Y4)),5)=0,0,COS(RADIANS(Y4)))</f>
        <v>0</v>
      </c>
      <c r="X5" s="7" t="s">
        <v>9</v>
      </c>
      <c r="Y5" s="90" t="n">
        <f aca="false">IF(ROUND(SIN(RADIANS(Y4)),5)=0,0,SIN(RADIANS(Y4)))</f>
        <v>1</v>
      </c>
      <c r="Z5" s="7"/>
      <c r="AA5" s="7"/>
      <c r="AB5" s="7"/>
      <c r="AC5" s="7"/>
      <c r="AD5" s="7"/>
      <c r="AJ5" s="11"/>
      <c r="AK5" s="11" t="n">
        <v>1</v>
      </c>
      <c r="AL5" s="11" t="n">
        <v>2</v>
      </c>
      <c r="AM5" s="11" t="n">
        <v>3</v>
      </c>
      <c r="AN5" s="11" t="n">
        <v>4</v>
      </c>
      <c r="AO5" s="11" t="n">
        <v>5</v>
      </c>
      <c r="AP5" s="11" t="n">
        <v>6</v>
      </c>
      <c r="AQ5" s="11" t="n">
        <v>7</v>
      </c>
      <c r="AR5" s="11" t="n">
        <v>8</v>
      </c>
      <c r="AS5" s="11" t="n">
        <v>9</v>
      </c>
      <c r="AT5" s="11" t="n">
        <v>10</v>
      </c>
      <c r="AU5" s="11" t="n">
        <v>11</v>
      </c>
      <c r="AV5" s="11" t="n">
        <v>12</v>
      </c>
      <c r="AW5" s="11" t="n">
        <v>13</v>
      </c>
      <c r="AX5" s="11" t="n">
        <v>14</v>
      </c>
      <c r="AY5" s="42"/>
      <c r="AZ5" s="11"/>
      <c r="BA5" s="11" t="n">
        <v>1</v>
      </c>
      <c r="BB5" s="11" t="n">
        <v>2</v>
      </c>
      <c r="BC5" s="11" t="n">
        <v>3</v>
      </c>
      <c r="BD5" s="11" t="n">
        <v>4</v>
      </c>
      <c r="BE5" s="11" t="n">
        <v>5</v>
      </c>
      <c r="BF5" s="11" t="n">
        <v>6</v>
      </c>
      <c r="BG5" s="11" t="n">
        <v>7</v>
      </c>
      <c r="BH5" s="11" t="n">
        <v>8</v>
      </c>
      <c r="BI5" s="11" t="n">
        <v>9</v>
      </c>
      <c r="BJ5" s="11" t="n">
        <v>10</v>
      </c>
      <c r="BK5" s="11" t="n">
        <v>11</v>
      </c>
      <c r="BL5" s="11" t="n">
        <v>12</v>
      </c>
      <c r="BM5" s="11" t="n">
        <v>13</v>
      </c>
      <c r="BN5" s="11" t="n">
        <v>14</v>
      </c>
    </row>
    <row r="6" customFormat="false" ht="12" hidden="false" customHeight="false" outlineLevel="0" collapsed="false">
      <c r="A6" s="7"/>
      <c r="B6" s="52" t="s">
        <v>11</v>
      </c>
      <c r="C6" s="7"/>
      <c r="D6" s="7"/>
      <c r="E6" s="90" t="n">
        <v>4000</v>
      </c>
      <c r="F6" s="7" t="s">
        <v>12</v>
      </c>
      <c r="G6" s="7"/>
      <c r="H6" s="7"/>
      <c r="I6" s="7"/>
      <c r="J6" s="7"/>
      <c r="K6" s="7"/>
      <c r="L6" s="52" t="s">
        <v>11</v>
      </c>
      <c r="M6" s="7"/>
      <c r="N6" s="7"/>
      <c r="O6" s="90" t="n">
        <v>6000</v>
      </c>
      <c r="P6" s="7" t="s">
        <v>12</v>
      </c>
      <c r="Q6" s="7"/>
      <c r="R6" s="7"/>
      <c r="S6" s="7"/>
      <c r="T6" s="7"/>
      <c r="U6" s="7"/>
      <c r="V6" s="52" t="s">
        <v>11</v>
      </c>
      <c r="W6" s="7"/>
      <c r="X6" s="7"/>
      <c r="Y6" s="90" t="n">
        <v>4000</v>
      </c>
      <c r="Z6" s="7" t="s">
        <v>12</v>
      </c>
      <c r="AA6" s="7"/>
      <c r="AB6" s="7"/>
      <c r="AC6" s="7"/>
      <c r="AD6" s="7"/>
      <c r="AJ6" s="11" t="n">
        <v>1</v>
      </c>
      <c r="AK6" s="12" t="n">
        <f aca="false">B20</f>
        <v>328.125</v>
      </c>
      <c r="AL6" s="12" t="n">
        <f aca="false">C20</f>
        <v>3.21268866160695E-011</v>
      </c>
      <c r="AM6" s="12" t="n">
        <f aca="false">D20</f>
        <v>-656250</v>
      </c>
      <c r="AN6" s="12" t="n">
        <f aca="false">E20</f>
        <v>-328.125</v>
      </c>
      <c r="AO6" s="12" t="n">
        <f aca="false">F20</f>
        <v>-3.21268866160695E-011</v>
      </c>
      <c r="AP6" s="7"/>
      <c r="AQ6" s="7"/>
      <c r="AR6" s="7"/>
      <c r="AS6" s="7"/>
      <c r="AT6" s="7"/>
      <c r="AU6" s="7"/>
      <c r="AV6" s="7"/>
      <c r="AW6" s="12" t="n">
        <f aca="false">G20</f>
        <v>-656250</v>
      </c>
      <c r="AX6" s="92"/>
      <c r="AY6" s="21" t="n">
        <f aca="false">I20</f>
        <v>20000</v>
      </c>
      <c r="AZ6" s="11" t="n">
        <v>1</v>
      </c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92"/>
    </row>
    <row r="7" customFormat="false" ht="12" hidden="false" customHeight="false" outlineLevel="0" collapsed="false">
      <c r="A7" s="7"/>
      <c r="B7" s="52" t="s">
        <v>13</v>
      </c>
      <c r="C7" s="7"/>
      <c r="D7" s="7"/>
      <c r="E7" s="93" t="n">
        <f aca="false">100*100</f>
        <v>10000</v>
      </c>
      <c r="F7" s="7" t="s">
        <v>14</v>
      </c>
      <c r="G7" s="7"/>
      <c r="H7" s="7"/>
      <c r="I7" s="7"/>
      <c r="J7" s="7"/>
      <c r="K7" s="7"/>
      <c r="L7" s="52" t="s">
        <v>13</v>
      </c>
      <c r="M7" s="7"/>
      <c r="N7" s="7"/>
      <c r="O7" s="93" t="n">
        <f aca="false">100*200</f>
        <v>20000</v>
      </c>
      <c r="P7" s="7" t="s">
        <v>14</v>
      </c>
      <c r="Q7" s="7"/>
      <c r="R7" s="7"/>
      <c r="S7" s="7"/>
      <c r="T7" s="7"/>
      <c r="U7" s="7"/>
      <c r="V7" s="52" t="s">
        <v>13</v>
      </c>
      <c r="W7" s="7"/>
      <c r="X7" s="15"/>
      <c r="Y7" s="93" t="n">
        <f aca="false">E7</f>
        <v>10000</v>
      </c>
      <c r="Z7" s="7" t="s">
        <v>14</v>
      </c>
      <c r="AA7" s="7"/>
      <c r="AB7" s="7"/>
      <c r="AC7" s="7"/>
      <c r="AD7" s="7"/>
      <c r="AJ7" s="11" t="n">
        <v>2</v>
      </c>
      <c r="AK7" s="12" t="n">
        <f aca="false">B21</f>
        <v>3.21268866160695E-011</v>
      </c>
      <c r="AL7" s="12" t="n">
        <f aca="false">C21</f>
        <v>525000</v>
      </c>
      <c r="AM7" s="12" t="n">
        <f aca="false">D21</f>
        <v>4.01837230970225E-011</v>
      </c>
      <c r="AN7" s="12" t="n">
        <f aca="false">E21</f>
        <v>-3.21268866160695E-011</v>
      </c>
      <c r="AO7" s="12" t="n">
        <f aca="false">F21</f>
        <v>-525000</v>
      </c>
      <c r="AP7" s="7"/>
      <c r="AQ7" s="7"/>
      <c r="AR7" s="7"/>
      <c r="AS7" s="7"/>
      <c r="AT7" s="7"/>
      <c r="AU7" s="7"/>
      <c r="AV7" s="7"/>
      <c r="AW7" s="12" t="n">
        <f aca="false">G21</f>
        <v>4.01837230970225E-011</v>
      </c>
      <c r="AX7" s="92"/>
      <c r="AY7" s="21" t="n">
        <f aca="false">I21</f>
        <v>-1.22464679914735E-012</v>
      </c>
      <c r="AZ7" s="11" t="n">
        <v>2</v>
      </c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92"/>
    </row>
    <row r="8" customFormat="false" ht="12" hidden="false" customHeight="false" outlineLevel="0" collapsed="false">
      <c r="A8" s="7"/>
      <c r="B8" s="52" t="s">
        <v>15</v>
      </c>
      <c r="C8" s="7"/>
      <c r="D8" s="7"/>
      <c r="E8" s="93" t="n">
        <f aca="false">100*100^3/12</f>
        <v>8333333.33333333</v>
      </c>
      <c r="F8" s="7" t="s">
        <v>16</v>
      </c>
      <c r="G8" s="7"/>
      <c r="H8" s="7"/>
      <c r="I8" s="7"/>
      <c r="J8" s="7"/>
      <c r="K8" s="7"/>
      <c r="L8" s="52" t="s">
        <v>15</v>
      </c>
      <c r="M8" s="7"/>
      <c r="N8" s="7"/>
      <c r="O8" s="93" t="n">
        <f aca="false">100*200^3/12</f>
        <v>66666666.6666667</v>
      </c>
      <c r="P8" s="7" t="s">
        <v>16</v>
      </c>
      <c r="Q8" s="7"/>
      <c r="R8" s="7"/>
      <c r="S8" s="7"/>
      <c r="T8" s="7"/>
      <c r="U8" s="7"/>
      <c r="V8" s="52" t="s">
        <v>15</v>
      </c>
      <c r="W8" s="7"/>
      <c r="X8" s="15"/>
      <c r="Y8" s="93" t="n">
        <f aca="false">E8</f>
        <v>8333333.33333333</v>
      </c>
      <c r="Z8" s="7" t="s">
        <v>16</v>
      </c>
      <c r="AA8" s="7"/>
      <c r="AB8" s="7"/>
      <c r="AC8" s="7"/>
      <c r="AD8" s="7"/>
      <c r="AJ8" s="11" t="n">
        <v>3</v>
      </c>
      <c r="AK8" s="12" t="n">
        <f aca="false">B22</f>
        <v>-656250</v>
      </c>
      <c r="AL8" s="12" t="n">
        <f aca="false">C22</f>
        <v>4.01837230970225E-011</v>
      </c>
      <c r="AM8" s="12" t="n">
        <f aca="false">D22</f>
        <v>1750000000</v>
      </c>
      <c r="AN8" s="12" t="n">
        <f aca="false">E22</f>
        <v>656250</v>
      </c>
      <c r="AO8" s="12" t="n">
        <f aca="false">F22</f>
        <v>-4.01837230970225E-011</v>
      </c>
      <c r="AP8" s="7"/>
      <c r="AQ8" s="7"/>
      <c r="AR8" s="7"/>
      <c r="AS8" s="7"/>
      <c r="AT8" s="7"/>
      <c r="AU8" s="7"/>
      <c r="AV8" s="7"/>
      <c r="AW8" s="12" t="n">
        <f aca="false">G22</f>
        <v>875000000</v>
      </c>
      <c r="AX8" s="92"/>
      <c r="AY8" s="21" t="n">
        <f aca="false">I22</f>
        <v>-13333333.3333333</v>
      </c>
      <c r="AZ8" s="11" t="n">
        <v>3</v>
      </c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92"/>
    </row>
    <row r="9" customFormat="false" ht="12" hidden="false" customHeight="false" outlineLevel="0" collapsed="false">
      <c r="A9" s="7"/>
      <c r="B9" s="52" t="s">
        <v>17</v>
      </c>
      <c r="C9" s="7"/>
      <c r="D9" s="7"/>
      <c r="E9" s="93" t="n">
        <f aca="false">210*10^3</f>
        <v>210000</v>
      </c>
      <c r="F9" s="7" t="s">
        <v>18</v>
      </c>
      <c r="G9" s="7"/>
      <c r="H9" s="7"/>
      <c r="I9" s="7"/>
      <c r="J9" s="7"/>
      <c r="K9" s="7"/>
      <c r="L9" s="52" t="s">
        <v>17</v>
      </c>
      <c r="M9" s="7"/>
      <c r="N9" s="7"/>
      <c r="O9" s="93" t="n">
        <f aca="false">210*10^3</f>
        <v>210000</v>
      </c>
      <c r="P9" s="7" t="s">
        <v>19</v>
      </c>
      <c r="Q9" s="7"/>
      <c r="R9" s="7"/>
      <c r="S9" s="7"/>
      <c r="T9" s="7"/>
      <c r="U9" s="7"/>
      <c r="V9" s="52" t="s">
        <v>17</v>
      </c>
      <c r="W9" s="7"/>
      <c r="X9" s="15"/>
      <c r="Y9" s="93" t="n">
        <f aca="false">E9</f>
        <v>210000</v>
      </c>
      <c r="Z9" s="7" t="s">
        <v>20</v>
      </c>
      <c r="AA9" s="7"/>
      <c r="AB9" s="7"/>
      <c r="AC9" s="7"/>
      <c r="AD9" s="7"/>
      <c r="AJ9" s="11" t="n">
        <v>4</v>
      </c>
      <c r="AK9" s="12" t="n">
        <f aca="false">B23</f>
        <v>-328.125</v>
      </c>
      <c r="AL9" s="12" t="n">
        <f aca="false">C23</f>
        <v>-3.21268866160695E-011</v>
      </c>
      <c r="AM9" s="12" t="n">
        <f aca="false">D23</f>
        <v>656250</v>
      </c>
      <c r="AN9" s="12" t="n">
        <f aca="false">E23</f>
        <v>328.125</v>
      </c>
      <c r="AO9" s="12" t="n">
        <f aca="false">F23</f>
        <v>3.21268866160695E-011</v>
      </c>
      <c r="AP9" s="7"/>
      <c r="AQ9" s="7"/>
      <c r="AR9" s="7"/>
      <c r="AS9" s="7"/>
      <c r="AT9" s="7"/>
      <c r="AU9" s="7"/>
      <c r="AV9" s="7"/>
      <c r="AW9" s="12" t="n">
        <f aca="false">G23</f>
        <v>656250</v>
      </c>
      <c r="AX9" s="92"/>
      <c r="AY9" s="21" t="n">
        <f aca="false">I23</f>
        <v>20000</v>
      </c>
      <c r="AZ9" s="11" t="n">
        <v>4</v>
      </c>
      <c r="BA9" s="7"/>
      <c r="BB9" s="7"/>
      <c r="BC9" s="7"/>
      <c r="BD9" s="16" t="n">
        <f aca="false">L20</f>
        <v>700000</v>
      </c>
      <c r="BE9" s="16" t="n">
        <f aca="false">M20</f>
        <v>0</v>
      </c>
      <c r="BF9" s="16" t="n">
        <f aca="false">N20</f>
        <v>0</v>
      </c>
      <c r="BG9" s="7"/>
      <c r="BH9" s="7"/>
      <c r="BI9" s="7"/>
      <c r="BJ9" s="16" t="n">
        <f aca="false">O20</f>
        <v>-700000</v>
      </c>
      <c r="BK9" s="16" t="n">
        <f aca="false">P20</f>
        <v>0</v>
      </c>
      <c r="BL9" s="16" t="n">
        <f aca="false">Q20</f>
        <v>0</v>
      </c>
      <c r="BM9" s="17"/>
      <c r="BN9" s="94"/>
      <c r="BO9" s="95" t="n">
        <f aca="false" t="array" ref="BO9:BO11">S20:S22</f>
        <v>0</v>
      </c>
    </row>
    <row r="10" customFormat="false" ht="12" hidden="false" customHeight="false" outlineLevel="0" collapsed="false">
      <c r="A10" s="7"/>
      <c r="B10" s="52" t="s">
        <v>21</v>
      </c>
      <c r="C10" s="7"/>
      <c r="D10" s="7"/>
      <c r="E10" s="24" t="n">
        <f aca="false">E9*E7</f>
        <v>2100000000</v>
      </c>
      <c r="F10" s="7" t="s">
        <v>22</v>
      </c>
      <c r="G10" s="7"/>
      <c r="H10" s="7"/>
      <c r="I10" s="7"/>
      <c r="J10" s="7"/>
      <c r="K10" s="7"/>
      <c r="L10" s="52" t="s">
        <v>21</v>
      </c>
      <c r="M10" s="7"/>
      <c r="N10" s="7"/>
      <c r="O10" s="24" t="n">
        <f aca="false">O9*O7</f>
        <v>4200000000</v>
      </c>
      <c r="P10" s="7" t="s">
        <v>22</v>
      </c>
      <c r="Q10" s="7"/>
      <c r="R10" s="7"/>
      <c r="S10" s="7"/>
      <c r="T10" s="7"/>
      <c r="U10" s="7"/>
      <c r="V10" s="52" t="s">
        <v>21</v>
      </c>
      <c r="W10" s="7"/>
      <c r="X10" s="15"/>
      <c r="Y10" s="24" t="n">
        <f aca="false">E10</f>
        <v>2100000000</v>
      </c>
      <c r="Z10" s="7" t="s">
        <v>22</v>
      </c>
      <c r="AA10" s="7"/>
      <c r="AB10" s="7"/>
      <c r="AC10" s="7"/>
      <c r="AD10" s="7"/>
      <c r="AJ10" s="11" t="n">
        <v>5</v>
      </c>
      <c r="AK10" s="12" t="n">
        <f aca="false">B24</f>
        <v>-3.21268866160695E-011</v>
      </c>
      <c r="AL10" s="12" t="n">
        <f aca="false">C24</f>
        <v>-525000</v>
      </c>
      <c r="AM10" s="12" t="n">
        <f aca="false">D24</f>
        <v>-4.01837230970225E-011</v>
      </c>
      <c r="AN10" s="12" t="n">
        <f aca="false">E24</f>
        <v>3.21268866160695E-011</v>
      </c>
      <c r="AO10" s="12" t="n">
        <f aca="false">F24</f>
        <v>525000</v>
      </c>
      <c r="AP10" s="7"/>
      <c r="AQ10" s="7"/>
      <c r="AR10" s="7"/>
      <c r="AS10" s="7"/>
      <c r="AT10" s="7"/>
      <c r="AU10" s="7"/>
      <c r="AV10" s="7"/>
      <c r="AW10" s="12" t="n">
        <f aca="false">G24</f>
        <v>-4.01837230970225E-011</v>
      </c>
      <c r="AX10" s="92"/>
      <c r="AY10" s="21" t="n">
        <f aca="false">I24</f>
        <v>-1.22464679914735E-012</v>
      </c>
      <c r="AZ10" s="11" t="n">
        <v>5</v>
      </c>
      <c r="BA10" s="7"/>
      <c r="BB10" s="7"/>
      <c r="BC10" s="7"/>
      <c r="BD10" s="16" t="n">
        <f aca="false">L21</f>
        <v>0</v>
      </c>
      <c r="BE10" s="16" t="n">
        <f aca="false">M21</f>
        <v>777.777777777778</v>
      </c>
      <c r="BF10" s="16" t="n">
        <f aca="false">N21</f>
        <v>2333333.33333333</v>
      </c>
      <c r="BG10" s="7"/>
      <c r="BH10" s="7"/>
      <c r="BI10" s="7"/>
      <c r="BJ10" s="16" t="n">
        <f aca="false">O21</f>
        <v>0</v>
      </c>
      <c r="BK10" s="16" t="n">
        <f aca="false">P21</f>
        <v>-777.777777777778</v>
      </c>
      <c r="BL10" s="16" t="n">
        <f aca="false">Q21</f>
        <v>2333333.33333333</v>
      </c>
      <c r="BM10" s="17"/>
      <c r="BN10" s="94"/>
      <c r="BO10" s="34" t="n">
        <v>-30000</v>
      </c>
    </row>
    <row r="11" customFormat="false" ht="12" hidden="false" customHeight="false" outlineLevel="0" collapsed="false">
      <c r="A11" s="7"/>
      <c r="B11" s="52" t="s">
        <v>23</v>
      </c>
      <c r="C11" s="7"/>
      <c r="D11" s="7"/>
      <c r="E11" s="24" t="n">
        <f aca="false">E9*E8</f>
        <v>1750000000000</v>
      </c>
      <c r="F11" s="7" t="s">
        <v>24</v>
      </c>
      <c r="G11" s="7"/>
      <c r="H11" s="7"/>
      <c r="I11" s="7"/>
      <c r="J11" s="7"/>
      <c r="K11" s="7"/>
      <c r="L11" s="52" t="s">
        <v>23</v>
      </c>
      <c r="M11" s="7"/>
      <c r="N11" s="7"/>
      <c r="O11" s="24" t="n">
        <f aca="false">O9*O8</f>
        <v>14000000000000</v>
      </c>
      <c r="P11" s="7" t="s">
        <v>25</v>
      </c>
      <c r="Q11" s="7"/>
      <c r="R11" s="7"/>
      <c r="S11" s="7"/>
      <c r="T11" s="7"/>
      <c r="U11" s="7"/>
      <c r="V11" s="52" t="s">
        <v>23</v>
      </c>
      <c r="W11" s="7"/>
      <c r="X11" s="15"/>
      <c r="Y11" s="24" t="n">
        <f aca="false">E11</f>
        <v>1750000000000</v>
      </c>
      <c r="Z11" s="7" t="s">
        <v>25</v>
      </c>
      <c r="AA11" s="7"/>
      <c r="AB11" s="7"/>
      <c r="AC11" s="7"/>
      <c r="AD11" s="7"/>
      <c r="AJ11" s="11" t="n">
        <v>6</v>
      </c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92"/>
      <c r="AY11" s="7"/>
      <c r="AZ11" s="11" t="n">
        <v>6</v>
      </c>
      <c r="BA11" s="7"/>
      <c r="BB11" s="7"/>
      <c r="BC11" s="7"/>
      <c r="BD11" s="16" t="n">
        <f aca="false">L22</f>
        <v>0</v>
      </c>
      <c r="BE11" s="16" t="n">
        <f aca="false">M22</f>
        <v>2333333.33333333</v>
      </c>
      <c r="BF11" s="16" t="n">
        <f aca="false">N22</f>
        <v>9333333333.33333</v>
      </c>
      <c r="BG11" s="7"/>
      <c r="BH11" s="7"/>
      <c r="BI11" s="7"/>
      <c r="BJ11" s="16" t="n">
        <f aca="false">O22</f>
        <v>0</v>
      </c>
      <c r="BK11" s="16" t="n">
        <f aca="false">P22</f>
        <v>-2333333.33333333</v>
      </c>
      <c r="BL11" s="16" t="n">
        <f aca="false">Q22</f>
        <v>4666666666.66667</v>
      </c>
      <c r="BM11" s="17"/>
      <c r="BN11" s="94"/>
      <c r="BO11" s="34" t="n">
        <v>-30000000</v>
      </c>
    </row>
    <row r="12" customFormat="false" ht="12" hidden="false" customHeight="false" outlineLevel="0" collapsed="false">
      <c r="A12" s="7"/>
      <c r="B12" s="52"/>
      <c r="C12" s="7"/>
      <c r="D12" s="7"/>
      <c r="E12" s="7"/>
      <c r="F12" s="7"/>
      <c r="G12" s="7"/>
      <c r="H12" s="7"/>
      <c r="I12" s="7"/>
      <c r="J12" s="7"/>
      <c r="K12" s="7"/>
      <c r="L12" s="52"/>
      <c r="M12" s="7"/>
      <c r="N12" s="7"/>
      <c r="O12" s="7"/>
      <c r="P12" s="7"/>
      <c r="Q12" s="7"/>
      <c r="R12" s="7"/>
      <c r="S12" s="7"/>
      <c r="T12" s="7"/>
      <c r="U12" s="7"/>
      <c r="V12" s="52"/>
      <c r="W12" s="7"/>
      <c r="X12" s="15"/>
      <c r="Y12" s="7"/>
      <c r="Z12" s="7"/>
      <c r="AA12" s="7"/>
      <c r="AB12" s="7"/>
      <c r="AC12" s="7"/>
      <c r="AD12" s="7"/>
      <c r="AJ12" s="11" t="n">
        <v>7</v>
      </c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92"/>
      <c r="AY12" s="7"/>
      <c r="AZ12" s="11" t="n">
        <v>7</v>
      </c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17"/>
      <c r="BN12" s="94"/>
    </row>
    <row r="13" customFormat="false" ht="12" hidden="false" customHeight="false" outlineLevel="0" collapsed="false">
      <c r="A13" s="7"/>
      <c r="B13" s="87" t="s">
        <v>26</v>
      </c>
      <c r="C13" s="7"/>
      <c r="D13" s="7"/>
      <c r="E13" s="7"/>
      <c r="F13" s="7"/>
      <c r="G13" s="7"/>
      <c r="H13" s="7"/>
      <c r="I13" s="7"/>
      <c r="J13" s="7"/>
      <c r="K13" s="7"/>
      <c r="L13" s="87" t="s">
        <v>26</v>
      </c>
      <c r="M13" s="7"/>
      <c r="N13" s="7"/>
      <c r="O13" s="7"/>
      <c r="P13" s="7"/>
      <c r="Q13" s="7"/>
      <c r="R13" s="7"/>
      <c r="S13" s="7"/>
      <c r="T13" s="7"/>
      <c r="U13" s="7"/>
      <c r="V13" s="87" t="s">
        <v>26</v>
      </c>
      <c r="W13" s="7"/>
      <c r="X13" s="15"/>
      <c r="Y13" s="7"/>
      <c r="Z13" s="7"/>
      <c r="AA13" s="7"/>
      <c r="AB13" s="7"/>
      <c r="AC13" s="7"/>
      <c r="AD13" s="7"/>
      <c r="AJ13" s="11" t="n">
        <v>8</v>
      </c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92"/>
      <c r="AY13" s="7"/>
      <c r="AZ13" s="11" t="n">
        <v>8</v>
      </c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92"/>
    </row>
    <row r="14" customFormat="false" ht="12" hidden="false" customHeight="false" outlineLevel="0" collapsed="false">
      <c r="A14" s="7"/>
      <c r="B14" s="52" t="s">
        <v>27</v>
      </c>
      <c r="C14" s="7"/>
      <c r="D14" s="7"/>
      <c r="E14" s="26" t="n">
        <v>0</v>
      </c>
      <c r="F14" s="7" t="s">
        <v>89</v>
      </c>
      <c r="G14" s="7"/>
      <c r="H14" s="7"/>
      <c r="I14" s="7"/>
      <c r="J14" s="7"/>
      <c r="K14" s="7"/>
      <c r="L14" s="52" t="s">
        <v>27</v>
      </c>
      <c r="M14" s="7"/>
      <c r="N14" s="7"/>
      <c r="O14" s="26" t="n">
        <v>0</v>
      </c>
      <c r="P14" s="7" t="s">
        <v>89</v>
      </c>
      <c r="Q14" s="7"/>
      <c r="R14" s="7"/>
      <c r="S14" s="7"/>
      <c r="T14" s="7"/>
      <c r="U14" s="7"/>
      <c r="V14" s="52" t="s">
        <v>27</v>
      </c>
      <c r="W14" s="7"/>
      <c r="X14" s="7"/>
      <c r="Y14" s="26" t="n">
        <v>0</v>
      </c>
      <c r="Z14" s="7" t="s">
        <v>89</v>
      </c>
      <c r="AA14" s="7"/>
      <c r="AB14" s="7"/>
      <c r="AC14" s="7"/>
      <c r="AD14" s="7"/>
      <c r="AJ14" s="11" t="n">
        <v>9</v>
      </c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92"/>
      <c r="AY14" s="7"/>
      <c r="AZ14" s="11" t="n">
        <v>9</v>
      </c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92"/>
    </row>
    <row r="15" customFormat="false" ht="12" hidden="false" customHeight="false" outlineLevel="0" collapsed="false">
      <c r="A15" s="7"/>
      <c r="B15" s="52" t="s">
        <v>29</v>
      </c>
      <c r="C15" s="7"/>
      <c r="D15" s="7"/>
      <c r="E15" s="26" t="n">
        <v>10</v>
      </c>
      <c r="F15" s="7" t="s">
        <v>89</v>
      </c>
      <c r="G15" s="7"/>
      <c r="H15" s="7"/>
      <c r="I15" s="7"/>
      <c r="J15" s="7"/>
      <c r="K15" s="7"/>
      <c r="L15" s="52" t="s">
        <v>29</v>
      </c>
      <c r="M15" s="7"/>
      <c r="N15" s="7"/>
      <c r="O15" s="26" t="n">
        <v>10</v>
      </c>
      <c r="P15" s="7" t="s">
        <v>89</v>
      </c>
      <c r="Q15" s="7"/>
      <c r="R15" s="7"/>
      <c r="S15" s="7"/>
      <c r="T15" s="7"/>
      <c r="U15" s="7"/>
      <c r="V15" s="52" t="s">
        <v>29</v>
      </c>
      <c r="W15" s="7"/>
      <c r="X15" s="7"/>
      <c r="Y15" s="26" t="n">
        <v>-5</v>
      </c>
      <c r="Z15" s="7" t="s">
        <v>89</v>
      </c>
      <c r="AA15" s="7"/>
      <c r="AB15" s="7"/>
      <c r="AC15" s="7"/>
      <c r="AD15" s="7"/>
      <c r="AJ15" s="11" t="n">
        <v>10</v>
      </c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92"/>
      <c r="AY15" s="7"/>
      <c r="AZ15" s="11" t="n">
        <v>10</v>
      </c>
      <c r="BA15" s="7"/>
      <c r="BB15" s="7"/>
      <c r="BC15" s="7"/>
      <c r="BD15" s="16" t="n">
        <f aca="false">L23</f>
        <v>-700000</v>
      </c>
      <c r="BE15" s="16" t="n">
        <f aca="false">M23</f>
        <v>0</v>
      </c>
      <c r="BF15" s="16" t="n">
        <f aca="false">N23</f>
        <v>0</v>
      </c>
      <c r="BG15" s="7"/>
      <c r="BH15" s="7"/>
      <c r="BI15" s="7"/>
      <c r="BJ15" s="16" t="n">
        <f aca="false">O23</f>
        <v>700000</v>
      </c>
      <c r="BK15" s="16" t="n">
        <f aca="false">P23</f>
        <v>0</v>
      </c>
      <c r="BL15" s="16" t="n">
        <f aca="false">Q23</f>
        <v>0</v>
      </c>
      <c r="BM15" s="17"/>
      <c r="BN15" s="94"/>
      <c r="BO15" s="95" t="n">
        <f aca="false" t="array" ref="BO15:BO17">S23:S25</f>
        <v>0</v>
      </c>
    </row>
    <row r="16" customFormat="false" ht="12" hidden="false" customHeight="false" outlineLevel="0" collapsed="false">
      <c r="A16" s="7"/>
      <c r="B16" s="52"/>
      <c r="C16" s="7"/>
      <c r="D16" s="7"/>
      <c r="E16" s="21"/>
      <c r="F16" s="7"/>
      <c r="G16" s="7"/>
      <c r="H16" s="7"/>
      <c r="I16" s="7"/>
      <c r="J16" s="7"/>
      <c r="K16" s="7"/>
      <c r="L16" s="52"/>
      <c r="M16" s="7"/>
      <c r="N16" s="7"/>
      <c r="O16" s="21"/>
      <c r="P16" s="7"/>
      <c r="Q16" s="7"/>
      <c r="R16" s="7"/>
      <c r="S16" s="88"/>
      <c r="T16" s="7"/>
      <c r="U16" s="7"/>
      <c r="V16" s="52"/>
      <c r="W16" s="7"/>
      <c r="X16" s="7"/>
      <c r="Y16" s="21"/>
      <c r="Z16" s="7"/>
      <c r="AA16" s="7"/>
      <c r="AB16" s="7"/>
      <c r="AC16" s="7"/>
      <c r="AD16" s="7"/>
      <c r="AJ16" s="11" t="n">
        <v>11</v>
      </c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92"/>
      <c r="AY16" s="7"/>
      <c r="AZ16" s="11" t="n">
        <v>11</v>
      </c>
      <c r="BA16" s="7"/>
      <c r="BB16" s="7"/>
      <c r="BC16" s="7"/>
      <c r="BD16" s="16" t="n">
        <f aca="false">L24</f>
        <v>0</v>
      </c>
      <c r="BE16" s="16" t="n">
        <f aca="false">M24</f>
        <v>-777.777777777778</v>
      </c>
      <c r="BF16" s="16" t="n">
        <f aca="false">N24</f>
        <v>-2333333.33333333</v>
      </c>
      <c r="BG16" s="7"/>
      <c r="BH16" s="7"/>
      <c r="BI16" s="7"/>
      <c r="BJ16" s="16" t="n">
        <f aca="false">O24</f>
        <v>0</v>
      </c>
      <c r="BK16" s="16" t="n">
        <f aca="false">P24</f>
        <v>777.777777777778</v>
      </c>
      <c r="BL16" s="16" t="n">
        <f aca="false">Q24</f>
        <v>-2333333.33333333</v>
      </c>
      <c r="BM16" s="17"/>
      <c r="BN16" s="94"/>
      <c r="BO16" s="34" t="n">
        <v>-30000</v>
      </c>
    </row>
    <row r="17" customFormat="false" ht="12" hidden="false" customHeight="false" outlineLevel="0" collapsed="false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J17" s="11" t="n">
        <v>12</v>
      </c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92"/>
      <c r="AY17" s="7"/>
      <c r="AZ17" s="11" t="n">
        <v>12</v>
      </c>
      <c r="BA17" s="7"/>
      <c r="BB17" s="7"/>
      <c r="BC17" s="7"/>
      <c r="BD17" s="16" t="n">
        <f aca="false">L25</f>
        <v>0</v>
      </c>
      <c r="BE17" s="16" t="n">
        <f aca="false">M25</f>
        <v>2333333.33333333</v>
      </c>
      <c r="BF17" s="16" t="n">
        <f aca="false">N25</f>
        <v>4666666666.66667</v>
      </c>
      <c r="BG17" s="7"/>
      <c r="BH17" s="7"/>
      <c r="BI17" s="7"/>
      <c r="BJ17" s="16" t="n">
        <f aca="false">O25</f>
        <v>0</v>
      </c>
      <c r="BK17" s="16" t="n">
        <f aca="false">P25</f>
        <v>-2333333.33333333</v>
      </c>
      <c r="BL17" s="16" t="n">
        <f aca="false">Q25</f>
        <v>9333333333.33333</v>
      </c>
      <c r="BM17" s="17"/>
      <c r="BN17" s="94"/>
      <c r="BO17" s="34" t="n">
        <v>30000000</v>
      </c>
    </row>
    <row r="18" customFormat="false" ht="12" hidden="false" customHeight="false" outlineLevel="0" collapsed="false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J18" s="11" t="n">
        <v>13</v>
      </c>
      <c r="AK18" s="12" t="n">
        <f aca="false">B25</f>
        <v>-656250</v>
      </c>
      <c r="AL18" s="12" t="n">
        <f aca="false">C25</f>
        <v>4.01837230970225E-011</v>
      </c>
      <c r="AM18" s="12" t="n">
        <f aca="false">D25</f>
        <v>875000000</v>
      </c>
      <c r="AN18" s="12" t="n">
        <f aca="false">E25</f>
        <v>656250</v>
      </c>
      <c r="AO18" s="12" t="n">
        <f aca="false">F25</f>
        <v>-4.01837230970225E-011</v>
      </c>
      <c r="AP18" s="7"/>
      <c r="AQ18" s="7"/>
      <c r="AR18" s="7"/>
      <c r="AS18" s="7"/>
      <c r="AT18" s="7"/>
      <c r="AU18" s="7"/>
      <c r="AV18" s="7"/>
      <c r="AW18" s="12" t="n">
        <f aca="false">G25</f>
        <v>1750000000</v>
      </c>
      <c r="AX18" s="92"/>
      <c r="AY18" s="21" t="n">
        <f aca="false">I25</f>
        <v>13333333.3333333</v>
      </c>
      <c r="AZ18" s="11" t="n">
        <v>13</v>
      </c>
      <c r="BA18" s="7"/>
      <c r="BB18" s="7"/>
      <c r="BC18" s="7"/>
      <c r="BD18" s="17"/>
      <c r="BE18" s="17"/>
      <c r="BF18" s="7"/>
      <c r="BG18" s="17"/>
      <c r="BH18" s="7"/>
      <c r="BI18" s="7"/>
      <c r="BJ18" s="7"/>
      <c r="BK18" s="17"/>
      <c r="BL18" s="17"/>
      <c r="BM18" s="7"/>
      <c r="BN18" s="94"/>
    </row>
    <row r="19" customFormat="false" ht="12" hidden="false" customHeight="false" outlineLevel="0" collapsed="false">
      <c r="A19" s="7"/>
      <c r="B19" s="87" t="s">
        <v>30</v>
      </c>
      <c r="C19" s="7"/>
      <c r="D19" s="7"/>
      <c r="E19" s="7"/>
      <c r="F19" s="7"/>
      <c r="G19" s="7"/>
      <c r="H19" s="7"/>
      <c r="I19" s="88" t="s">
        <v>31</v>
      </c>
      <c r="J19" s="7"/>
      <c r="K19" s="7"/>
      <c r="L19" s="87" t="s">
        <v>30</v>
      </c>
      <c r="M19" s="7"/>
      <c r="N19" s="7"/>
      <c r="O19" s="7"/>
      <c r="P19" s="7"/>
      <c r="Q19" s="7"/>
      <c r="R19" s="7"/>
      <c r="S19" s="88" t="s">
        <v>31</v>
      </c>
      <c r="T19" s="7"/>
      <c r="U19" s="7"/>
      <c r="V19" s="87" t="s">
        <v>30</v>
      </c>
      <c r="W19" s="7"/>
      <c r="X19" s="7"/>
      <c r="Y19" s="7"/>
      <c r="Z19" s="7"/>
      <c r="AA19" s="7"/>
      <c r="AB19" s="7"/>
      <c r="AC19" s="88" t="s">
        <v>31</v>
      </c>
      <c r="AD19" s="7"/>
      <c r="AJ19" s="11" t="n">
        <v>14</v>
      </c>
      <c r="AK19" s="96"/>
      <c r="AL19" s="96"/>
      <c r="AM19" s="96"/>
      <c r="AN19" s="96"/>
      <c r="AO19" s="96"/>
      <c r="AP19" s="96"/>
      <c r="AQ19" s="96"/>
      <c r="AR19" s="96"/>
      <c r="AS19" s="96"/>
      <c r="AT19" s="96"/>
      <c r="AU19" s="96"/>
      <c r="AV19" s="96"/>
      <c r="AW19" s="96"/>
      <c r="AX19" s="97"/>
      <c r="AY19" s="7"/>
      <c r="AZ19" s="11" t="n">
        <v>14</v>
      </c>
      <c r="BA19" s="96"/>
      <c r="BB19" s="96"/>
      <c r="BC19" s="96"/>
      <c r="BD19" s="98"/>
      <c r="BE19" s="98"/>
      <c r="BF19" s="96"/>
      <c r="BG19" s="98"/>
      <c r="BH19" s="96"/>
      <c r="BI19" s="96"/>
      <c r="BJ19" s="96"/>
      <c r="BK19" s="98"/>
      <c r="BL19" s="98"/>
      <c r="BM19" s="96"/>
      <c r="BN19" s="99"/>
    </row>
    <row r="20" customFormat="false" ht="12" hidden="false" customHeight="false" outlineLevel="0" collapsed="false">
      <c r="A20" s="7"/>
      <c r="B20" s="22" t="n">
        <f aca="false">$B36*B$45+$C36*B$46+$D36*B$47+$E36*B$48+$F36*B$49+$G36*B$50</f>
        <v>328.125</v>
      </c>
      <c r="C20" s="22" t="n">
        <f aca="false">$B36*C$45+$C36*C$46+$D36*C$47+$E36*C$48+$F36*C$49+$G36*C$50</f>
        <v>3.21268866160695E-011</v>
      </c>
      <c r="D20" s="22" t="n">
        <f aca="false">$B36*D$45+$C36*D$46+$D36*D$47+$E36*D$48+$F36*D$49+$G36*D$50</f>
        <v>-656250</v>
      </c>
      <c r="E20" s="22" t="n">
        <f aca="false">$B36*E$45+$C36*E$46+$D36*E$47+$E36*E$48+$F36*E$49+$G36*E$50</f>
        <v>-328.125</v>
      </c>
      <c r="F20" s="22" t="n">
        <f aca="false">$B36*F$45+$C36*F$46+$D36*F$47+$E36*F$48+$F36*F$49+$G36*F$50</f>
        <v>-3.21268866160695E-011</v>
      </c>
      <c r="G20" s="22" t="n">
        <f aca="false">$B36*G$45+$C36*G$46+$D36*G$47+$E36*G$48+$F36*G$49+$G36*G$50</f>
        <v>-656250</v>
      </c>
      <c r="H20" s="7"/>
      <c r="I20" s="25" t="n">
        <f aca="false">B54*I28+C54*I29+D54*I30+E54*I31+F54*I32+G54*I33</f>
        <v>20000</v>
      </c>
      <c r="J20" s="7"/>
      <c r="K20" s="7"/>
      <c r="L20" s="24" t="n">
        <f aca="false">$L37*L$46+$M37*L$47+$N37*L$48+$O37*L$49+$P37*L$50+$Q37*L$51</f>
        <v>700000</v>
      </c>
      <c r="M20" s="24" t="n">
        <f aca="false">$L37*M$46+$M37*M$47+$N37*M$48+$O37*M$49+$P37*M$50+$Q37*M$51</f>
        <v>0</v>
      </c>
      <c r="N20" s="24" t="n">
        <f aca="false">$L37*N$46+$M37*N$47+$N37*N$48+$O37*N$49+$P37*N$50+$Q37*N$51</f>
        <v>0</v>
      </c>
      <c r="O20" s="24" t="n">
        <f aca="false">$L37*O$46+$M37*O$47+$N37*O$48+$O37*O$49+$P37*O$50+$Q37*O$51</f>
        <v>-700000</v>
      </c>
      <c r="P20" s="24" t="n">
        <f aca="false">$L37*P$46+$M37*P$47+$N37*P$48+$O37*P$49+$P37*P$50+$Q37*P$51</f>
        <v>0</v>
      </c>
      <c r="Q20" s="24" t="n">
        <f aca="false">$L37*Q$46+$M37*Q$47+$N37*Q$48+$O37*Q$49+$P37*Q$50+$Q37*Q$51</f>
        <v>0</v>
      </c>
      <c r="R20" s="7"/>
      <c r="S20" s="25" t="n">
        <f aca="false">L55*S28+M55*S29+N55*S30+O55*S31+P55*S32+Q55*S33</f>
        <v>0</v>
      </c>
      <c r="T20" s="7"/>
      <c r="U20" s="7"/>
      <c r="V20" s="26" t="n">
        <f aca="false">$V37*B$45+$W37*B$46+$X37*B$47+$Y37*B$48+$Z37*B$49+$AA37*B$50</f>
        <v>328.125</v>
      </c>
      <c r="W20" s="26" t="n">
        <f aca="false">$V37*C$45+$W37*C$46+$X37*C$47+$Y37*C$48+$Z37*C$49+$AA37*C$50</f>
        <v>3.21268866160695E-011</v>
      </c>
      <c r="X20" s="26" t="n">
        <f aca="false">$V37*D$45+$W37*D$46+$X37*D$47+$Y37*D$48+$Z37*D$49+$AA37*D$50</f>
        <v>-656250</v>
      </c>
      <c r="Y20" s="26" t="n">
        <f aca="false">$V37*E$45+$W37*E$46+$X37*E$47+$Y37*E$48+$Z37*E$49+$AA37*E$50</f>
        <v>-328.125</v>
      </c>
      <c r="Z20" s="26" t="n">
        <f aca="false">$V37*F$45+$W37*F$46+$X37*F$47+$Y37*F$48+$Z37*F$49+$AA37*F$50</f>
        <v>-3.21268866160695E-011</v>
      </c>
      <c r="AA20" s="26" t="n">
        <f aca="false">$V37*G$45+$W37*G$46+$X37*G$47+$Y37*G$48+$Z37*G$49+$AA37*G$50</f>
        <v>-656250</v>
      </c>
      <c r="AB20" s="7"/>
      <c r="AC20" s="25" t="n">
        <f aca="false">V55*AC28+W55*AC29+X55*AC30+Y55*AC31+Z55*AC32+AA55*AC33</f>
        <v>-10000</v>
      </c>
      <c r="AD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  <row r="21" customFormat="false" ht="12" hidden="false" customHeight="false" outlineLevel="0" collapsed="false">
      <c r="A21" s="7"/>
      <c r="B21" s="22" t="n">
        <f aca="false">$B37*B$45+$C37*B$46+$D37*B$47+$E37*B$48+$F37*B$49+$G37*B$50</f>
        <v>3.21268866160695E-011</v>
      </c>
      <c r="C21" s="22" t="n">
        <f aca="false">$B37*C$45+$C37*C$46+$D37*C$47+$E37*C$48+$F37*C$49+$G37*C$50</f>
        <v>525000</v>
      </c>
      <c r="D21" s="22" t="n">
        <f aca="false">$B37*D$45+$C37*D$46+$D37*D$47+$E37*D$48+$F37*D$49+$G37*D$50</f>
        <v>4.01837230970225E-011</v>
      </c>
      <c r="E21" s="22" t="n">
        <f aca="false">$B37*E$45+$C37*E$46+$D37*E$47+$E37*E$48+$F37*E$49+$G37*E$50</f>
        <v>-3.21268866160695E-011</v>
      </c>
      <c r="F21" s="22" t="n">
        <f aca="false">$B37*F$45+$C37*F$46+$D37*F$47+$E37*F$48+$F37*F$49+$G37*F$50</f>
        <v>-525000</v>
      </c>
      <c r="G21" s="22" t="n">
        <f aca="false">$B37*G$45+$C37*G$46+$D37*G$47+$E37*G$48+$F37*G$49+$G37*G$50</f>
        <v>4.01837230970225E-011</v>
      </c>
      <c r="H21" s="7"/>
      <c r="I21" s="25" t="n">
        <f aca="false">B55*I28+C55*I29+D55*I30+E55*I31+F55*I32+G55*I33</f>
        <v>-1.22464679914735E-012</v>
      </c>
      <c r="J21" s="7"/>
      <c r="K21" s="7"/>
      <c r="L21" s="24" t="n">
        <f aca="false">$L38*L$46+$M38*L$47+$N38*L$48+$O38*L$49+$P38*L$50+$Q38*L$51</f>
        <v>0</v>
      </c>
      <c r="M21" s="24" t="n">
        <f aca="false">$L38*M$46+$M38*M$47+$N38*M$48+$O38*M$49+$P38*M$50+$Q38*M$51</f>
        <v>777.777777777778</v>
      </c>
      <c r="N21" s="24" t="n">
        <f aca="false">$L38*N$46+$M38*N$47+$N38*N$48+$O38*N$49+$P38*N$50+$Q38*N$51</f>
        <v>2333333.33333333</v>
      </c>
      <c r="O21" s="24" t="n">
        <f aca="false">$L38*O$46+$M38*O$47+$N38*O$48+$O38*O$49+$P38*O$50+$Q38*O$51</f>
        <v>0</v>
      </c>
      <c r="P21" s="24" t="n">
        <f aca="false">$L38*P$46+$M38*P$47+$N38*P$48+$O38*P$49+$P38*P$50+$Q38*P$51</f>
        <v>-777.777777777778</v>
      </c>
      <c r="Q21" s="24" t="n">
        <f aca="false">$L38*Q$46+$M38*Q$47+$N38*Q$48+$O38*Q$49+$P38*Q$50+$Q38*Q$51</f>
        <v>2333333.33333333</v>
      </c>
      <c r="R21" s="7"/>
      <c r="S21" s="25" t="n">
        <f aca="false">L56*S28+M56*S29+N56*S30+O56*S31+P56*S32+Q56*S33</f>
        <v>-30000</v>
      </c>
      <c r="T21" s="7"/>
      <c r="U21" s="7"/>
      <c r="V21" s="26" t="n">
        <f aca="false">$V38*B$45+$W38*B$46+$X38*B$47+$Y38*B$48+$Z38*B$49+$AA38*B$50</f>
        <v>3.21268866160695E-011</v>
      </c>
      <c r="W21" s="26" t="n">
        <f aca="false">$V38*C$45+$W38*C$46+$X38*C$47+$Y38*C$48+$Z38*C$49+$AA38*C$50</f>
        <v>525000</v>
      </c>
      <c r="X21" s="26" t="n">
        <f aca="false">$V38*D$45+$W38*D$46+$X38*D$47+$Y38*D$48+$Z38*D$49+$AA38*D$50</f>
        <v>4.01837230970225E-011</v>
      </c>
      <c r="Y21" s="26" t="n">
        <f aca="false">$V38*E$45+$W38*E$46+$X38*E$47+$Y38*E$48+$Z38*E$49+$AA38*E$50</f>
        <v>-3.21268866160695E-011</v>
      </c>
      <c r="Z21" s="26" t="n">
        <f aca="false">$V38*F$45+$W38*F$46+$X38*F$47+$Y38*F$48+$Z38*F$49+$AA38*F$50</f>
        <v>-525000</v>
      </c>
      <c r="AA21" s="26" t="n">
        <f aca="false">$V38*G$45+$W38*G$46+$X38*G$47+$Y38*G$48+$Z38*G$49+$AA38*G$50</f>
        <v>4.01837230970225E-011</v>
      </c>
      <c r="AB21" s="7"/>
      <c r="AC21" s="25" t="n">
        <f aca="false">V56*AC28+W56*AC29+X56*AC30+Y56*AC31+Z56*AC32+AA56*AC33</f>
        <v>6.12323399573677E-013</v>
      </c>
      <c r="AD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</row>
    <row r="22" customFormat="false" ht="12" hidden="false" customHeight="false" outlineLevel="0" collapsed="false">
      <c r="A22" s="7"/>
      <c r="B22" s="22" t="n">
        <f aca="false">$B38*B$45+$C38*B$46+$D38*B$47+$E38*B$48+$F38*B$49+$G38*B$50</f>
        <v>-656250</v>
      </c>
      <c r="C22" s="22" t="n">
        <f aca="false">$B38*C$45+$C38*C$46+$D38*C$47+$E38*C$48+$F38*C$49+$G38*C$50</f>
        <v>4.01837230970225E-011</v>
      </c>
      <c r="D22" s="22" t="n">
        <f aca="false">$B38*D$45+$C38*D$46+$D38*D$47+$E38*D$48+$F38*D$49+$G38*D$50</f>
        <v>1750000000</v>
      </c>
      <c r="E22" s="22" t="n">
        <f aca="false">$B38*E$45+$C38*E$46+$D38*E$47+$E38*E$48+$F38*E$49+$G38*E$50</f>
        <v>656250</v>
      </c>
      <c r="F22" s="22" t="n">
        <f aca="false">$B38*F$45+$C38*F$46+$D38*F$47+$E38*F$48+$F38*F$49+$G38*F$50</f>
        <v>-4.01837230970225E-011</v>
      </c>
      <c r="G22" s="22" t="n">
        <f aca="false">-1*$B38*G$45+$C38*G$46+$D38*G$47+$E38*G$48+$F38*G$49+$G38*G$50</f>
        <v>875000000</v>
      </c>
      <c r="H22" s="7"/>
      <c r="I22" s="25" t="n">
        <f aca="false">B56*I28+C56*I29+D56*I30+E56*I31+F56*I32+G56*I33</f>
        <v>-13333333.3333333</v>
      </c>
      <c r="J22" s="7"/>
      <c r="K22" s="7"/>
      <c r="L22" s="24" t="n">
        <f aca="false">$L39*L$46+$M39*L$47+$N39*L$48+$O39*L$49+$P39*L$50+$Q39*L$51</f>
        <v>0</v>
      </c>
      <c r="M22" s="24" t="n">
        <f aca="false">$L39*M$46+$M39*M$47+$N39*M$48+$O39*M$49+$P39*M$50+$Q39*M$51</f>
        <v>2333333.33333333</v>
      </c>
      <c r="N22" s="24" t="n">
        <f aca="false">$L39*N$46+$M39*N$47+$N39*N$48+$O39*N$49+$P39*N$50+$Q39*N$51</f>
        <v>9333333333.33333</v>
      </c>
      <c r="O22" s="24" t="n">
        <f aca="false">$L39*O$46+$M39*O$47+$N39*O$48+$O39*O$49+$P39*O$50+$Q39*O$51</f>
        <v>0</v>
      </c>
      <c r="P22" s="24" t="n">
        <f aca="false">$L39*P$46+$M39*P$47+$N39*P$48+$O39*P$49+$P39*P$50+$Q39*P$51</f>
        <v>-2333333.33333333</v>
      </c>
      <c r="Q22" s="24" t="n">
        <f aca="false">$L39*Q$46+$M39*Q$47+$N39*Q$48+$O39*Q$49+$P39*Q$50+$Q39*Q$51</f>
        <v>4666666666.66667</v>
      </c>
      <c r="R22" s="7"/>
      <c r="S22" s="25" t="n">
        <f aca="false">L57*S28+M57*S29+N57*S30+O57*S31+P57*S32+Q57*S33</f>
        <v>-30000000</v>
      </c>
      <c r="T22" s="7"/>
      <c r="U22" s="7"/>
      <c r="V22" s="26" t="n">
        <f aca="false">$V39*B$45+$W39*B$46+$X39*B$47+$Y39*B$48+$Z39*B$49+$AA39*B$50</f>
        <v>-656250</v>
      </c>
      <c r="W22" s="26" t="n">
        <f aca="false">$V39*C$45+$W39*C$46+$X39*C$47+$Y39*C$48+$Z39*C$49+$AA39*C$50</f>
        <v>4.01837230970225E-011</v>
      </c>
      <c r="X22" s="26" t="n">
        <f aca="false">$V39*D$45+$W39*D$46+$X39*D$47+$Y39*D$48+$Z39*D$49+$AA39*D$50</f>
        <v>1750000000</v>
      </c>
      <c r="Y22" s="26" t="n">
        <f aca="false">$V39*E$45+$W39*E$46+$X39*E$47+$Y39*E$48+$Z39*E$49+$AA39*E$50</f>
        <v>656250</v>
      </c>
      <c r="Z22" s="26" t="n">
        <f aca="false">$V39*F$45+$W39*F$46+$X39*F$47+$Y39*F$48+$Z39*F$49+$AA39*F$50</f>
        <v>-4.01837230970225E-011</v>
      </c>
      <c r="AA22" s="26" t="n">
        <f aca="false">-1*$V39*G$45+$W39*G$46+$X39*G$47+$Y39*G$48+$Z39*G$49+$AA39*G$50</f>
        <v>875000000</v>
      </c>
      <c r="AB22" s="7"/>
      <c r="AC22" s="25" t="n">
        <f aca="false">V57*AC28+W57*AC29+X57*AC30+Y57*AC31+Z57*AC32+AA57*AC33</f>
        <v>6666666.66666667</v>
      </c>
      <c r="AD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</row>
    <row r="23" customFormat="false" ht="12" hidden="false" customHeight="false" outlineLevel="0" collapsed="false">
      <c r="A23" s="7"/>
      <c r="B23" s="22" t="n">
        <f aca="false">$B39*B$45+$C39*B$46+$D39*B$47+$E39*B$48+$F39*B$49+$G39*B$50</f>
        <v>-328.125</v>
      </c>
      <c r="C23" s="22" t="n">
        <f aca="false">$B39*C$45+$C39*C$46+$D39*C$47+$E39*C$48+$F39*C$49+$G39*C$50</f>
        <v>-3.21268866160695E-011</v>
      </c>
      <c r="D23" s="22" t="n">
        <f aca="false">$B39*D$45+$C39*D$46+$D39*D$47+$E39*D$48+$F39*D$49+$G39*D$50</f>
        <v>656250</v>
      </c>
      <c r="E23" s="22" t="n">
        <f aca="false">$B39*E$45+$C39*E$46+$D39*E$47+$E39*E$48+$F39*E$49+$G39*E$50</f>
        <v>328.125</v>
      </c>
      <c r="F23" s="22" t="n">
        <f aca="false">$B39*F$45+$C39*F$46+$D39*F$47+$E39*F$48+$F39*F$49+$G39*F$50</f>
        <v>3.21268866160695E-011</v>
      </c>
      <c r="G23" s="22" t="n">
        <f aca="false">$B39*G$45+$C39*G$46+$D39*G$47+$E39*G$48+$F39*G$49+$G39*G$50</f>
        <v>656250</v>
      </c>
      <c r="H23" s="7"/>
      <c r="I23" s="25" t="n">
        <f aca="false">B57*I28+C57*I29+D57*I30+E57*I31+F57*I32+G57*I33</f>
        <v>20000</v>
      </c>
      <c r="J23" s="7"/>
      <c r="K23" s="7"/>
      <c r="L23" s="24" t="n">
        <f aca="false">$L40*L$46+$M40*L$47+$N40*L$48+$O40*L$49+$P40*L$50+$Q40*L$51</f>
        <v>-700000</v>
      </c>
      <c r="M23" s="24" t="n">
        <f aca="false">$L40*M$46+$M40*M$47+$N40*M$48+$O40*M$49+$P40*M$50+$Q40*M$51</f>
        <v>0</v>
      </c>
      <c r="N23" s="24" t="n">
        <f aca="false">$L40*N$46+$M40*N$47+$N40*N$48+$O40*N$49+$P40*N$50+$Q40*N$51</f>
        <v>0</v>
      </c>
      <c r="O23" s="24" t="n">
        <f aca="false">$L40*O$46+$M40*O$47+$N40*O$48+$O40*O$49+$P40*O$50+$Q40*O$51</f>
        <v>700000</v>
      </c>
      <c r="P23" s="24" t="n">
        <f aca="false">$L40*P$46+$M40*P$47+$N40*P$48+$O40*P$49+$P40*P$50+$Q40*P$51</f>
        <v>0</v>
      </c>
      <c r="Q23" s="24" t="n">
        <f aca="false">$L40*Q$46+$M40*Q$47+$N40*Q$48+$O40*Q$49+$P40*Q$50+$Q40*Q$51</f>
        <v>0</v>
      </c>
      <c r="R23" s="7"/>
      <c r="S23" s="25" t="n">
        <f aca="false">L58*S28+M58*S29+N58*S30+O58*S31+P58*S32+Q58*S33</f>
        <v>0</v>
      </c>
      <c r="T23" s="7"/>
      <c r="U23" s="7"/>
      <c r="V23" s="26" t="n">
        <f aca="false">$V40*B$45+$W40*B$46+$X40*B$47+$Y40*B$48+$Z40*B$49+$AA40*B$50</f>
        <v>-328.125</v>
      </c>
      <c r="W23" s="26" t="n">
        <f aca="false">$V40*C$45+$W40*C$46+$X40*C$47+$Y40*C$48+$Z40*C$49+$AA40*C$50</f>
        <v>-3.21268866160695E-011</v>
      </c>
      <c r="X23" s="26" t="n">
        <f aca="false">$V40*D$45+$W40*D$46+$X40*D$47+$Y40*D$48+$Z40*D$49+$AA40*D$50</f>
        <v>656250</v>
      </c>
      <c r="Y23" s="26" t="n">
        <f aca="false">$V40*E$45+$W40*E$46+$X40*E$47+$Y40*E$48+$Z40*E$49+$AA40*E$50</f>
        <v>328.125</v>
      </c>
      <c r="Z23" s="26" t="n">
        <f aca="false">$V40*F$45+$W40*F$46+$X40*F$47+$Y40*F$48+$Z40*F$49+$AA40*F$50</f>
        <v>3.21268866160695E-011</v>
      </c>
      <c r="AA23" s="26" t="n">
        <f aca="false">$V40*G$45+$W40*G$46+$X40*G$47+$Y40*G$48+$Z40*G$49+$AA40*G$50</f>
        <v>656250</v>
      </c>
      <c r="AB23" s="7"/>
      <c r="AC23" s="25" t="n">
        <f aca="false">V58*AC28+W58*AC29+X58*AC30+Y58*AC31+Z58*AC32+AA58*AC33</f>
        <v>-10000</v>
      </c>
      <c r="AD23" s="7"/>
      <c r="AJ23" s="87" t="s">
        <v>32</v>
      </c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</row>
    <row r="24" customFormat="false" ht="12" hidden="false" customHeight="false" outlineLevel="0" collapsed="false">
      <c r="A24" s="7"/>
      <c r="B24" s="22" t="n">
        <f aca="false">$B40*B$45+$C40*B$46+$D40*B$47+$E40*B$48+$F40*B$49+$G40*B$50</f>
        <v>-3.21268866160695E-011</v>
      </c>
      <c r="C24" s="22" t="n">
        <f aca="false">$B40*C$45+$C40*C$46+$D40*C$47+$E40*C$48+$F40*C$49+$G40*C$50</f>
        <v>-525000</v>
      </c>
      <c r="D24" s="22" t="n">
        <f aca="false">$B40*D$45+$C40*D$46+$D40*D$47+$E40*D$48+$F40*D$49+$G40*D$50</f>
        <v>-4.01837230970225E-011</v>
      </c>
      <c r="E24" s="22" t="n">
        <f aca="false">$B40*E$45+$C40*E$46+$D40*E$47+$E40*E$48+$F40*E$49+$G40*E$50</f>
        <v>3.21268866160695E-011</v>
      </c>
      <c r="F24" s="22" t="n">
        <f aca="false">$B40*F$45+$C40*F$46+$D40*F$47+$E40*F$48+$F40*F$49+$G40*F$50</f>
        <v>525000</v>
      </c>
      <c r="G24" s="22" t="n">
        <f aca="false">$B40*G$45+$C40*G$46+$D40*G$47+$E40*G$48+$F40*G$49+$G40*G$50</f>
        <v>-4.01837230970225E-011</v>
      </c>
      <c r="H24" s="7"/>
      <c r="I24" s="25" t="n">
        <f aca="false">B58*I28+C58*I29+D58*I30+E58*I31+F58*I32+G58*I33</f>
        <v>-1.22464679914735E-012</v>
      </c>
      <c r="J24" s="7"/>
      <c r="K24" s="7"/>
      <c r="L24" s="24" t="n">
        <f aca="false">$L41*L$46+$M41*L$47+$N41*L$48+$O41*L$49+$P41*L$50+$Q41*L$51</f>
        <v>0</v>
      </c>
      <c r="M24" s="24" t="n">
        <f aca="false">$L41*M$46+$M41*M$47+$N41*M$48+$O41*M$49+$P41*M$50+$Q41*M$51</f>
        <v>-777.777777777778</v>
      </c>
      <c r="N24" s="24" t="n">
        <f aca="false">$L41*N$46+$M41*N$47+$N41*N$48+$O41*N$49+$P41*N$50+$Q41*N$51</f>
        <v>-2333333.33333333</v>
      </c>
      <c r="O24" s="24" t="n">
        <f aca="false">$L41*O$46+$M41*O$47+$N41*O$48+$O41*O$49+$P41*O$50+$Q41*O$51</f>
        <v>0</v>
      </c>
      <c r="P24" s="24" t="n">
        <f aca="false">$L41*P$46+$M41*P$47+$N41*P$48+$O41*P$49+$P41*P$50+$Q41*P$51</f>
        <v>777.777777777778</v>
      </c>
      <c r="Q24" s="24" t="n">
        <f aca="false">$L41*Q$46+$M41*Q$47+$N41*Q$48+$O41*Q$49+$P41*Q$50+$Q41*Q$51</f>
        <v>-2333333.33333333</v>
      </c>
      <c r="R24" s="7"/>
      <c r="S24" s="25" t="n">
        <f aca="false">L59*S28+M59*S29+N59*S30+O59*S31+P59*S32+Q59*S33</f>
        <v>-30000</v>
      </c>
      <c r="T24" s="7"/>
      <c r="U24" s="7"/>
      <c r="V24" s="26" t="n">
        <f aca="false">$V41*B$45+$W41*B$46+$X41*B$47+$Y41*B$48+$Z41*B$49+$AA41*B$50</f>
        <v>-3.21268866160695E-011</v>
      </c>
      <c r="W24" s="26" t="n">
        <f aca="false">$V41*C$45+$W41*C$46+$X41*C$47+$Y41*C$48+$Z41*C$49+$AA41*C$50</f>
        <v>-525000</v>
      </c>
      <c r="X24" s="26" t="n">
        <f aca="false">$V41*D$45+$W41*D$46+$X41*D$47+$Y41*D$48+$Z41*D$49+$AA41*D$50</f>
        <v>-4.01837230970225E-011</v>
      </c>
      <c r="Y24" s="26" t="n">
        <f aca="false">$V41*E$45+$W41*E$46+$X41*E$47+$Y41*E$48+$Z41*E$49+$AA41*E$50</f>
        <v>3.21268866160695E-011</v>
      </c>
      <c r="Z24" s="26" t="n">
        <f aca="false">$V41*F$45+$W41*F$46+$X41*F$47+$Y41*F$48+$Z41*F$49+$AA41*F$50</f>
        <v>525000</v>
      </c>
      <c r="AA24" s="26" t="n">
        <f aca="false">$V41*G$45+$W41*G$46+$X41*G$47+$Y41*G$48+$Z41*G$49+$AA41*G$50</f>
        <v>-4.01837230970225E-011</v>
      </c>
      <c r="AB24" s="7"/>
      <c r="AC24" s="25" t="n">
        <f aca="false">V59*AC28+W59*AC29+X59*AC30+Y59*AC31+Z59*AC32+AA59*AC33</f>
        <v>6.12323399573677E-013</v>
      </c>
      <c r="AD24" s="7"/>
      <c r="AJ24" s="11"/>
      <c r="AK24" s="11" t="n">
        <v>1</v>
      </c>
      <c r="AL24" s="11" t="n">
        <v>2</v>
      </c>
      <c r="AM24" s="11" t="n">
        <v>3</v>
      </c>
      <c r="AN24" s="11" t="n">
        <v>4</v>
      </c>
      <c r="AO24" s="11" t="n">
        <v>5</v>
      </c>
      <c r="AP24" s="11" t="n">
        <v>6</v>
      </c>
      <c r="AQ24" s="11" t="n">
        <v>7</v>
      </c>
      <c r="AR24" s="11" t="n">
        <v>8</v>
      </c>
      <c r="AS24" s="11" t="n">
        <v>9</v>
      </c>
      <c r="AT24" s="11" t="n">
        <v>10</v>
      </c>
      <c r="AU24" s="11" t="n">
        <v>11</v>
      </c>
      <c r="AV24" s="11" t="n">
        <v>12</v>
      </c>
      <c r="AW24" s="11" t="n">
        <v>13</v>
      </c>
      <c r="AX24" s="11" t="n">
        <v>14</v>
      </c>
      <c r="AY24" s="7"/>
    </row>
    <row r="25" customFormat="false" ht="12" hidden="false" customHeight="false" outlineLevel="0" collapsed="false">
      <c r="A25" s="7"/>
      <c r="B25" s="22" t="n">
        <f aca="false">$B41*B$45+$C41*B$46+$D41*B$47+$E41*B$48+$F41*B$49+$G41*B$50</f>
        <v>-656250</v>
      </c>
      <c r="C25" s="22" t="n">
        <f aca="false">$B41*C$45+$C41*C$46+$D41*C$47+$E41*C$48+$F41*C$49+$G41*C$50</f>
        <v>4.01837230970225E-011</v>
      </c>
      <c r="D25" s="22" t="n">
        <f aca="false">$B41*D$45+$C41*D$46+$D41*D$47+$E41*D$48+$F41*D$49+$G41*D$50</f>
        <v>875000000</v>
      </c>
      <c r="E25" s="22" t="n">
        <f aca="false">$B41*E$45+$C41*E$46+$D41*E$47+$E41*E$48+$F41*E$49+$G41*E$50</f>
        <v>656250</v>
      </c>
      <c r="F25" s="22" t="n">
        <f aca="false">$B41*F$45+$C41*F$46+$D41*F$47+$E41*F$48+$F41*F$49+$G41*F$50</f>
        <v>-4.01837230970225E-011</v>
      </c>
      <c r="G25" s="22" t="n">
        <f aca="false">$B41*G$45+$C41*G$46+$D41*G$47+$E41*G$48+$F41*G$49+$G41*G$50</f>
        <v>1750000000</v>
      </c>
      <c r="H25" s="7"/>
      <c r="I25" s="25" t="n">
        <f aca="false">B59*I28+C59*I29+D59*I30+E59*I31+F59*I32+G59*I33</f>
        <v>13333333.3333333</v>
      </c>
      <c r="J25" s="7"/>
      <c r="K25" s="88"/>
      <c r="L25" s="24" t="n">
        <f aca="false">$L42*L$46+$M42*L$47+$N42*L$48+$O42*L$49+$P42*L$50+$Q42*L$51</f>
        <v>0</v>
      </c>
      <c r="M25" s="24" t="n">
        <f aca="false">$L42*M$46+$M42*M$47+$N42*M$48+$O42*M$49+$P42*M$50+$Q42*M$51</f>
        <v>2333333.33333333</v>
      </c>
      <c r="N25" s="24" t="n">
        <f aca="false">$L42*N$46+$M42*N$47+$N42*N$48+$O42*N$49+$P42*N$50+$Q42*N$51</f>
        <v>4666666666.66667</v>
      </c>
      <c r="O25" s="24" t="n">
        <f aca="false">$L42*O$46+$M42*O$47+$N42*O$48+$O42*O$49+$P42*O$50+$Q42*O$51</f>
        <v>0</v>
      </c>
      <c r="P25" s="24" t="n">
        <f aca="false">$L42*P$46+$M42*P$47+$N42*P$48+$O42*P$49+$P42*P$50+$Q42*P$51</f>
        <v>-2333333.33333333</v>
      </c>
      <c r="Q25" s="24" t="n">
        <f aca="false">$L42*Q$46+$M42*Q$47+$N42*Q$48+$O42*Q$49+$P42*Q$50+$Q42*Q$51</f>
        <v>9333333333.33333</v>
      </c>
      <c r="R25" s="7"/>
      <c r="S25" s="25" t="n">
        <f aca="false">L60*S28+M60*S29+N60*S30+O60*S31+P60*S32+Q60*S33</f>
        <v>30000000</v>
      </c>
      <c r="T25" s="7"/>
      <c r="U25" s="88"/>
      <c r="V25" s="26" t="n">
        <f aca="false">$V42*B$45+$W42*B$46+$X42*B$47+$Y42*B$48+$Z42*B$49+$AA42*B$50</f>
        <v>-656250</v>
      </c>
      <c r="W25" s="26" t="n">
        <f aca="false">$V42*C$45+$W42*C$46+$X42*C$47+$Y42*C$48+$Z42*C$49+$AA42*C$50</f>
        <v>4.01837230970225E-011</v>
      </c>
      <c r="X25" s="26" t="n">
        <f aca="false">$V42*D$45+$W42*D$46+$X42*D$47+$Y42*D$48+$Z42*D$49+$AA42*D$50</f>
        <v>875000000</v>
      </c>
      <c r="Y25" s="26" t="n">
        <f aca="false">$V42*E$45+$W42*E$46+$X42*E$47+$Y42*E$48+$Z42*E$49+$AA42*E$50</f>
        <v>656250</v>
      </c>
      <c r="Z25" s="26" t="n">
        <f aca="false">$V42*F$45+$W42*F$46+$X42*F$47+$Y42*F$48+$Z42*F$49+$AA42*F$50</f>
        <v>-4.01837230970225E-011</v>
      </c>
      <c r="AA25" s="26" t="n">
        <f aca="false">$V42*G$45+$W42*G$46+$X42*G$47+$Y42*G$48+$Z42*G$49+$AA42*G$50</f>
        <v>1750000000</v>
      </c>
      <c r="AB25" s="7"/>
      <c r="AC25" s="25" t="n">
        <f aca="false">V60*AC28+W60*AC29+X60*AC30+Y60*AC31+Z60*AC32+AA60*AC33</f>
        <v>-6666666.66666667</v>
      </c>
      <c r="AD25" s="7"/>
      <c r="AE25" s="100"/>
      <c r="AJ25" s="11" t="n">
        <v>1</v>
      </c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92"/>
      <c r="AY25" s="7"/>
    </row>
    <row r="26" customFormat="false" ht="12" hidden="false" customHeight="false" outlineLevel="0" collapsed="false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88"/>
      <c r="T26" s="7"/>
      <c r="U26" s="88"/>
      <c r="V26" s="7"/>
      <c r="W26" s="7"/>
      <c r="X26" s="7"/>
      <c r="Y26" s="7"/>
      <c r="Z26" s="7"/>
      <c r="AA26" s="7"/>
      <c r="AB26" s="7"/>
      <c r="AC26" s="88"/>
      <c r="AD26" s="7"/>
      <c r="AE26" s="100"/>
      <c r="AJ26" s="11" t="n">
        <v>2</v>
      </c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92"/>
      <c r="AY26" s="7"/>
    </row>
    <row r="27" customFormat="false" ht="12" hidden="false" customHeight="false" outlineLevel="0" collapsed="false">
      <c r="A27" s="7"/>
      <c r="B27" s="87" t="s">
        <v>33</v>
      </c>
      <c r="C27" s="7"/>
      <c r="D27" s="7"/>
      <c r="E27" s="7"/>
      <c r="F27" s="7"/>
      <c r="G27" s="7"/>
      <c r="H27" s="7"/>
      <c r="I27" s="88" t="s">
        <v>34</v>
      </c>
      <c r="J27" s="7"/>
      <c r="K27" s="7"/>
      <c r="L27" s="87" t="s">
        <v>33</v>
      </c>
      <c r="M27" s="7"/>
      <c r="N27" s="7"/>
      <c r="O27" s="7"/>
      <c r="P27" s="7"/>
      <c r="Q27" s="7"/>
      <c r="R27" s="7"/>
      <c r="S27" s="88" t="s">
        <v>34</v>
      </c>
      <c r="T27" s="7"/>
      <c r="U27" s="7"/>
      <c r="V27" s="87" t="s">
        <v>33</v>
      </c>
      <c r="W27" s="7"/>
      <c r="X27" s="7"/>
      <c r="Y27" s="7"/>
      <c r="Z27" s="7"/>
      <c r="AA27" s="7"/>
      <c r="AB27" s="7"/>
      <c r="AC27" s="88" t="s">
        <v>34</v>
      </c>
      <c r="AD27" s="7"/>
      <c r="AJ27" s="11" t="n">
        <v>3</v>
      </c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92"/>
      <c r="AY27" s="7"/>
    </row>
    <row r="28" customFormat="false" ht="12" hidden="false" customHeight="false" outlineLevel="0" collapsed="false">
      <c r="A28" s="7"/>
      <c r="B28" s="28" t="n">
        <f aca="false">$E$10/E6</f>
        <v>525000</v>
      </c>
      <c r="C28" s="29" t="n">
        <v>0</v>
      </c>
      <c r="D28" s="29" t="n">
        <v>0</v>
      </c>
      <c r="E28" s="28" t="n">
        <f aca="false">-$E$10/E6</f>
        <v>-525000</v>
      </c>
      <c r="F28" s="29" t="n">
        <v>0</v>
      </c>
      <c r="G28" s="29" t="n">
        <v>0</v>
      </c>
      <c r="H28" s="7"/>
      <c r="I28" s="28" t="n">
        <f aca="false">E6/2*E14</f>
        <v>0</v>
      </c>
      <c r="J28" s="7"/>
      <c r="K28" s="7"/>
      <c r="L28" s="28" t="n">
        <f aca="false">$O$10/O6</f>
        <v>700000</v>
      </c>
      <c r="M28" s="29" t="n">
        <v>0</v>
      </c>
      <c r="N28" s="29" t="n">
        <v>0</v>
      </c>
      <c r="O28" s="28" t="n">
        <f aca="false">-$O$10/O6</f>
        <v>-700000</v>
      </c>
      <c r="P28" s="29" t="n">
        <v>0</v>
      </c>
      <c r="Q28" s="29" t="n">
        <v>0</v>
      </c>
      <c r="R28" s="7"/>
      <c r="S28" s="30" t="n">
        <v>0</v>
      </c>
      <c r="T28" s="7"/>
      <c r="U28" s="7"/>
      <c r="V28" s="28" t="n">
        <f aca="false">$E$10/Y6</f>
        <v>525000</v>
      </c>
      <c r="W28" s="29" t="n">
        <v>0</v>
      </c>
      <c r="X28" s="29" t="n">
        <v>0</v>
      </c>
      <c r="Y28" s="28" t="n">
        <f aca="false">-$E$10/Y6</f>
        <v>-525000</v>
      </c>
      <c r="Z28" s="29" t="n">
        <v>0</v>
      </c>
      <c r="AA28" s="29" t="n">
        <v>0</v>
      </c>
      <c r="AB28" s="7"/>
      <c r="AC28" s="28" t="n">
        <f aca="false">-Y6/2*Y14</f>
        <v>-0</v>
      </c>
      <c r="AD28" s="7"/>
      <c r="AJ28" s="11" t="n">
        <v>4</v>
      </c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92"/>
      <c r="AY28" s="7"/>
    </row>
    <row r="29" customFormat="false" ht="12" hidden="false" customHeight="false" outlineLevel="0" collapsed="false">
      <c r="A29" s="7"/>
      <c r="B29" s="29" t="n">
        <v>0</v>
      </c>
      <c r="C29" s="28" t="n">
        <f aca="false">(12*$E$11)/$E$6^3</f>
        <v>328.125</v>
      </c>
      <c r="D29" s="28" t="n">
        <f aca="false">(6*$E$11)/$E$6^2</f>
        <v>656250</v>
      </c>
      <c r="E29" s="29" t="n">
        <v>0</v>
      </c>
      <c r="F29" s="28" t="n">
        <f aca="false">-(12*$E$11)/$E$6^3</f>
        <v>-328.125</v>
      </c>
      <c r="G29" s="28" t="n">
        <f aca="false">(6*$E$11)/$E$6^2</f>
        <v>656250</v>
      </c>
      <c r="H29" s="7"/>
      <c r="I29" s="28" t="n">
        <f aca="false">-E6/2*E15</f>
        <v>-20000</v>
      </c>
      <c r="J29" s="7"/>
      <c r="K29" s="7"/>
      <c r="L29" s="29" t="n">
        <v>0</v>
      </c>
      <c r="M29" s="28" t="n">
        <f aca="false">(12*$O$11)/$O$6^3</f>
        <v>777.777777777778</v>
      </c>
      <c r="N29" s="28" t="n">
        <f aca="false">(6*$O$11)/$O$6^2</f>
        <v>2333333.33333333</v>
      </c>
      <c r="O29" s="29" t="n">
        <v>0</v>
      </c>
      <c r="P29" s="28" t="n">
        <f aca="false">-(12*$O$11)/$O$6^3</f>
        <v>-777.777777777778</v>
      </c>
      <c r="Q29" s="28" t="n">
        <f aca="false">(6*$O$11)/$O$6^2</f>
        <v>2333333.33333333</v>
      </c>
      <c r="R29" s="7"/>
      <c r="S29" s="28" t="n">
        <f aca="false">-O6/2*(O14+O15)</f>
        <v>-30000</v>
      </c>
      <c r="T29" s="7"/>
      <c r="U29" s="7"/>
      <c r="V29" s="29" t="n">
        <v>0</v>
      </c>
      <c r="W29" s="28" t="n">
        <f aca="false">(12*$E$11)/$E$6^3</f>
        <v>328.125</v>
      </c>
      <c r="X29" s="28" t="n">
        <f aca="false">(6*$E$11)/$E$6^2</f>
        <v>656250</v>
      </c>
      <c r="Y29" s="29" t="n">
        <v>0</v>
      </c>
      <c r="Z29" s="28" t="n">
        <f aca="false">-(12*$E$11)/$E$6^3</f>
        <v>-328.125</v>
      </c>
      <c r="AA29" s="28" t="n">
        <f aca="false">(6*$E$11)/$E$6^2</f>
        <v>656250</v>
      </c>
      <c r="AB29" s="7"/>
      <c r="AC29" s="28" t="n">
        <f aca="false">-Y6/2*Y15</f>
        <v>10000</v>
      </c>
      <c r="AD29" s="7"/>
      <c r="AJ29" s="11" t="n">
        <v>5</v>
      </c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92"/>
      <c r="AY29" s="88"/>
    </row>
    <row r="30" customFormat="false" ht="12" hidden="false" customHeight="false" outlineLevel="0" collapsed="false">
      <c r="A30" s="7"/>
      <c r="B30" s="29" t="n">
        <v>0</v>
      </c>
      <c r="C30" s="28" t="n">
        <f aca="false">(6*$E$11)/$E$6^2</f>
        <v>656250</v>
      </c>
      <c r="D30" s="28" t="n">
        <f aca="false">4*$E$11/$E$6</f>
        <v>1750000000</v>
      </c>
      <c r="E30" s="29" t="n">
        <v>0</v>
      </c>
      <c r="F30" s="28" t="n">
        <f aca="false">-(6*$E$11)/$E$6^2</f>
        <v>-656250</v>
      </c>
      <c r="G30" s="28" t="n">
        <f aca="false">2*$E$11/$E$6</f>
        <v>875000000</v>
      </c>
      <c r="H30" s="7"/>
      <c r="I30" s="28" t="n">
        <f aca="false">-1*(E15*E6^2)/12</f>
        <v>-13333333.3333333</v>
      </c>
      <c r="J30" s="7"/>
      <c r="K30" s="7"/>
      <c r="L30" s="29" t="n">
        <v>0</v>
      </c>
      <c r="M30" s="28" t="n">
        <f aca="false">(6*$O$11)/$O$6^2</f>
        <v>2333333.33333333</v>
      </c>
      <c r="N30" s="28" t="n">
        <f aca="false">4*$O$11/$O$6</f>
        <v>9333333333.33333</v>
      </c>
      <c r="O30" s="29" t="n">
        <v>0</v>
      </c>
      <c r="P30" s="28" t="n">
        <f aca="false">-(6*$O$11)/$O$6^2</f>
        <v>-2333333.33333333</v>
      </c>
      <c r="Q30" s="28" t="n">
        <f aca="false">2*$O$11/$O$6</f>
        <v>4666666666.66667</v>
      </c>
      <c r="R30" s="7"/>
      <c r="S30" s="28" t="n">
        <f aca="false">-1*((O14+O15)*O6^2)/12</f>
        <v>-30000000</v>
      </c>
      <c r="T30" s="7"/>
      <c r="U30" s="7"/>
      <c r="V30" s="29" t="n">
        <v>0</v>
      </c>
      <c r="W30" s="28" t="n">
        <f aca="false">(6*$E$11)/$E$6^2</f>
        <v>656250</v>
      </c>
      <c r="X30" s="28" t="n">
        <f aca="false">4*$E$11/$E$6</f>
        <v>1750000000</v>
      </c>
      <c r="Y30" s="29" t="n">
        <v>0</v>
      </c>
      <c r="Z30" s="28" t="n">
        <f aca="false">-(6*$E$11)/$E$6^2</f>
        <v>-656250</v>
      </c>
      <c r="AA30" s="28" t="n">
        <f aca="false">2*$E$11/$E$6</f>
        <v>875000000</v>
      </c>
      <c r="AB30" s="7"/>
      <c r="AC30" s="28" t="n">
        <f aca="false">-1*(Y15*Y6^2)/12</f>
        <v>6666666.66666667</v>
      </c>
      <c r="AD30" s="7"/>
      <c r="AJ30" s="11" t="n">
        <v>6</v>
      </c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92"/>
      <c r="AY30" s="88"/>
    </row>
    <row r="31" customFormat="false" ht="12" hidden="false" customHeight="false" outlineLevel="0" collapsed="false">
      <c r="A31" s="7"/>
      <c r="B31" s="28" t="n">
        <f aca="false">-$E$10/E6</f>
        <v>-525000</v>
      </c>
      <c r="C31" s="29" t="n">
        <v>0</v>
      </c>
      <c r="D31" s="29" t="n">
        <v>0</v>
      </c>
      <c r="E31" s="28" t="n">
        <f aca="false">$E$10/E6</f>
        <v>525000</v>
      </c>
      <c r="F31" s="29" t="n">
        <v>0</v>
      </c>
      <c r="G31" s="29" t="n">
        <v>0</v>
      </c>
      <c r="H31" s="7"/>
      <c r="I31" s="28" t="n">
        <f aca="false">E6/2*E14</f>
        <v>0</v>
      </c>
      <c r="J31" s="7"/>
      <c r="K31" s="7"/>
      <c r="L31" s="28" t="n">
        <f aca="false">-$O$10/O6</f>
        <v>-700000</v>
      </c>
      <c r="M31" s="29" t="n">
        <v>0</v>
      </c>
      <c r="N31" s="29" t="n">
        <v>0</v>
      </c>
      <c r="O31" s="28" t="n">
        <f aca="false">$O$10/O6</f>
        <v>700000</v>
      </c>
      <c r="P31" s="29" t="n">
        <v>0</v>
      </c>
      <c r="Q31" s="29" t="n">
        <v>0</v>
      </c>
      <c r="R31" s="7"/>
      <c r="S31" s="30" t="n">
        <v>0</v>
      </c>
      <c r="T31" s="7"/>
      <c r="U31" s="7"/>
      <c r="V31" s="28" t="n">
        <f aca="false">-$E$10/Y6</f>
        <v>-525000</v>
      </c>
      <c r="W31" s="29" t="n">
        <v>0</v>
      </c>
      <c r="X31" s="29" t="n">
        <v>0</v>
      </c>
      <c r="Y31" s="28" t="n">
        <f aca="false">$E$10/Y6</f>
        <v>525000</v>
      </c>
      <c r="Z31" s="29" t="n">
        <v>0</v>
      </c>
      <c r="AA31" s="29" t="n">
        <v>0</v>
      </c>
      <c r="AB31" s="7"/>
      <c r="AC31" s="28" t="n">
        <f aca="false">-Y6/2*Y14</f>
        <v>-0</v>
      </c>
      <c r="AD31" s="7"/>
      <c r="AJ31" s="11" t="n">
        <v>7</v>
      </c>
      <c r="AK31" s="7"/>
      <c r="AL31" s="7"/>
      <c r="AM31" s="7"/>
      <c r="AN31" s="7"/>
      <c r="AO31" s="7"/>
      <c r="AP31" s="7"/>
      <c r="AQ31" s="31" t="n">
        <f aca="false">IF(ABS(V20)&lt;0.1,"",V20)</f>
        <v>328.125</v>
      </c>
      <c r="AR31" s="31" t="n">
        <f aca="false">W20</f>
        <v>3.21268866160695E-011</v>
      </c>
      <c r="AS31" s="31" t="n">
        <f aca="false">X20</f>
        <v>-656250</v>
      </c>
      <c r="AT31" s="31" t="n">
        <f aca="false">Y20</f>
        <v>-328.125</v>
      </c>
      <c r="AU31" s="31" t="n">
        <f aca="false">Z20</f>
        <v>-3.21268866160695E-011</v>
      </c>
      <c r="AV31" s="7"/>
      <c r="AW31" s="7"/>
      <c r="AX31" s="101" t="n">
        <f aca="false">AA20</f>
        <v>-656250</v>
      </c>
      <c r="AY31" s="32" t="n">
        <f aca="false" t="array" ref="AY31:AY35">AC20:AC24</f>
        <v>-10000</v>
      </c>
    </row>
    <row r="32" customFormat="false" ht="12" hidden="false" customHeight="false" outlineLevel="0" collapsed="false">
      <c r="A32" s="7"/>
      <c r="B32" s="29" t="n">
        <v>0</v>
      </c>
      <c r="C32" s="28" t="n">
        <f aca="false">-(12*$E$11)/$E$6^3</f>
        <v>-328.125</v>
      </c>
      <c r="D32" s="28" t="n">
        <f aca="false">-(6*$E$11)/$E$6^2</f>
        <v>-656250</v>
      </c>
      <c r="E32" s="29" t="n">
        <v>0</v>
      </c>
      <c r="F32" s="28" t="n">
        <f aca="false">(12*$E$11)/$E$6^3</f>
        <v>328.125</v>
      </c>
      <c r="G32" s="28" t="n">
        <f aca="false">-(6*$E$11)/$E$6^2</f>
        <v>-656250</v>
      </c>
      <c r="H32" s="7"/>
      <c r="I32" s="28" t="n">
        <f aca="false">-E6/2*E15</f>
        <v>-20000</v>
      </c>
      <c r="J32" s="7"/>
      <c r="K32" s="7"/>
      <c r="L32" s="29" t="n">
        <v>0</v>
      </c>
      <c r="M32" s="28" t="n">
        <f aca="false">-(12*$O$11)/$O$6^3</f>
        <v>-777.777777777778</v>
      </c>
      <c r="N32" s="28" t="n">
        <f aca="false">-(6*$O$11)/$O$6^2</f>
        <v>-2333333.33333333</v>
      </c>
      <c r="O32" s="29" t="n">
        <v>0</v>
      </c>
      <c r="P32" s="28" t="n">
        <f aca="false">(12*$O$11)/$O$6^3</f>
        <v>777.777777777778</v>
      </c>
      <c r="Q32" s="28" t="n">
        <f aca="false">-(6*$O$11)/$O$6^2</f>
        <v>-2333333.33333333</v>
      </c>
      <c r="R32" s="88"/>
      <c r="S32" s="28" t="n">
        <f aca="false">-O6/2*(O14+O15)</f>
        <v>-30000</v>
      </c>
      <c r="T32" s="7"/>
      <c r="U32" s="7"/>
      <c r="V32" s="29" t="n">
        <v>0</v>
      </c>
      <c r="W32" s="28" t="n">
        <f aca="false">-(12*$E$11)/$E$6^3</f>
        <v>-328.125</v>
      </c>
      <c r="X32" s="28" t="n">
        <f aca="false">-(6*$E$11)/$E$6^2</f>
        <v>-656250</v>
      </c>
      <c r="Y32" s="29" t="n">
        <v>0</v>
      </c>
      <c r="Z32" s="28" t="n">
        <f aca="false">(12*$E$11)/$E$6^3</f>
        <v>328.125</v>
      </c>
      <c r="AA32" s="28" t="n">
        <f aca="false">-(6*$E$11)/$E$6^2</f>
        <v>-656250</v>
      </c>
      <c r="AB32" s="7"/>
      <c r="AC32" s="28" t="n">
        <f aca="false">-Y6/2*Y15</f>
        <v>10000</v>
      </c>
      <c r="AD32" s="7"/>
      <c r="AJ32" s="11" t="n">
        <v>8</v>
      </c>
      <c r="AK32" s="7"/>
      <c r="AL32" s="7"/>
      <c r="AM32" s="7"/>
      <c r="AN32" s="7"/>
      <c r="AO32" s="7"/>
      <c r="AP32" s="7"/>
      <c r="AQ32" s="31" t="n">
        <f aca="false">V21</f>
        <v>3.21268866160695E-011</v>
      </c>
      <c r="AR32" s="31" t="n">
        <f aca="false">W21</f>
        <v>525000</v>
      </c>
      <c r="AS32" s="31" t="n">
        <f aca="false">X21</f>
        <v>4.01837230970225E-011</v>
      </c>
      <c r="AT32" s="31" t="n">
        <f aca="false">Y21</f>
        <v>-3.21268866160695E-011</v>
      </c>
      <c r="AU32" s="31" t="n">
        <f aca="false">Z21</f>
        <v>-525000</v>
      </c>
      <c r="AV32" s="7"/>
      <c r="AW32" s="7"/>
      <c r="AX32" s="101" t="n">
        <f aca="false">AA21</f>
        <v>4.01837230970225E-011</v>
      </c>
      <c r="AY32" s="33" t="n">
        <v>6.12323399573677E-013</v>
      </c>
    </row>
    <row r="33" customFormat="false" ht="12" hidden="false" customHeight="false" outlineLevel="0" collapsed="false">
      <c r="A33" s="7"/>
      <c r="B33" s="29" t="n">
        <v>0</v>
      </c>
      <c r="C33" s="28" t="n">
        <f aca="false">(6*$E$11)/$E$6^2</f>
        <v>656250</v>
      </c>
      <c r="D33" s="28" t="n">
        <f aca="false">2*$E$11/$E$6</f>
        <v>875000000</v>
      </c>
      <c r="E33" s="29" t="n">
        <v>0</v>
      </c>
      <c r="F33" s="28" t="n">
        <f aca="false">-(6*$E$11)/$E$6^2</f>
        <v>-656250</v>
      </c>
      <c r="G33" s="28" t="n">
        <f aca="false">4*$E$11/$E$6</f>
        <v>1750000000</v>
      </c>
      <c r="H33" s="7"/>
      <c r="I33" s="28" t="n">
        <f aca="false">1*(E15*E6^2)/12</f>
        <v>13333333.3333333</v>
      </c>
      <c r="J33" s="7"/>
      <c r="K33" s="7"/>
      <c r="L33" s="29" t="n">
        <v>0</v>
      </c>
      <c r="M33" s="28" t="n">
        <f aca="false">(6*$O$11)/$O$6^2</f>
        <v>2333333.33333333</v>
      </c>
      <c r="N33" s="28" t="n">
        <f aca="false">2*$O$11/$O$6</f>
        <v>4666666666.66667</v>
      </c>
      <c r="O33" s="29" t="n">
        <v>0</v>
      </c>
      <c r="P33" s="28" t="n">
        <f aca="false">-(6*$O$11)/$O$6^2</f>
        <v>-2333333.33333333</v>
      </c>
      <c r="Q33" s="28" t="n">
        <f aca="false">4*$O$11/$O$6</f>
        <v>9333333333.33333</v>
      </c>
      <c r="R33" s="7"/>
      <c r="S33" s="28" t="n">
        <f aca="false">1*((O14+O15)*O6^2)/12</f>
        <v>30000000</v>
      </c>
      <c r="T33" s="7"/>
      <c r="U33" s="7"/>
      <c r="V33" s="29" t="n">
        <v>0</v>
      </c>
      <c r="W33" s="28" t="n">
        <f aca="false">(6*$E$11)/$E$6^2</f>
        <v>656250</v>
      </c>
      <c r="X33" s="28" t="n">
        <f aca="false">2*$E$11/$E$6</f>
        <v>875000000</v>
      </c>
      <c r="Y33" s="29" t="n">
        <v>0</v>
      </c>
      <c r="Z33" s="28" t="n">
        <f aca="false">-(6*$E$11)/$E$6^2</f>
        <v>-656250</v>
      </c>
      <c r="AA33" s="28" t="n">
        <f aca="false">4*$E$11/$E$6</f>
        <v>1750000000</v>
      </c>
      <c r="AB33" s="7"/>
      <c r="AC33" s="28" t="n">
        <f aca="false">1*(Y15*Y6^2)/12</f>
        <v>-6666666.66666667</v>
      </c>
      <c r="AD33" s="7"/>
      <c r="AJ33" s="11" t="n">
        <v>9</v>
      </c>
      <c r="AK33" s="7"/>
      <c r="AL33" s="7"/>
      <c r="AM33" s="7"/>
      <c r="AN33" s="7"/>
      <c r="AO33" s="7"/>
      <c r="AP33" s="7"/>
      <c r="AQ33" s="31" t="n">
        <f aca="false">V22</f>
        <v>-656250</v>
      </c>
      <c r="AR33" s="31" t="n">
        <f aca="false">W22</f>
        <v>4.01837230970225E-011</v>
      </c>
      <c r="AS33" s="31" t="n">
        <f aca="false">X22</f>
        <v>1750000000</v>
      </c>
      <c r="AT33" s="31" t="n">
        <f aca="false">Y22</f>
        <v>656250</v>
      </c>
      <c r="AU33" s="31" t="n">
        <f aca="false">Z22</f>
        <v>-4.01837230970225E-011</v>
      </c>
      <c r="AV33" s="7"/>
      <c r="AW33" s="7"/>
      <c r="AX33" s="101" t="n">
        <f aca="false">AA22</f>
        <v>875000000</v>
      </c>
      <c r="AY33" s="32" t="n">
        <v>6666666.66666667</v>
      </c>
    </row>
    <row r="34" customFormat="false" ht="12" hidden="false" customHeight="false" outlineLevel="0" collapsed="false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J34" s="11" t="n">
        <v>10</v>
      </c>
      <c r="AK34" s="7"/>
      <c r="AL34" s="7"/>
      <c r="AM34" s="7"/>
      <c r="AN34" s="7"/>
      <c r="AO34" s="7"/>
      <c r="AP34" s="7"/>
      <c r="AQ34" s="31" t="n">
        <f aca="false">V23</f>
        <v>-328.125</v>
      </c>
      <c r="AR34" s="31" t="n">
        <f aca="false">W23</f>
        <v>-3.21268866160695E-011</v>
      </c>
      <c r="AS34" s="31" t="n">
        <f aca="false">X23</f>
        <v>656250</v>
      </c>
      <c r="AT34" s="31" t="n">
        <f aca="false">Y23</f>
        <v>328.125</v>
      </c>
      <c r="AU34" s="31" t="n">
        <f aca="false">Z23</f>
        <v>3.21268866160695E-011</v>
      </c>
      <c r="AV34" s="7"/>
      <c r="AW34" s="7"/>
      <c r="AX34" s="101" t="n">
        <f aca="false">AA23</f>
        <v>656250</v>
      </c>
      <c r="AY34" s="32" t="n">
        <v>-10000</v>
      </c>
    </row>
    <row r="35" customFormat="false" ht="12" hidden="false" customHeight="false" outlineLevel="0" collapsed="false">
      <c r="A35" s="7"/>
      <c r="B35" s="87" t="s">
        <v>35</v>
      </c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J35" s="11" t="n">
        <v>11</v>
      </c>
      <c r="AK35" s="7"/>
      <c r="AL35" s="7"/>
      <c r="AM35" s="7"/>
      <c r="AN35" s="7"/>
      <c r="AO35" s="7"/>
      <c r="AP35" s="7"/>
      <c r="AQ35" s="31" t="n">
        <f aca="false">V24</f>
        <v>-3.21268866160695E-011</v>
      </c>
      <c r="AR35" s="31" t="n">
        <f aca="false">W24</f>
        <v>-525000</v>
      </c>
      <c r="AS35" s="31" t="n">
        <f aca="false">X24</f>
        <v>-4.01837230970225E-011</v>
      </c>
      <c r="AT35" s="31" t="n">
        <f aca="false">Y24</f>
        <v>3.21268866160695E-011</v>
      </c>
      <c r="AU35" s="31" t="n">
        <f aca="false">Z24</f>
        <v>525000</v>
      </c>
      <c r="AV35" s="7"/>
      <c r="AW35" s="7"/>
      <c r="AX35" s="101" t="n">
        <f aca="false">AA24</f>
        <v>-4.01837230970225E-011</v>
      </c>
      <c r="AY35" s="33" t="n">
        <v>6.12323399573677E-013</v>
      </c>
    </row>
    <row r="36" customFormat="false" ht="12" hidden="false" customHeight="false" outlineLevel="0" collapsed="false">
      <c r="A36" s="7"/>
      <c r="B36" s="28" t="n">
        <f aca="false">$B54*B28+$C54*B29+$D54*B30+$E54*B31+$F54*B32+$G54*B33</f>
        <v>3.2146978477618E-011</v>
      </c>
      <c r="C36" s="28" t="n">
        <f aca="false">$B54*C28+$C54*C29+$D54*C30+$E54*C31+$F54*C32+$G54*C33</f>
        <v>-328.125</v>
      </c>
      <c r="D36" s="28" t="n">
        <f aca="false">$B54*D28+$C54*D29+$D54*D30+$E54*D31+$F54*D32+$G54*D33</f>
        <v>-656250</v>
      </c>
      <c r="E36" s="28" t="n">
        <f aca="false">$B54*E28+$C54*E29+$D54*E30+$E54*E31+$F54*E32+$G54*E33</f>
        <v>-3.2146978477618E-011</v>
      </c>
      <c r="F36" s="28" t="n">
        <f aca="false">$B54*F28+$C54*F29+$D54*F30+$E54*F31+$F54*F32+$G54*F33</f>
        <v>328.125</v>
      </c>
      <c r="G36" s="28" t="n">
        <f aca="false">$B54*G28+$C54*G29+$D54*G30+$E54*G31+$F54*G32+$G54*G33</f>
        <v>-656250</v>
      </c>
      <c r="H36" s="7"/>
      <c r="I36" s="7"/>
      <c r="J36" s="7"/>
      <c r="K36" s="7"/>
      <c r="L36" s="87" t="s">
        <v>35</v>
      </c>
      <c r="M36" s="7"/>
      <c r="N36" s="7"/>
      <c r="O36" s="7"/>
      <c r="P36" s="7"/>
      <c r="Q36" s="7"/>
      <c r="R36" s="7"/>
      <c r="S36" s="7"/>
      <c r="T36" s="7"/>
      <c r="U36" s="7"/>
      <c r="V36" s="87" t="s">
        <v>35</v>
      </c>
      <c r="W36" s="7"/>
      <c r="X36" s="7"/>
      <c r="Y36" s="7"/>
      <c r="Z36" s="7"/>
      <c r="AA36" s="7"/>
      <c r="AB36" s="7"/>
      <c r="AC36" s="7"/>
      <c r="AD36" s="7"/>
      <c r="AJ36" s="11" t="n">
        <v>12</v>
      </c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92"/>
      <c r="AY36" s="32"/>
    </row>
    <row r="37" customFormat="false" ht="12" hidden="false" customHeight="false" outlineLevel="0" collapsed="false">
      <c r="A37" s="7"/>
      <c r="B37" s="28" t="n">
        <f aca="false">$B55*B28+$C55*B29+$D55*B30+$E55*B31+$F55*B32+$G55*B33</f>
        <v>525000</v>
      </c>
      <c r="C37" s="28" t="n">
        <f aca="false">$B55*C28+$C55*C29+$D55*C30+$E55*C31+$F55*C32+$G55*C33</f>
        <v>2.00918615485113E-014</v>
      </c>
      <c r="D37" s="28" t="n">
        <f aca="false">$B55*D28+$C55*D29+$D55*D30+$E55*D31+$F55*D32+$G55*D33</f>
        <v>4.01837230970225E-011</v>
      </c>
      <c r="E37" s="28" t="n">
        <f aca="false">$B55*E28+$C55*E29+$D55*E30+$E55*E31+$F55*E32+$G55*E33</f>
        <v>-525000</v>
      </c>
      <c r="F37" s="28" t="n">
        <f aca="false">$B55*F28+$C55*F29+$D55*F30+$E55*F31+$F55*F32+$G55*F33</f>
        <v>-2.00918615485113E-014</v>
      </c>
      <c r="G37" s="28" t="n">
        <f aca="false">$B55*G28+$C55*G29+$D55*G30+$E55*G31+$F55*G32+$G55*G33</f>
        <v>4.01837230970225E-011</v>
      </c>
      <c r="H37" s="7"/>
      <c r="I37" s="7"/>
      <c r="J37" s="7"/>
      <c r="K37" s="7"/>
      <c r="L37" s="28" t="n">
        <f aca="false">$L55*L$28+$M55*L$29+$N55*L$30+$O55*L$31+$P55*L$32+$Q55*L$33</f>
        <v>700000</v>
      </c>
      <c r="M37" s="28" t="n">
        <f aca="false">$L55*M$28+$M55*M$29+$N55*M$30+$O55*M$31+$P55*M$32+$Q55*M$33</f>
        <v>0</v>
      </c>
      <c r="N37" s="28" t="n">
        <f aca="false">$L55*N$28+$M55*N$29+$N55*N$30+$O55*N$31+$P55*N$32+$Q55*N$33</f>
        <v>0</v>
      </c>
      <c r="O37" s="28" t="n">
        <f aca="false">$L55*O$28+$M55*O$29+$N55*O$30+$O55*O$31+$P55*O$32+$Q55*O$33</f>
        <v>-700000</v>
      </c>
      <c r="P37" s="28" t="n">
        <f aca="false">$L55*P$28+$M55*P$29+$N55*P$30+$O55*P$31+$P55*P$32+$Q55*P$33</f>
        <v>0</v>
      </c>
      <c r="Q37" s="28" t="n">
        <f aca="false">$L55*Q$28+$M55*Q$29+$N55*Q$30+$O55*Q$31+$P55*Q$32+$Q55*Q$33</f>
        <v>0</v>
      </c>
      <c r="R37" s="7"/>
      <c r="S37" s="7"/>
      <c r="T37" s="7"/>
      <c r="U37" s="7"/>
      <c r="V37" s="28" t="n">
        <f aca="false">$V55*V28+$W55*V29+$X55*V30+$Y55*V31+$Z55*V32+$AA55*V33</f>
        <v>3.2146978477618E-011</v>
      </c>
      <c r="W37" s="28" t="n">
        <f aca="false">$V55*W28+$W55*W29+$X55*W30+$Y55*W31+$Z55*W32+$AA55*W33</f>
        <v>-328.125</v>
      </c>
      <c r="X37" s="28" t="n">
        <f aca="false">$V55*X28+$W55*X29+$X55*X30+$Y55*X31+$Z55*X32+$AA55*X33</f>
        <v>-656250</v>
      </c>
      <c r="Y37" s="28" t="n">
        <f aca="false">$V55*Y28+$W55*Y29+$X55*Y30+$Y55*Y31+$Z55*Y32+$AA55*Y33</f>
        <v>-3.2146978477618E-011</v>
      </c>
      <c r="Z37" s="28" t="n">
        <f aca="false">$V55*Z28+$W55*Z29+$X55*Z30+$Y55*Z31+$Z55*Z32+$AA55*Z33</f>
        <v>328.125</v>
      </c>
      <c r="AA37" s="28" t="n">
        <f aca="false">$V55*AA28+$W55*AA29+$X55*AA30+$Y55*AA31+$Z55*AA32+$AA55*AA33</f>
        <v>-656250</v>
      </c>
      <c r="AB37" s="7"/>
      <c r="AC37" s="7"/>
      <c r="AD37" s="7"/>
      <c r="AJ37" s="11" t="n">
        <v>13</v>
      </c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92"/>
      <c r="AY37" s="7"/>
    </row>
    <row r="38" customFormat="false" ht="12" hidden="false" customHeight="false" outlineLevel="0" collapsed="false">
      <c r="A38" s="7"/>
      <c r="B38" s="28" t="n">
        <f aca="false">$B56*B28+$C56*B29+$D56*B30+$E56*B31+$F56*B32+$G56*B33</f>
        <v>0</v>
      </c>
      <c r="C38" s="28" t="n">
        <f aca="false">$B56*C28+$C56*C29+$D56*C30+$E56*C31+$F56*C32+$G56*C33</f>
        <v>656250</v>
      </c>
      <c r="D38" s="28" t="n">
        <f aca="false">$B56*D28+$C56*D29+$D56*D30+$E56*D31+$F56*D32+$G56*D33</f>
        <v>1750000000</v>
      </c>
      <c r="E38" s="28" t="n">
        <f aca="false">$B56*E28+$C56*E29+$D56*E30+$E56*E31+$F56*E32+$G56*E33</f>
        <v>0</v>
      </c>
      <c r="F38" s="28" t="n">
        <f aca="false">$B56*F28+$C56*F29+$D56*F30+$E56*F31+$F56*F32+$G56*F33</f>
        <v>-656250</v>
      </c>
      <c r="G38" s="28" t="n">
        <f aca="false">$B56*G28+$C56*G29+$D56*G30+$E56*G31+$F56*G32+$G56*G33</f>
        <v>875000000</v>
      </c>
      <c r="H38" s="7"/>
      <c r="I38" s="7"/>
      <c r="J38" s="7"/>
      <c r="K38" s="7"/>
      <c r="L38" s="28" t="n">
        <f aca="false">$L56*L$28+$M56*L$29+$N56*L$30+$O56*L$31+$P56*L$32+$Q56*L$33</f>
        <v>0</v>
      </c>
      <c r="M38" s="28" t="n">
        <f aca="false">$L56*M$28+$M56*M$29+$N56*M$30+$O56*M$31+$P56*M$32+$Q56*M$33</f>
        <v>777.777777777778</v>
      </c>
      <c r="N38" s="28" t="n">
        <f aca="false">$L56*N$28+$M56*N$29+$N56*N$30+$O56*N$31+$P56*N$32+$Q56*N$33</f>
        <v>2333333.33333333</v>
      </c>
      <c r="O38" s="28" t="n">
        <f aca="false">$L56*O$28+$M56*O$29+$N56*O$30+$O56*O$31+$P56*O$32+$Q56*O$33</f>
        <v>0</v>
      </c>
      <c r="P38" s="28" t="n">
        <f aca="false">$L56*P$28+$M56*P$29+$N56*P$30+$O56*P$31+$P56*P$32+$Q56*P$33</f>
        <v>-777.777777777778</v>
      </c>
      <c r="Q38" s="28" t="n">
        <f aca="false">$L56*Q$28+$M56*Q$29+$N56*Q$30+$O56*Q$31+$P56*Q$32+$Q56*Q$33</f>
        <v>2333333.33333333</v>
      </c>
      <c r="R38" s="7"/>
      <c r="S38" s="7"/>
      <c r="T38" s="7"/>
      <c r="U38" s="7"/>
      <c r="V38" s="28" t="n">
        <f aca="false">$V56*V28+$W56*V29+$X56*V30+$Y56*V31+$Z56*V32+$AA56*V33</f>
        <v>525000</v>
      </c>
      <c r="W38" s="28" t="n">
        <f aca="false">$V56*W28+$W56*W29+$X56*W30+$Y56*W31+$Z56*W32+$AA56*W33</f>
        <v>2.00918615485113E-014</v>
      </c>
      <c r="X38" s="28" t="n">
        <f aca="false">$V56*X28+$W56*X29+$X56*X30+$Y56*X31+$Z56*X32+$AA56*X33</f>
        <v>4.01837230970225E-011</v>
      </c>
      <c r="Y38" s="28" t="n">
        <f aca="false">$V56*Y28+$W56*Y29+$X56*Y30+$Y56*Y31+$Z56*Y32+$AA56*Y33</f>
        <v>-525000</v>
      </c>
      <c r="Z38" s="28" t="n">
        <f aca="false">$V56*Z28+$W56*Z29+$X56*Z30+$Y56*Z31+$Z56*Z32+$AA56*Z33</f>
        <v>-2.00918615485113E-014</v>
      </c>
      <c r="AA38" s="28" t="n">
        <f aca="false">$V56*AA28+$W56*AA29+$X56*AA30+$Y56*AA31+$Z56*AA32+$AA56*AA33</f>
        <v>4.01837230970225E-011</v>
      </c>
      <c r="AB38" s="7"/>
      <c r="AC38" s="7"/>
      <c r="AD38" s="7"/>
      <c r="AJ38" s="11" t="n">
        <v>14</v>
      </c>
      <c r="AK38" s="96"/>
      <c r="AL38" s="96"/>
      <c r="AM38" s="96"/>
      <c r="AN38" s="96"/>
      <c r="AO38" s="96"/>
      <c r="AP38" s="96"/>
      <c r="AQ38" s="102" t="n">
        <f aca="false">V25</f>
        <v>-656250</v>
      </c>
      <c r="AR38" s="102" t="n">
        <f aca="false">W25</f>
        <v>4.01837230970225E-011</v>
      </c>
      <c r="AS38" s="102" t="n">
        <f aca="false">X25</f>
        <v>875000000</v>
      </c>
      <c r="AT38" s="102" t="n">
        <f aca="false">Y25</f>
        <v>656250</v>
      </c>
      <c r="AU38" s="102" t="n">
        <f aca="false">Z25</f>
        <v>-4.01837230970225E-011</v>
      </c>
      <c r="AV38" s="96"/>
      <c r="AW38" s="96"/>
      <c r="AX38" s="103" t="n">
        <f aca="false">AA25</f>
        <v>1750000000</v>
      </c>
      <c r="AY38" s="21" t="n">
        <f aca="false">AC25</f>
        <v>-6666666.66666667</v>
      </c>
    </row>
    <row r="39" customFormat="false" ht="12" hidden="false" customHeight="false" outlineLevel="0" collapsed="false">
      <c r="A39" s="7"/>
      <c r="B39" s="28" t="n">
        <f aca="false">$B57*B$28+$C57*B$29+$D57*B$30+$E57*B$31+$F57*B$32+$G57*B$33</f>
        <v>-3.2146978477618E-011</v>
      </c>
      <c r="C39" s="28" t="n">
        <f aca="false">$B57*C$28+$C57*C$29+$D57*C$30+$E57*C$31+$F57*C$32+$G57*C$33</f>
        <v>328.125</v>
      </c>
      <c r="D39" s="28" t="n">
        <f aca="false">$B57*D$28+$C57*D$29+$D57*D$30+$E57*D$31+$F57*D$32+$G57*D$33</f>
        <v>656250</v>
      </c>
      <c r="E39" s="28" t="n">
        <f aca="false">$B57*E$28+$C57*E$29+$D57*E$30+$E57*E$31+$F57*E$32+$G57*E$33</f>
        <v>3.2146978477618E-011</v>
      </c>
      <c r="F39" s="28" t="n">
        <f aca="false">$B57*F$28+$C57*F$29+$D57*F$30+$E57*F$31+$F57*F$32+$G57*F$33</f>
        <v>-328.125</v>
      </c>
      <c r="G39" s="28" t="n">
        <f aca="false">$B57*G$28+$C57*G$29+$D57*G$30+$E57*G$31+$F57*G$32+$G57*G$33</f>
        <v>656250</v>
      </c>
      <c r="H39" s="7"/>
      <c r="I39" s="7"/>
      <c r="J39" s="7"/>
      <c r="K39" s="7"/>
      <c r="L39" s="28" t="n">
        <f aca="false">$L57*L$28+$M57*L$29+$N57*L$30+$O57*L$31+$P57*L$32+$Q57*L$33</f>
        <v>0</v>
      </c>
      <c r="M39" s="28" t="n">
        <f aca="false">$L57*M$28+$M57*M$29+$N57*M$30+$O57*M$31+$P57*M$32+$Q57*M$33</f>
        <v>2333333.33333333</v>
      </c>
      <c r="N39" s="28" t="n">
        <f aca="false">$L57*N$28+$M57*N$29+$N57*N$30+$O57*N$31+$P57*N$32+$Q57*N$33</f>
        <v>9333333333.33333</v>
      </c>
      <c r="O39" s="28" t="n">
        <f aca="false">$L57*O$28+$M57*O$29+$N57*O$30+$O57*O$31+$P57*O$32+$Q57*O$33</f>
        <v>0</v>
      </c>
      <c r="P39" s="28" t="n">
        <f aca="false">$L57*P$28+$M57*P$29+$N57*P$30+$O57*P$31+$P57*P$32+$Q57*P$33</f>
        <v>-2333333.33333333</v>
      </c>
      <c r="Q39" s="28" t="n">
        <f aca="false">$L57*Q$28+$M57*Q$29+$N57*Q$30+$O57*Q$31+$P57*Q$32+$Q57*Q$33</f>
        <v>4666666666.66667</v>
      </c>
      <c r="R39" s="7"/>
      <c r="S39" s="7"/>
      <c r="T39" s="7"/>
      <c r="U39" s="7"/>
      <c r="V39" s="28" t="n">
        <f aca="false">$V57*V28+$W57*V29+$X57*V30+$Y57*V31+$Z57*V32+$AA57*V33</f>
        <v>0</v>
      </c>
      <c r="W39" s="28" t="n">
        <f aca="false">$V57*W28+$W57*W29+$X57*W30+$Y57*W31+$Z57*W32+$AA57*W33</f>
        <v>656250</v>
      </c>
      <c r="X39" s="28" t="n">
        <f aca="false">$V57*X28+$W57*X29+$X57*X30+$Y57*X31+$Z57*X32+$AA57*X33</f>
        <v>1750000000</v>
      </c>
      <c r="Y39" s="28" t="n">
        <f aca="false">$V57*Y28+$W57*Y29+$X57*Y30+$Y57*Y31+$Z57*Y32+$AA57*Y33</f>
        <v>0</v>
      </c>
      <c r="Z39" s="28" t="n">
        <f aca="false">$V57*Z28+$W57*Z29+$X57*Z30+$Y57*Z31+$Z57*Z32+$AA57*Z33</f>
        <v>-656250</v>
      </c>
      <c r="AA39" s="28" t="n">
        <f aca="false">$V57*AA28+$W57*AA29+$X57*AA30+$Y57*AA31+$Z57*AA32+$AA57*AA33</f>
        <v>875000000</v>
      </c>
      <c r="AB39" s="7"/>
      <c r="AC39" s="7"/>
      <c r="AD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</row>
    <row r="40" customFormat="false" ht="12" hidden="false" customHeight="false" outlineLevel="0" collapsed="false">
      <c r="A40" s="7"/>
      <c r="B40" s="28" t="n">
        <f aca="false">$B58*B$28+$C58*B$29+$D58*B$30+$E58*B$31+$F58*B$32+$G58*B$33</f>
        <v>-525000</v>
      </c>
      <c r="C40" s="28" t="n">
        <f aca="false">$B58*C$28+$C58*C$29+$D58*C$30+$E58*C$31+$F58*C$32+$G58*C$33</f>
        <v>-2.00918615485113E-014</v>
      </c>
      <c r="D40" s="28" t="n">
        <f aca="false">$B58*D$28+$C58*D$29+$D58*D$30+$E58*D$31+$F58*D$32+$G58*D$33</f>
        <v>-4.01837230970225E-011</v>
      </c>
      <c r="E40" s="28" t="n">
        <f aca="false">$B58*E$28+$C58*E$29+$D58*E$30+$E58*E$31+$F58*E$32+$G58*E$33</f>
        <v>525000</v>
      </c>
      <c r="F40" s="28" t="n">
        <f aca="false">$B58*F$28+$C58*F$29+$D58*F$30+$E58*F$31+$F58*F$32+$G58*F$33</f>
        <v>2.00918615485113E-014</v>
      </c>
      <c r="G40" s="28" t="n">
        <f aca="false">$B58*G$28+$C58*G$29+$D58*G$30+$E58*G$31+$F58*G$32+$G58*G$33</f>
        <v>-4.01837230970225E-011</v>
      </c>
      <c r="H40" s="7"/>
      <c r="I40" s="7"/>
      <c r="J40" s="7"/>
      <c r="K40" s="7"/>
      <c r="L40" s="28" t="n">
        <f aca="false">$L58*L$28+$M58*L$29+$N58*L$30+$O58*L$31+$P58*L$32+$Q58*L$33</f>
        <v>-700000</v>
      </c>
      <c r="M40" s="28" t="n">
        <f aca="false">$L58*M$28+$M58*M$29+$N58*M$30+$O58*M$31+$P58*M$32+$Q58*M$33</f>
        <v>0</v>
      </c>
      <c r="N40" s="28" t="n">
        <f aca="false">$L58*N$28+$M58*N$29+$N58*N$30+$O58*N$31+$P58*N$32+$Q58*N$33</f>
        <v>0</v>
      </c>
      <c r="O40" s="28" t="n">
        <f aca="false">$L58*O$28+$M58*O$29+$N58*O$30+$O58*O$31+$P58*O$32+$Q58*O$33</f>
        <v>700000</v>
      </c>
      <c r="P40" s="28" t="n">
        <f aca="false">$L58*P$28+$M58*P$29+$N58*P$30+$O58*P$31+$P58*P$32+$Q58*P$33</f>
        <v>0</v>
      </c>
      <c r="Q40" s="28" t="n">
        <f aca="false">$L58*Q$28+$M58*Q$29+$N58*Q$30+$O58*Q$31+$P58*Q$32+$Q58*Q$33</f>
        <v>0</v>
      </c>
      <c r="R40" s="7"/>
      <c r="S40" s="88"/>
      <c r="T40" s="7"/>
      <c r="U40" s="7"/>
      <c r="V40" s="28" t="n">
        <f aca="false">$V58*B$28+$W58*B$29+$X58*B$30+$Y58*B$31+$Z58*B$32+$AA58*B$33</f>
        <v>-3.2146978477618E-011</v>
      </c>
      <c r="W40" s="28" t="n">
        <f aca="false">$V58*C$28+$W58*C$29+$X58*C$30+$Y58*C$31+$Z58*C$32+$AA58*C$33</f>
        <v>328.125</v>
      </c>
      <c r="X40" s="28" t="n">
        <f aca="false">$V58*D$28+$W58*D$29+$X58*D$30+$Y58*D$31+$Z58*D$32+$AA58*D$33</f>
        <v>656250</v>
      </c>
      <c r="Y40" s="28" t="n">
        <f aca="false">$V58*E$28+$W58*E$29+$X58*E$30+$Y58*E$31+$Z58*E$32+$AA58*E$33</f>
        <v>3.2146978477618E-011</v>
      </c>
      <c r="Z40" s="28" t="n">
        <f aca="false">$V58*F$28+$W58*F$29+$X58*F$30+$Y58*F$31+$Z58*F$32+$AA58*F$33</f>
        <v>-328.125</v>
      </c>
      <c r="AA40" s="28" t="n">
        <f aca="false">$V58*G$28+$W58*G$29+$X58*G$30+$Y58*G$31+$Z58*G$32+$AA58*G$33</f>
        <v>656250</v>
      </c>
      <c r="AB40" s="7"/>
      <c r="AC40" s="7"/>
      <c r="AD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</row>
    <row r="41" customFormat="false" ht="12" hidden="false" customHeight="false" outlineLevel="0" collapsed="false">
      <c r="A41" s="7"/>
      <c r="B41" s="28" t="n">
        <f aca="false">$B59*B$28+$C59*B$29+$D59*B$30+$E59*B$31+$F59*B$32+$G59*B$33</f>
        <v>0</v>
      </c>
      <c r="C41" s="28" t="n">
        <f aca="false">$B59*C$28+$C59*C$29+$D59*C$30+$E59*C$31+$F59*C$32+$G59*C$33</f>
        <v>656250</v>
      </c>
      <c r="D41" s="28" t="n">
        <f aca="false">$B59*D$28+$C59*D$29+$D59*D$30+$E59*D$31+$F59*D$32+$G59*D$33</f>
        <v>875000000</v>
      </c>
      <c r="E41" s="28" t="n">
        <f aca="false">$B59*E$28+$C59*E$29+$D59*E$30+$E59*E$31+$F59*E$32+$G59*E$33</f>
        <v>0</v>
      </c>
      <c r="F41" s="28" t="n">
        <f aca="false">$B59*F$28+$C59*F$29+$D59*F$30+$E59*F$31+$F59*F$32+$G59*F$33</f>
        <v>-656250</v>
      </c>
      <c r="G41" s="28" t="n">
        <f aca="false">$B59*G$28+$C59*G$29+$D59*G$30+$E59*G$31+$F59*G$32+$G59*G$33</f>
        <v>1750000000</v>
      </c>
      <c r="H41" s="7"/>
      <c r="I41" s="7"/>
      <c r="J41" s="7"/>
      <c r="K41" s="7"/>
      <c r="L41" s="28" t="n">
        <f aca="false">$L59*L$28+$M59*L$29+$N59*L$30+$O59*L$31+$P59*L$32+$Q59*L$33</f>
        <v>0</v>
      </c>
      <c r="M41" s="28" t="n">
        <f aca="false">$L59*M$28+$M59*M$29+$N59*M$30+$O59*M$31+$P59*M$32+$Q59*M$33</f>
        <v>-777.777777777778</v>
      </c>
      <c r="N41" s="28" t="n">
        <f aca="false">$L59*N$28+$M59*N$29+$N59*N$30+$O59*N$31+$P59*N$32+$Q59*N$33</f>
        <v>-2333333.33333333</v>
      </c>
      <c r="O41" s="28" t="n">
        <f aca="false">$L59*O$28+$M59*O$29+$N59*O$30+$O59*O$31+$P59*O$32+$Q59*O$33</f>
        <v>0</v>
      </c>
      <c r="P41" s="28" t="n">
        <f aca="false">$L59*P$28+$M59*P$29+$N59*P$30+$O59*P$31+$P59*P$32+$Q59*P$33</f>
        <v>777.777777777778</v>
      </c>
      <c r="Q41" s="28" t="n">
        <f aca="false">$L59*Q$28+$M59*Q$29+$N59*Q$30+$O59*Q$31+$P59*Q$32+$Q59*Q$33</f>
        <v>-2333333.33333333</v>
      </c>
      <c r="R41" s="7"/>
      <c r="S41" s="7"/>
      <c r="T41" s="7"/>
      <c r="U41" s="7"/>
      <c r="V41" s="28" t="n">
        <f aca="false">$V59*B$28+$W59*B$29+$X59*B$30+$Y59*B$31+$Z59*B$32+$AA59*B$33</f>
        <v>-525000</v>
      </c>
      <c r="W41" s="28" t="n">
        <f aca="false">$V59*C$28+$W59*C$29+$X59*C$30+$Y59*C$31+$Z59*C$32+$AA59*C$33</f>
        <v>-2.00918615485113E-014</v>
      </c>
      <c r="X41" s="28" t="n">
        <f aca="false">$V59*D$28+$W59*D$29+$X59*D$30+$Y59*D$31+$Z59*D$32+$AA59*D$33</f>
        <v>-4.01837230970225E-011</v>
      </c>
      <c r="Y41" s="28" t="n">
        <f aca="false">$V59*E$28+$W59*E$29+$X59*E$30+$Y59*E$31+$Z59*E$32+$AA59*E$33</f>
        <v>525000</v>
      </c>
      <c r="Z41" s="28" t="n">
        <f aca="false">$V59*F$28+$W59*F$29+$X59*F$30+$Y59*F$31+$Z59*F$32+$AA59*F$33</f>
        <v>2.00918615485113E-014</v>
      </c>
      <c r="AA41" s="28" t="n">
        <f aca="false">$V59*G$28+$W59*G$29+$X59*G$30+$Y59*G$31+$Z59*G$32+$AA59*G$33</f>
        <v>-4.01837230970225E-011</v>
      </c>
      <c r="AB41" s="7"/>
      <c r="AC41" s="7"/>
      <c r="AD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  <c r="AY41" s="7"/>
    </row>
    <row r="42" customFormat="false" ht="12" hidden="false" customHeight="false" outlineLevel="0" collapsed="false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28" t="n">
        <f aca="false">$L60*L$28+$M60*L$29+$N60*L$30+$O60*L$31+$P60*L$32+$Q60*L$33</f>
        <v>0</v>
      </c>
      <c r="M42" s="28" t="n">
        <f aca="false">$L60*M$28+$M60*M$29+$N60*M$30+$O60*M$31+$P60*M$32+$Q60*M$33</f>
        <v>2333333.33333333</v>
      </c>
      <c r="N42" s="28" t="n">
        <f aca="false">$L60*N$28+$M60*N$29+$N60*N$30+$O60*N$31+$P60*N$32+$Q60*N$33</f>
        <v>4666666666.66667</v>
      </c>
      <c r="O42" s="28" t="n">
        <f aca="false">$L60*O$28+$M60*O$29+$N60*O$30+$O60*O$31+$P60*O$32+$Q60*O$33</f>
        <v>0</v>
      </c>
      <c r="P42" s="28" t="n">
        <f aca="false">$L60*P$28+$M60*P$29+$N60*P$30+$O60*P$31+$P60*P$32+$Q60*P$33</f>
        <v>-2333333.33333333</v>
      </c>
      <c r="Q42" s="28" t="n">
        <f aca="false">$L60*Q$28+$M60*Q$29+$N60*Q$30+$O60*Q$31+$P60*Q$32+$Q60*Q$33</f>
        <v>9333333333.33333</v>
      </c>
      <c r="R42" s="7"/>
      <c r="S42" s="7"/>
      <c r="T42" s="7"/>
      <c r="U42" s="7"/>
      <c r="V42" s="28" t="n">
        <f aca="false">$V60*B$28+$W60*B$29+$X60*B$30+$Y60*B$31+$Z60*B$32+$AA60*B$33</f>
        <v>0</v>
      </c>
      <c r="W42" s="28" t="n">
        <f aca="false">$V60*C$28+$W60*C$29+$X60*C$30+$Y60*C$31+$Z60*C$32+$AA60*C$33</f>
        <v>656250</v>
      </c>
      <c r="X42" s="28" t="n">
        <f aca="false">$V60*D$28+$W60*D$29+$X60*D$30+$Y60*D$31+$Z60*D$32+$AA60*D$33</f>
        <v>875000000</v>
      </c>
      <c r="Y42" s="28" t="n">
        <f aca="false">$V60*E$28+$W60*E$29+$X60*E$30+$Y60*E$31+$Z60*E$32+$AA60*E$33</f>
        <v>0</v>
      </c>
      <c r="Z42" s="28" t="n">
        <f aca="false">$V60*F$28+$W60*F$29+$X60*F$30+$Y60*F$31+$Z60*F$32+$AA60*F$33</f>
        <v>-656250</v>
      </c>
      <c r="AA42" s="28" t="n">
        <f aca="false">$V60*G$28+$W60*G$29+$X60*G$30+$Y60*G$31+$Z60*G$32+$AA60*G$33</f>
        <v>1750000000</v>
      </c>
      <c r="AB42" s="7"/>
      <c r="AC42" s="7"/>
      <c r="AD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</row>
    <row r="43" customFormat="false" ht="12" hidden="false" customHeight="false" outlineLevel="0" collapsed="false">
      <c r="A43" s="7"/>
      <c r="B43" s="7"/>
      <c r="C43" s="7"/>
      <c r="D43" s="7"/>
      <c r="E43" s="7"/>
      <c r="F43" s="7"/>
      <c r="G43" s="7"/>
      <c r="H43" s="104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100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</row>
    <row r="44" customFormat="false" ht="12" hidden="false" customHeight="false" outlineLevel="0" collapsed="false">
      <c r="A44" s="7"/>
      <c r="B44" s="87" t="s">
        <v>42</v>
      </c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100"/>
      <c r="AJ44" s="87" t="s">
        <v>36</v>
      </c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</row>
    <row r="45" customFormat="false" ht="12" hidden="false" customHeight="false" outlineLevel="0" collapsed="false">
      <c r="A45" s="7"/>
      <c r="B45" s="30" t="n">
        <f aca="false">$C$5</f>
        <v>6.12323399573677E-017</v>
      </c>
      <c r="C45" s="30" t="n">
        <f aca="false">$E$5</f>
        <v>1</v>
      </c>
      <c r="D45" s="30" t="n">
        <v>0</v>
      </c>
      <c r="E45" s="30" t="n">
        <v>0</v>
      </c>
      <c r="F45" s="30" t="n">
        <v>0</v>
      </c>
      <c r="G45" s="30" t="n">
        <v>0</v>
      </c>
      <c r="H45" s="7"/>
      <c r="I45" s="7"/>
      <c r="J45" s="7"/>
      <c r="K45" s="7"/>
      <c r="L45" s="87" t="s">
        <v>42</v>
      </c>
      <c r="M45" s="7"/>
      <c r="N45" s="7"/>
      <c r="O45" s="7"/>
      <c r="P45" s="7"/>
      <c r="Q45" s="7"/>
      <c r="R45" s="7"/>
      <c r="S45" s="7"/>
      <c r="T45" s="7"/>
      <c r="U45" s="7"/>
      <c r="V45" s="87" t="s">
        <v>42</v>
      </c>
      <c r="W45" s="7"/>
      <c r="X45" s="7"/>
      <c r="Y45" s="7"/>
      <c r="Z45" s="7"/>
      <c r="AA45" s="7"/>
      <c r="AB45" s="7"/>
      <c r="AC45" s="7"/>
      <c r="AD45" s="7"/>
      <c r="AE45" s="105"/>
      <c r="AJ45" s="11"/>
      <c r="AK45" s="11" t="n">
        <v>1</v>
      </c>
      <c r="AL45" s="11" t="n">
        <v>2</v>
      </c>
      <c r="AM45" s="11" t="n">
        <v>3</v>
      </c>
      <c r="AN45" s="11" t="n">
        <v>4</v>
      </c>
      <c r="AO45" s="11" t="n">
        <v>5</v>
      </c>
      <c r="AP45" s="11" t="n">
        <v>6</v>
      </c>
      <c r="AQ45" s="11" t="n">
        <v>7</v>
      </c>
      <c r="AR45" s="11" t="n">
        <v>8</v>
      </c>
      <c r="AS45" s="11" t="n">
        <v>9</v>
      </c>
      <c r="AT45" s="11" t="n">
        <v>10</v>
      </c>
      <c r="AU45" s="11" t="n">
        <v>11</v>
      </c>
      <c r="AV45" s="11" t="n">
        <v>12</v>
      </c>
      <c r="AW45" s="11" t="n">
        <v>13</v>
      </c>
      <c r="AX45" s="11" t="n">
        <v>14</v>
      </c>
      <c r="AY45" s="7" t="s">
        <v>37</v>
      </c>
      <c r="AZ45" s="10" t="s">
        <v>38</v>
      </c>
      <c r="BA45" s="7" t="s">
        <v>39</v>
      </c>
      <c r="BB45" s="10" t="s">
        <v>10</v>
      </c>
      <c r="BC45" s="7" t="s">
        <v>90</v>
      </c>
      <c r="BD45" s="10" t="s">
        <v>38</v>
      </c>
      <c r="BF45" s="34" t="s">
        <v>40</v>
      </c>
    </row>
    <row r="46" customFormat="false" ht="12" hidden="false" customHeight="false" outlineLevel="0" collapsed="false">
      <c r="A46" s="7"/>
      <c r="B46" s="30" t="n">
        <f aca="false">-$E$5</f>
        <v>-1</v>
      </c>
      <c r="C46" s="30" t="n">
        <f aca="false">$C$5</f>
        <v>6.12323399573677E-017</v>
      </c>
      <c r="D46" s="30" t="n">
        <v>0</v>
      </c>
      <c r="E46" s="30" t="n">
        <v>0</v>
      </c>
      <c r="F46" s="30" t="n">
        <v>0</v>
      </c>
      <c r="G46" s="30" t="n">
        <v>0</v>
      </c>
      <c r="H46" s="7"/>
      <c r="I46" s="7"/>
      <c r="J46" s="7"/>
      <c r="K46" s="7"/>
      <c r="L46" s="30" t="n">
        <f aca="false">$M$5</f>
        <v>1</v>
      </c>
      <c r="M46" s="30" t="n">
        <f aca="false">$O$5</f>
        <v>0</v>
      </c>
      <c r="N46" s="30" t="n">
        <v>0</v>
      </c>
      <c r="O46" s="30" t="n">
        <v>0</v>
      </c>
      <c r="P46" s="30" t="n">
        <v>0</v>
      </c>
      <c r="Q46" s="30" t="n">
        <v>0</v>
      </c>
      <c r="R46" s="7"/>
      <c r="S46" s="7"/>
      <c r="T46" s="7"/>
      <c r="U46" s="7"/>
      <c r="V46" s="30" t="n">
        <f aca="false">$C$5</f>
        <v>6.12323399573677E-017</v>
      </c>
      <c r="W46" s="30" t="n">
        <f aca="false">$E$5</f>
        <v>1</v>
      </c>
      <c r="X46" s="30" t="n">
        <v>0</v>
      </c>
      <c r="Y46" s="30" t="n">
        <v>0</v>
      </c>
      <c r="Z46" s="30" t="n">
        <v>0</v>
      </c>
      <c r="AA46" s="30" t="n">
        <v>0</v>
      </c>
      <c r="AB46" s="7"/>
      <c r="AC46" s="7"/>
      <c r="AD46" s="7"/>
      <c r="AE46" s="106"/>
      <c r="AJ46" s="11" t="n">
        <v>1</v>
      </c>
      <c r="AK46" s="107" t="n">
        <f aca="false">AK6+BA6+AK25</f>
        <v>328.125</v>
      </c>
      <c r="AL46" s="108" t="n">
        <f aca="false">AL6+BB6+AL25</f>
        <v>3.21268866160695E-011</v>
      </c>
      <c r="AM46" s="108" t="n">
        <f aca="false">AM6+BC6+AM25</f>
        <v>-656250</v>
      </c>
      <c r="AN46" s="108" t="n">
        <f aca="false">AN6+BD6+AN25</f>
        <v>-328.125</v>
      </c>
      <c r="AO46" s="108" t="n">
        <f aca="false">AO6+BE6+AO25</f>
        <v>-3.21268866160695E-011</v>
      </c>
      <c r="AP46" s="109" t="n">
        <f aca="false">AP6+BF6+AP25</f>
        <v>0</v>
      </c>
      <c r="AQ46" s="110" t="n">
        <f aca="false">AQ6+BG6+AQ25</f>
        <v>0</v>
      </c>
      <c r="AR46" s="110" t="n">
        <f aca="false">AR6+BH6+AR25</f>
        <v>0</v>
      </c>
      <c r="AS46" s="110" t="n">
        <f aca="false">AS6+BI6+AS25</f>
        <v>0</v>
      </c>
      <c r="AT46" s="110" t="n">
        <f aca="false">AT6+BJ6+AT25</f>
        <v>0</v>
      </c>
      <c r="AU46" s="110" t="n">
        <f aca="false">AU6+BK6+AU25</f>
        <v>0</v>
      </c>
      <c r="AV46" s="110" t="n">
        <f aca="false">AV6+BL6+AV25</f>
        <v>0</v>
      </c>
      <c r="AW46" s="111" t="n">
        <f aca="false">AW6+BM6+AW25</f>
        <v>-656250</v>
      </c>
      <c r="AX46" s="112" t="n">
        <f aca="false">AX6+BN6+AX25</f>
        <v>0</v>
      </c>
      <c r="AY46" s="1"/>
      <c r="AZ46" s="7" t="n">
        <v>0</v>
      </c>
      <c r="BA46" s="1"/>
      <c r="BB46" s="13" t="n">
        <f aca="false">AY6+BO6+AY25</f>
        <v>20000</v>
      </c>
      <c r="BC46" s="1" t="s">
        <v>41</v>
      </c>
      <c r="BD46" s="63" t="n">
        <f aca="false" t="array" ref="BD46:BD48">AZ46:AZ48</f>
        <v>0</v>
      </c>
      <c r="BE46" s="7"/>
      <c r="BF46" s="7" t="n">
        <f aca="false" t="array" ref="BF46:BF59">MMULT(AK46:AX59,BD46:BD59)-BB46:BB59</f>
        <v>-28750.659141066</v>
      </c>
      <c r="BG46" s="7"/>
      <c r="BH46" s="7"/>
      <c r="BI46" s="7"/>
      <c r="BJ46" s="7"/>
      <c r="BK46" s="7"/>
      <c r="BL46" s="7"/>
      <c r="BM46" s="7"/>
      <c r="BN46" s="7"/>
      <c r="CE46" s="100"/>
    </row>
    <row r="47" customFormat="false" ht="12" hidden="false" customHeight="false" outlineLevel="0" collapsed="false">
      <c r="A47" s="7"/>
      <c r="B47" s="30" t="n">
        <v>0</v>
      </c>
      <c r="C47" s="30" t="n">
        <v>0</v>
      </c>
      <c r="D47" s="30" t="n">
        <v>1</v>
      </c>
      <c r="E47" s="30" t="n">
        <v>0</v>
      </c>
      <c r="F47" s="30" t="n">
        <v>0</v>
      </c>
      <c r="G47" s="30" t="n">
        <v>0</v>
      </c>
      <c r="H47" s="7"/>
      <c r="I47" s="7"/>
      <c r="J47" s="7"/>
      <c r="K47" s="7"/>
      <c r="L47" s="30" t="n">
        <f aca="false">-$O$5</f>
        <v>-0</v>
      </c>
      <c r="M47" s="30" t="n">
        <f aca="false">$M$5</f>
        <v>1</v>
      </c>
      <c r="N47" s="30" t="n">
        <v>0</v>
      </c>
      <c r="O47" s="30" t="n">
        <v>0</v>
      </c>
      <c r="P47" s="30" t="n">
        <v>0</v>
      </c>
      <c r="Q47" s="30" t="n">
        <v>0</v>
      </c>
      <c r="R47" s="7"/>
      <c r="S47" s="7"/>
      <c r="T47" s="7"/>
      <c r="U47" s="7"/>
      <c r="V47" s="30" t="n">
        <f aca="false">-$E$5</f>
        <v>-1</v>
      </c>
      <c r="W47" s="30" t="n">
        <f aca="false">$C$5</f>
        <v>6.12323399573677E-017</v>
      </c>
      <c r="X47" s="30" t="n">
        <v>0</v>
      </c>
      <c r="Y47" s="30" t="n">
        <v>0</v>
      </c>
      <c r="Z47" s="30" t="n">
        <v>0</v>
      </c>
      <c r="AA47" s="30" t="n">
        <v>0</v>
      </c>
      <c r="AB47" s="7"/>
      <c r="AC47" s="7"/>
      <c r="AD47" s="7"/>
      <c r="AE47" s="105"/>
      <c r="AJ47" s="11" t="n">
        <v>2</v>
      </c>
      <c r="AK47" s="113" t="n">
        <f aca="false">AK7+BA7+AK26</f>
        <v>3.21268866160695E-011</v>
      </c>
      <c r="AL47" s="114" t="n">
        <f aca="false">AL7+BB7+AL26</f>
        <v>525000</v>
      </c>
      <c r="AM47" s="114" t="n">
        <f aca="false">AM7+BC7+AM26</f>
        <v>4.01837230970225E-011</v>
      </c>
      <c r="AN47" s="114" t="n">
        <f aca="false">AN7+BD7+AN26</f>
        <v>-3.21268866160695E-011</v>
      </c>
      <c r="AO47" s="114" t="n">
        <f aca="false">AO7+BE7+AO26</f>
        <v>-525000</v>
      </c>
      <c r="AP47" s="115" t="n">
        <f aca="false">AP7+BF7+AP26</f>
        <v>0</v>
      </c>
      <c r="AQ47" s="116" t="n">
        <f aca="false">AQ7+BG7+AQ26</f>
        <v>0</v>
      </c>
      <c r="AR47" s="116" t="n">
        <f aca="false">AR7+BH7+AR26</f>
        <v>0</v>
      </c>
      <c r="AS47" s="116" t="n">
        <f aca="false">AS7+BI7+AS26</f>
        <v>0</v>
      </c>
      <c r="AT47" s="116" t="n">
        <f aca="false">AT7+BJ7+AT26</f>
        <v>0</v>
      </c>
      <c r="AU47" s="116" t="n">
        <f aca="false">AU7+BK7+AU26</f>
        <v>0</v>
      </c>
      <c r="AV47" s="116" t="n">
        <f aca="false">AV7+BL7+AV26</f>
        <v>0</v>
      </c>
      <c r="AW47" s="117" t="n">
        <f aca="false">AW7+BM7+AW26</f>
        <v>4.01837230970225E-011</v>
      </c>
      <c r="AX47" s="118" t="n">
        <f aca="false">AX7+BN7+AX26</f>
        <v>0</v>
      </c>
      <c r="AY47" s="1"/>
      <c r="AZ47" s="7" t="n">
        <v>0</v>
      </c>
      <c r="BA47" s="1"/>
      <c r="BB47" s="13" t="n">
        <f aca="false">AY7+BO7+AY26</f>
        <v>-1.22464679914735E-012</v>
      </c>
      <c r="BC47" s="1" t="s">
        <v>43</v>
      </c>
      <c r="BD47" s="63" t="n">
        <v>0</v>
      </c>
      <c r="BE47" s="37"/>
      <c r="BF47" s="37" t="n">
        <v>29999.9999999996</v>
      </c>
      <c r="BG47" s="41"/>
      <c r="BH47" s="41"/>
      <c r="BI47" s="41"/>
      <c r="BJ47" s="41"/>
      <c r="BK47" s="41"/>
      <c r="BL47" s="41"/>
      <c r="BM47" s="41"/>
      <c r="BN47" s="41"/>
      <c r="BS47" s="95"/>
      <c r="CE47" s="100"/>
    </row>
    <row r="48" customFormat="false" ht="12" hidden="false" customHeight="false" outlineLevel="0" collapsed="false">
      <c r="A48" s="7"/>
      <c r="B48" s="30" t="n">
        <v>0</v>
      </c>
      <c r="C48" s="30" t="n">
        <v>0</v>
      </c>
      <c r="D48" s="30" t="n">
        <v>0</v>
      </c>
      <c r="E48" s="30" t="n">
        <f aca="false">$C$5</f>
        <v>6.12323399573677E-017</v>
      </c>
      <c r="F48" s="30" t="n">
        <f aca="false">$E$5</f>
        <v>1</v>
      </c>
      <c r="G48" s="30" t="n">
        <v>0</v>
      </c>
      <c r="H48" s="7"/>
      <c r="I48" s="7"/>
      <c r="J48" s="7"/>
      <c r="K48" s="7"/>
      <c r="L48" s="30" t="n">
        <v>0</v>
      </c>
      <c r="M48" s="30" t="n">
        <v>0</v>
      </c>
      <c r="N48" s="30" t="n">
        <v>1</v>
      </c>
      <c r="O48" s="30" t="n">
        <v>0</v>
      </c>
      <c r="P48" s="30" t="n">
        <v>0</v>
      </c>
      <c r="Q48" s="30" t="n">
        <v>0</v>
      </c>
      <c r="R48" s="7"/>
      <c r="S48" s="7"/>
      <c r="T48" s="7"/>
      <c r="U48" s="7"/>
      <c r="V48" s="30" t="n">
        <v>0</v>
      </c>
      <c r="W48" s="30" t="n">
        <v>0</v>
      </c>
      <c r="X48" s="30" t="n">
        <v>1</v>
      </c>
      <c r="Y48" s="30" t="n">
        <v>0</v>
      </c>
      <c r="Z48" s="30" t="n">
        <v>0</v>
      </c>
      <c r="AA48" s="30" t="n">
        <v>0</v>
      </c>
      <c r="AB48" s="7"/>
      <c r="AC48" s="7"/>
      <c r="AD48" s="7"/>
      <c r="AE48" s="105"/>
      <c r="AJ48" s="11" t="n">
        <v>3</v>
      </c>
      <c r="AK48" s="113" t="n">
        <f aca="false">AK8+BA8+AK27</f>
        <v>-656250</v>
      </c>
      <c r="AL48" s="114" t="n">
        <f aca="false">AL8+BB8+AL27</f>
        <v>4.01837230970225E-011</v>
      </c>
      <c r="AM48" s="114" t="n">
        <f aca="false">AM8+BC8+AM27</f>
        <v>1750000000</v>
      </c>
      <c r="AN48" s="114" t="n">
        <f aca="false">AN8+BD8+AN27</f>
        <v>656250</v>
      </c>
      <c r="AO48" s="114" t="n">
        <f aca="false">AO8+BE8+AO27</f>
        <v>-4.01837230970225E-011</v>
      </c>
      <c r="AP48" s="115" t="n">
        <f aca="false">AP8+BF8+AP27</f>
        <v>0</v>
      </c>
      <c r="AQ48" s="116" t="n">
        <f aca="false">AQ8+BG8+AQ27</f>
        <v>0</v>
      </c>
      <c r="AR48" s="116" t="n">
        <f aca="false">AR8+BH8+AR27</f>
        <v>0</v>
      </c>
      <c r="AS48" s="116" t="n">
        <f aca="false">AS8+BI8+AS27</f>
        <v>0</v>
      </c>
      <c r="AT48" s="116" t="n">
        <f aca="false">AT8+BJ8+AT27</f>
        <v>0</v>
      </c>
      <c r="AU48" s="116" t="n">
        <f aca="false">AU8+BK8+AU27</f>
        <v>0</v>
      </c>
      <c r="AV48" s="116" t="n">
        <f aca="false">AV8+BL8+AV27</f>
        <v>0</v>
      </c>
      <c r="AW48" s="117" t="n">
        <f aca="false">AW8+BM8+AW27</f>
        <v>875000000</v>
      </c>
      <c r="AX48" s="118" t="n">
        <f aca="false">AX8+BN8+AX27</f>
        <v>0</v>
      </c>
      <c r="AY48" s="1"/>
      <c r="AZ48" s="7" t="n">
        <v>0</v>
      </c>
      <c r="BA48" s="1"/>
      <c r="BB48" s="13" t="n">
        <f aca="false">AY8+BO8+AY27</f>
        <v>-13333333.3333333</v>
      </c>
      <c r="BC48" s="1" t="s">
        <v>91</v>
      </c>
      <c r="BD48" s="63" t="n">
        <v>0</v>
      </c>
      <c r="BE48" s="37"/>
      <c r="BF48" s="37" t="n">
        <v>35002636.5642638</v>
      </c>
      <c r="BG48" s="41"/>
      <c r="BH48" s="37"/>
      <c r="BI48" s="41"/>
      <c r="BJ48" s="41"/>
      <c r="BK48" s="41"/>
      <c r="BL48" s="41"/>
      <c r="BM48" s="41"/>
      <c r="BN48" s="41"/>
    </row>
    <row r="49" customFormat="false" ht="12" hidden="false" customHeight="false" outlineLevel="0" collapsed="false">
      <c r="A49" s="7"/>
      <c r="B49" s="30" t="n">
        <v>0</v>
      </c>
      <c r="C49" s="30" t="n">
        <v>0</v>
      </c>
      <c r="D49" s="30" t="n">
        <v>0</v>
      </c>
      <c r="E49" s="30" t="n">
        <f aca="false">-$E$5</f>
        <v>-1</v>
      </c>
      <c r="F49" s="30" t="n">
        <f aca="false">$C$5</f>
        <v>6.12323399573677E-017</v>
      </c>
      <c r="G49" s="30" t="n">
        <v>0</v>
      </c>
      <c r="H49" s="7"/>
      <c r="I49" s="7"/>
      <c r="J49" s="7"/>
      <c r="K49" s="7"/>
      <c r="L49" s="30" t="n">
        <v>0</v>
      </c>
      <c r="M49" s="30" t="n">
        <v>0</v>
      </c>
      <c r="N49" s="30" t="n">
        <v>0</v>
      </c>
      <c r="O49" s="30" t="n">
        <f aca="false">$M$5</f>
        <v>1</v>
      </c>
      <c r="P49" s="30" t="n">
        <f aca="false">$O$5</f>
        <v>0</v>
      </c>
      <c r="Q49" s="30" t="n">
        <v>0</v>
      </c>
      <c r="R49" s="7"/>
      <c r="S49" s="7"/>
      <c r="T49" s="7"/>
      <c r="U49" s="7"/>
      <c r="V49" s="30" t="n">
        <v>0</v>
      </c>
      <c r="W49" s="30" t="n">
        <v>0</v>
      </c>
      <c r="X49" s="30" t="n">
        <v>0</v>
      </c>
      <c r="Y49" s="30" t="n">
        <f aca="false">$C$5</f>
        <v>6.12323399573677E-017</v>
      </c>
      <c r="Z49" s="30" t="n">
        <f aca="false">$E$5</f>
        <v>1</v>
      </c>
      <c r="AA49" s="30" t="n">
        <v>0</v>
      </c>
      <c r="AB49" s="7"/>
      <c r="AC49" s="7"/>
      <c r="AD49" s="7"/>
      <c r="AE49" s="106"/>
      <c r="AH49" s="100"/>
      <c r="AI49" s="100"/>
      <c r="AJ49" s="11" t="n">
        <v>4</v>
      </c>
      <c r="AK49" s="113" t="n">
        <f aca="false">AK9+BA9+AK28</f>
        <v>-328.125</v>
      </c>
      <c r="AL49" s="114" t="n">
        <f aca="false">AL9+BB9+AL28</f>
        <v>-3.21268866160695E-011</v>
      </c>
      <c r="AM49" s="114" t="n">
        <f aca="false">AM9+BC9+AM28</f>
        <v>656250</v>
      </c>
      <c r="AN49" s="119" t="n">
        <f aca="false">AN9+BD9+AN28</f>
        <v>700328.125</v>
      </c>
      <c r="AO49" s="119" t="n">
        <f aca="false">AO9+BE9+AO28</f>
        <v>3.21268866160695E-011</v>
      </c>
      <c r="AP49" s="120" t="n">
        <f aca="false">AP9+BF9+AP28</f>
        <v>0</v>
      </c>
      <c r="AQ49" s="115" t="n">
        <f aca="false">AQ9+BG9+AQ28</f>
        <v>0</v>
      </c>
      <c r="AR49" s="116" t="n">
        <f aca="false">AR9+BH9+AR28</f>
        <v>0</v>
      </c>
      <c r="AS49" s="116" t="n">
        <f aca="false">AS9+BI9+AS28</f>
        <v>0</v>
      </c>
      <c r="AT49" s="121" t="n">
        <f aca="false">AT9+BJ9+AT28</f>
        <v>-700000</v>
      </c>
      <c r="AU49" s="120" t="n">
        <f aca="false">AU9+BK9+AU28</f>
        <v>0</v>
      </c>
      <c r="AV49" s="120" t="n">
        <f aca="false">AV9+BL9+AV28</f>
        <v>0</v>
      </c>
      <c r="AW49" s="117" t="n">
        <f aca="false">AW9+BM9+AW28</f>
        <v>656250</v>
      </c>
      <c r="AX49" s="118" t="n">
        <f aca="false">AX9+BN9+AX28</f>
        <v>0</v>
      </c>
      <c r="AY49" s="1"/>
      <c r="AZ49" s="7" t="s">
        <v>45</v>
      </c>
      <c r="BA49" s="1"/>
      <c r="BB49" s="13" t="n">
        <f aca="false">AY9+BO9+AY28</f>
        <v>20000</v>
      </c>
      <c r="BC49" s="1"/>
      <c r="BD49" s="36" t="n">
        <f aca="false" t="array" ref="BD49:BD51">AV77:AV79</f>
        <v>45.7223209577564</v>
      </c>
      <c r="BE49" s="37"/>
      <c r="BF49" s="37" t="n">
        <v>-1.05173967313021E-008</v>
      </c>
      <c r="BG49" s="41"/>
      <c r="BH49" s="37"/>
      <c r="BI49" s="41"/>
      <c r="BJ49" s="41"/>
      <c r="BK49" s="41"/>
      <c r="BL49" s="41"/>
      <c r="CW49" s="100"/>
    </row>
    <row r="50" customFormat="false" ht="12" hidden="false" customHeight="false" outlineLevel="0" collapsed="false">
      <c r="A50" s="7"/>
      <c r="B50" s="30" t="n">
        <v>0</v>
      </c>
      <c r="C50" s="30" t="n">
        <v>0</v>
      </c>
      <c r="D50" s="30" t="n">
        <v>0</v>
      </c>
      <c r="E50" s="30" t="n">
        <v>0</v>
      </c>
      <c r="F50" s="30" t="n">
        <v>0</v>
      </c>
      <c r="G50" s="30" t="n">
        <f aca="false">D47</f>
        <v>1</v>
      </c>
      <c r="H50" s="7"/>
      <c r="I50" s="7"/>
      <c r="J50" s="7"/>
      <c r="K50" s="7"/>
      <c r="L50" s="30" t="n">
        <v>0</v>
      </c>
      <c r="M50" s="30" t="n">
        <v>0</v>
      </c>
      <c r="N50" s="30" t="n">
        <v>0</v>
      </c>
      <c r="O50" s="30" t="n">
        <f aca="false">-$O$5</f>
        <v>-0</v>
      </c>
      <c r="P50" s="30" t="n">
        <f aca="false">$M$5</f>
        <v>1</v>
      </c>
      <c r="Q50" s="30" t="n">
        <v>0</v>
      </c>
      <c r="R50" s="7"/>
      <c r="S50" s="7"/>
      <c r="T50" s="7"/>
      <c r="U50" s="7"/>
      <c r="V50" s="30" t="n">
        <v>0</v>
      </c>
      <c r="W50" s="30" t="n">
        <v>0</v>
      </c>
      <c r="X50" s="30" t="n">
        <v>0</v>
      </c>
      <c r="Y50" s="30" t="n">
        <f aca="false">-$E$5</f>
        <v>-1</v>
      </c>
      <c r="Z50" s="30" t="n">
        <f aca="false">$C$5</f>
        <v>6.12323399573677E-017</v>
      </c>
      <c r="AA50" s="30" t="n">
        <v>0</v>
      </c>
      <c r="AB50" s="7"/>
      <c r="AC50" s="7"/>
      <c r="AD50" s="7"/>
      <c r="AE50" s="105"/>
      <c r="AH50" s="100"/>
      <c r="AI50" s="100"/>
      <c r="AJ50" s="11" t="n">
        <v>5</v>
      </c>
      <c r="AK50" s="113" t="n">
        <f aca="false">AK10+BA10+AK29</f>
        <v>-3.21268866160695E-011</v>
      </c>
      <c r="AL50" s="114" t="n">
        <f aca="false">AL10+BB10+AL29</f>
        <v>-525000</v>
      </c>
      <c r="AM50" s="114" t="n">
        <f aca="false">AM10+BC10+AM29</f>
        <v>-4.01837230970225E-011</v>
      </c>
      <c r="AN50" s="119" t="n">
        <f aca="false">AN10+BD10+AN29</f>
        <v>3.21268866160695E-011</v>
      </c>
      <c r="AO50" s="119" t="n">
        <f aca="false">AO10+BE10+AO29</f>
        <v>525777.777777778</v>
      </c>
      <c r="AP50" s="120" t="n">
        <f aca="false">AP10+BF10+AP29</f>
        <v>2333333.33333333</v>
      </c>
      <c r="AQ50" s="115" t="n">
        <f aca="false">AQ10+BG10+AQ29</f>
        <v>0</v>
      </c>
      <c r="AR50" s="116" t="n">
        <f aca="false">AR10+BH10+AR29</f>
        <v>0</v>
      </c>
      <c r="AS50" s="116" t="n">
        <f aca="false">AS10+BI10+AS29</f>
        <v>0</v>
      </c>
      <c r="AT50" s="121" t="n">
        <f aca="false">AT10+BJ10+AT29</f>
        <v>0</v>
      </c>
      <c r="AU50" s="120" t="n">
        <f aca="false">AU10+BK10+AU29</f>
        <v>-777.777777777778</v>
      </c>
      <c r="AV50" s="120" t="n">
        <f aca="false">AV10+BL10+AV29</f>
        <v>2333333.33333333</v>
      </c>
      <c r="AW50" s="117" t="n">
        <f aca="false">AW10+BM10+AW29</f>
        <v>-4.01837230970225E-011</v>
      </c>
      <c r="AX50" s="118" t="n">
        <f aca="false">AX10+BN10+AX29</f>
        <v>0</v>
      </c>
      <c r="AY50" s="1"/>
      <c r="AZ50" s="7" t="s">
        <v>46</v>
      </c>
      <c r="BA50" s="1"/>
      <c r="BB50" s="13" t="n">
        <f aca="false">AY10+BO10+AY29</f>
        <v>-30000</v>
      </c>
      <c r="BC50" s="1"/>
      <c r="BD50" s="36" t="n">
        <v>-0.0571428571428592</v>
      </c>
      <c r="BF50" s="34" t="n">
        <v>3.74711817130446E-010</v>
      </c>
      <c r="BG50" s="41"/>
      <c r="BH50" s="37"/>
      <c r="BI50" s="41"/>
      <c r="BJ50" s="41"/>
      <c r="BK50" s="41"/>
      <c r="BL50" s="41"/>
      <c r="CW50" s="100"/>
    </row>
    <row r="51" customFormat="false" ht="12" hidden="false" customHeight="false" outlineLevel="0" collapsed="false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30" t="n">
        <v>0</v>
      </c>
      <c r="M51" s="30" t="n">
        <v>0</v>
      </c>
      <c r="N51" s="30" t="n">
        <v>0</v>
      </c>
      <c r="O51" s="30" t="n">
        <v>0</v>
      </c>
      <c r="P51" s="30" t="n">
        <v>0</v>
      </c>
      <c r="Q51" s="30" t="n">
        <f aca="false">N48</f>
        <v>1</v>
      </c>
      <c r="R51" s="7"/>
      <c r="S51" s="7"/>
      <c r="T51" s="7"/>
      <c r="U51" s="7"/>
      <c r="V51" s="30" t="n">
        <v>0</v>
      </c>
      <c r="W51" s="30" t="n">
        <v>0</v>
      </c>
      <c r="X51" s="30" t="n">
        <v>0</v>
      </c>
      <c r="Y51" s="30" t="n">
        <v>0</v>
      </c>
      <c r="Z51" s="30" t="n">
        <v>0</v>
      </c>
      <c r="AA51" s="30" t="n">
        <f aca="false">X48</f>
        <v>1</v>
      </c>
      <c r="AB51" s="7"/>
      <c r="AC51" s="7"/>
      <c r="AD51" s="7"/>
      <c r="AH51" s="105"/>
      <c r="AI51" s="105"/>
      <c r="AJ51" s="11" t="n">
        <v>6</v>
      </c>
      <c r="AK51" s="122" t="n">
        <f aca="false">AK11+BA11+AK30</f>
        <v>0</v>
      </c>
      <c r="AL51" s="115" t="n">
        <f aca="false">AL11+BB11+AL30</f>
        <v>0</v>
      </c>
      <c r="AM51" s="115" t="n">
        <f aca="false">AM11+BC11+AM30</f>
        <v>0</v>
      </c>
      <c r="AN51" s="120" t="n">
        <f aca="false">AN11+BD11+AN30</f>
        <v>0</v>
      </c>
      <c r="AO51" s="120" t="n">
        <f aca="false">AO11+BE11+AO30</f>
        <v>2333333.33333333</v>
      </c>
      <c r="AP51" s="120" t="n">
        <f aca="false">AP11+BF11+AP30</f>
        <v>9333333333.33333</v>
      </c>
      <c r="AQ51" s="116" t="n">
        <f aca="false">AQ11+BG11+AQ30</f>
        <v>0</v>
      </c>
      <c r="AR51" s="116" t="n">
        <f aca="false">AR11+BH11+AR30</f>
        <v>0</v>
      </c>
      <c r="AS51" s="116" t="n">
        <f aca="false">AS11+BI11+AS30</f>
        <v>0</v>
      </c>
      <c r="AT51" s="121" t="n">
        <f aca="false">AT11+BJ11+AT30</f>
        <v>0</v>
      </c>
      <c r="AU51" s="121" t="n">
        <f aca="false">AU11+BK11+AU30</f>
        <v>-2333333.33333333</v>
      </c>
      <c r="AV51" s="121" t="n">
        <f aca="false">AV11+BL11+AV30</f>
        <v>4666666666.66667</v>
      </c>
      <c r="AW51" s="116" t="n">
        <f aca="false">AW11+BM11+AW30</f>
        <v>0</v>
      </c>
      <c r="AX51" s="118" t="n">
        <f aca="false">AX11+BN11+AX30</f>
        <v>0</v>
      </c>
      <c r="AY51" s="1"/>
      <c r="AZ51" s="7" t="s">
        <v>47</v>
      </c>
      <c r="BA51" s="1"/>
      <c r="BB51" s="13" t="n">
        <f aca="false">AY11+BO11+AY30</f>
        <v>-30000000</v>
      </c>
      <c r="BC51" s="1"/>
      <c r="BD51" s="40" t="n">
        <v>-0.00642857142857143</v>
      </c>
      <c r="BE51" s="37"/>
      <c r="BF51" s="37" t="n">
        <v>0</v>
      </c>
      <c r="BG51" s="41"/>
      <c r="BH51" s="37"/>
      <c r="BI51" s="41"/>
      <c r="BJ51" s="41"/>
      <c r="BK51" s="41"/>
      <c r="BL51" s="41"/>
      <c r="BO51" s="123"/>
      <c r="BP51" s="123"/>
    </row>
    <row r="52" customFormat="false" ht="12" hidden="false" customHeight="false" outlineLevel="0" collapsed="false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H52" s="106"/>
      <c r="AI52" s="106"/>
      <c r="AJ52" s="11" t="n">
        <v>7</v>
      </c>
      <c r="AK52" s="124" t="n">
        <f aca="false">AK12+BA12+AK31</f>
        <v>0</v>
      </c>
      <c r="AL52" s="116" t="n">
        <f aca="false">AL12+BB12+AL31</f>
        <v>0</v>
      </c>
      <c r="AM52" s="116" t="n">
        <f aca="false">AM12+BC12+AM31</f>
        <v>0</v>
      </c>
      <c r="AN52" s="115" t="n">
        <f aca="false">AN12+BD12+AN31</f>
        <v>0</v>
      </c>
      <c r="AO52" s="115" t="n">
        <f aca="false">AO12+BE12+AO31</f>
        <v>0</v>
      </c>
      <c r="AP52" s="116" t="n">
        <f aca="false">AP12+BF12+AP31</f>
        <v>0</v>
      </c>
      <c r="AQ52" s="125" t="n">
        <f aca="false">AQ12+BG12+AQ31</f>
        <v>328.125</v>
      </c>
      <c r="AR52" s="126" t="n">
        <f aca="false">AR12+BH12+AR31</f>
        <v>3.21268866160695E-011</v>
      </c>
      <c r="AS52" s="126" t="n">
        <f aca="false">AS12+BI12+AS31</f>
        <v>-656250</v>
      </c>
      <c r="AT52" s="126" t="n">
        <f aca="false">AT12+BJ12+AT31</f>
        <v>-328.125</v>
      </c>
      <c r="AU52" s="125" t="n">
        <f aca="false">AU12+BK12+AU31</f>
        <v>-3.21268866160695E-011</v>
      </c>
      <c r="AV52" s="115" t="n">
        <f aca="false">AV12+BL12+AV31</f>
        <v>0</v>
      </c>
      <c r="AW52" s="116" t="n">
        <f aca="false">AW12+BM12+AW31</f>
        <v>0</v>
      </c>
      <c r="AX52" s="127" t="n">
        <f aca="false">AX12+BN12+AX31</f>
        <v>-656250</v>
      </c>
      <c r="AY52" s="1"/>
      <c r="AZ52" s="7" t="n">
        <v>0</v>
      </c>
      <c r="BA52" s="1"/>
      <c r="BB52" s="13" t="n">
        <f aca="false">AY12+BO12+AY31</f>
        <v>-10000</v>
      </c>
      <c r="BC52" s="1" t="s">
        <v>48</v>
      </c>
      <c r="BD52" s="63" t="n">
        <f aca="false" t="array" ref="BD52:BD54">AZ52:AZ54</f>
        <v>0</v>
      </c>
      <c r="BE52" s="37"/>
      <c r="BF52" s="37" t="n">
        <v>8750.65914106595</v>
      </c>
      <c r="BG52" s="41"/>
      <c r="BH52" s="37"/>
      <c r="BI52" s="41"/>
      <c r="BJ52" s="41"/>
      <c r="BK52" s="41"/>
      <c r="BL52" s="41"/>
      <c r="BO52" s="123"/>
      <c r="BP52" s="123"/>
    </row>
    <row r="53" customFormat="false" ht="12" hidden="false" customHeight="false" outlineLevel="0" collapsed="false">
      <c r="A53" s="7"/>
      <c r="B53" s="87" t="s">
        <v>52</v>
      </c>
      <c r="C53" s="7"/>
      <c r="D53" s="7"/>
      <c r="E53" s="7"/>
      <c r="F53" s="7"/>
      <c r="G53" s="7"/>
      <c r="H53" s="7"/>
      <c r="I53" s="21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H53" s="105"/>
      <c r="AI53" s="105"/>
      <c r="AJ53" s="11" t="n">
        <v>8</v>
      </c>
      <c r="AK53" s="124" t="n">
        <f aca="false">AK13+BA13+AK32</f>
        <v>0</v>
      </c>
      <c r="AL53" s="116" t="n">
        <f aca="false">AL13+BB13+AL32</f>
        <v>0</v>
      </c>
      <c r="AM53" s="116" t="n">
        <f aca="false">AM13+BC13+AM32</f>
        <v>0</v>
      </c>
      <c r="AN53" s="116" t="n">
        <f aca="false">AN13+BD13+AN32</f>
        <v>0</v>
      </c>
      <c r="AO53" s="116" t="n">
        <f aca="false">AO13+BE13+AO32</f>
        <v>0</v>
      </c>
      <c r="AP53" s="116" t="n">
        <f aca="false">AP13+BF13+AP32</f>
        <v>0</v>
      </c>
      <c r="AQ53" s="126" t="n">
        <f aca="false">AQ13+BG13+AQ32</f>
        <v>3.21268866160695E-011</v>
      </c>
      <c r="AR53" s="125" t="n">
        <f aca="false">AR13+BH13+AR32</f>
        <v>525000</v>
      </c>
      <c r="AS53" s="125" t="n">
        <f aca="false">AS13+BI13+AS32</f>
        <v>4.01837230970225E-011</v>
      </c>
      <c r="AT53" s="125" t="n">
        <f aca="false">AT13+BJ13+AT32</f>
        <v>-3.21268866160695E-011</v>
      </c>
      <c r="AU53" s="125" t="n">
        <f aca="false">AU13+BK13+AU32</f>
        <v>-525000</v>
      </c>
      <c r="AV53" s="115" t="n">
        <f aca="false">AV13+BL13+AV32</f>
        <v>0</v>
      </c>
      <c r="AW53" s="116" t="n">
        <f aca="false">AW13+BM13+AW32</f>
        <v>0</v>
      </c>
      <c r="AX53" s="127" t="n">
        <f aca="false">AX13+BN13+AX32</f>
        <v>4.01837230970225E-011</v>
      </c>
      <c r="AY53" s="1"/>
      <c r="AZ53" s="7" t="n">
        <v>0</v>
      </c>
      <c r="BA53" s="1"/>
      <c r="BB53" s="13" t="n">
        <f aca="false">AY13+BO13+AY32</f>
        <v>6.12323399573677E-013</v>
      </c>
      <c r="BC53" s="1" t="s">
        <v>49</v>
      </c>
      <c r="BD53" s="63" t="n">
        <v>0</v>
      </c>
      <c r="BE53" s="41"/>
      <c r="BF53" s="41" t="n">
        <v>30000</v>
      </c>
      <c r="BG53" s="41"/>
      <c r="BH53" s="41"/>
      <c r="BI53" s="41"/>
      <c r="BJ53" s="41"/>
      <c r="BK53" s="41"/>
      <c r="BL53" s="41"/>
      <c r="BM53" s="41"/>
      <c r="BN53" s="41"/>
      <c r="BO53" s="123"/>
      <c r="BP53" s="123"/>
    </row>
    <row r="54" customFormat="false" ht="12" hidden="false" customHeight="false" outlineLevel="0" collapsed="false">
      <c r="A54" s="7"/>
      <c r="B54" s="30" t="n">
        <f aca="false">$C$5</f>
        <v>6.12323399573677E-017</v>
      </c>
      <c r="C54" s="30" t="n">
        <f aca="false">-$E$5</f>
        <v>-1</v>
      </c>
      <c r="D54" s="30" t="n">
        <v>0</v>
      </c>
      <c r="E54" s="30" t="n">
        <v>0</v>
      </c>
      <c r="F54" s="30" t="n">
        <v>0</v>
      </c>
      <c r="G54" s="30" t="n">
        <v>0</v>
      </c>
      <c r="H54" s="7"/>
      <c r="I54" s="7"/>
      <c r="J54" s="7"/>
      <c r="K54" s="7"/>
      <c r="L54" s="87" t="s">
        <v>52</v>
      </c>
      <c r="M54" s="7"/>
      <c r="N54" s="7"/>
      <c r="O54" s="7"/>
      <c r="P54" s="7"/>
      <c r="Q54" s="7"/>
      <c r="R54" s="7"/>
      <c r="S54" s="7"/>
      <c r="T54" s="7"/>
      <c r="U54" s="7"/>
      <c r="V54" s="87" t="s">
        <v>52</v>
      </c>
      <c r="W54" s="7"/>
      <c r="X54" s="7"/>
      <c r="Y54" s="7"/>
      <c r="Z54" s="7"/>
      <c r="AA54" s="7"/>
      <c r="AB54" s="7"/>
      <c r="AC54" s="7"/>
      <c r="AH54" s="105"/>
      <c r="AI54" s="105"/>
      <c r="AJ54" s="11" t="n">
        <v>9</v>
      </c>
      <c r="AK54" s="124" t="n">
        <f aca="false">AK14+BA14+AK33</f>
        <v>0</v>
      </c>
      <c r="AL54" s="116" t="n">
        <f aca="false">AL14+BB14+AL33</f>
        <v>0</v>
      </c>
      <c r="AM54" s="116" t="n">
        <f aca="false">AM14+BC14+AM33</f>
        <v>0</v>
      </c>
      <c r="AN54" s="116" t="n">
        <f aca="false">AN14+BD14+AN33</f>
        <v>0</v>
      </c>
      <c r="AO54" s="116" t="n">
        <f aca="false">AO14+BE14+AO33</f>
        <v>0</v>
      </c>
      <c r="AP54" s="116" t="n">
        <f aca="false">AP14+BF14+AP33</f>
        <v>0</v>
      </c>
      <c r="AQ54" s="126" t="n">
        <f aca="false">AQ14+BG14+AQ33</f>
        <v>-656250</v>
      </c>
      <c r="AR54" s="125" t="n">
        <f aca="false">AR14+BH14+AR33</f>
        <v>4.01837230970225E-011</v>
      </c>
      <c r="AS54" s="125" t="n">
        <f aca="false">AS14+BI14+AS33</f>
        <v>1750000000</v>
      </c>
      <c r="AT54" s="125" t="n">
        <f aca="false">AT14+BJ14+AT33</f>
        <v>656250</v>
      </c>
      <c r="AU54" s="125" t="n">
        <f aca="false">AU14+BK14+AU33</f>
        <v>-4.01837230970225E-011</v>
      </c>
      <c r="AV54" s="115" t="n">
        <f aca="false">AV14+BL14+AV33</f>
        <v>0</v>
      </c>
      <c r="AW54" s="116" t="n">
        <f aca="false">AW14+BM14+AW33</f>
        <v>0</v>
      </c>
      <c r="AX54" s="127" t="n">
        <f aca="false">AX14+BN14+AX33</f>
        <v>875000000</v>
      </c>
      <c r="AY54" s="1"/>
      <c r="AZ54" s="7" t="n">
        <v>0</v>
      </c>
      <c r="BA54" s="1"/>
      <c r="BB54" s="13" t="n">
        <f aca="false">AY14+BO14+AY33</f>
        <v>6666666.66666667</v>
      </c>
      <c r="BC54" s="1" t="s">
        <v>92</v>
      </c>
      <c r="BD54" s="63" t="n">
        <v>0</v>
      </c>
      <c r="BE54" s="37"/>
      <c r="BF54" s="37" t="n">
        <v>4997363.43573621</v>
      </c>
      <c r="BG54" s="41"/>
      <c r="BH54" s="37"/>
      <c r="BI54" s="41"/>
      <c r="BJ54" s="41"/>
      <c r="BK54" s="41"/>
      <c r="BL54" s="41"/>
      <c r="BM54" s="41"/>
      <c r="BN54" s="41"/>
      <c r="BO54" s="123"/>
      <c r="BP54" s="123"/>
      <c r="BR54" s="128"/>
    </row>
    <row r="55" customFormat="false" ht="12" hidden="false" customHeight="false" outlineLevel="0" collapsed="false">
      <c r="A55" s="7"/>
      <c r="B55" s="30" t="n">
        <f aca="false">$E$5</f>
        <v>1</v>
      </c>
      <c r="C55" s="30" t="n">
        <f aca="false">$C$5</f>
        <v>6.12323399573677E-017</v>
      </c>
      <c r="D55" s="30" t="n">
        <v>0</v>
      </c>
      <c r="E55" s="30" t="n">
        <v>0</v>
      </c>
      <c r="F55" s="30" t="n">
        <v>0</v>
      </c>
      <c r="G55" s="30" t="n">
        <v>0</v>
      </c>
      <c r="H55" s="7"/>
      <c r="I55" s="7"/>
      <c r="J55" s="7"/>
      <c r="K55" s="7"/>
      <c r="L55" s="30" t="n">
        <f aca="false">$M$5</f>
        <v>1</v>
      </c>
      <c r="M55" s="30" t="n">
        <f aca="false">-$O$5</f>
        <v>-0</v>
      </c>
      <c r="N55" s="30" t="n">
        <v>0</v>
      </c>
      <c r="O55" s="30" t="n">
        <v>0</v>
      </c>
      <c r="P55" s="30" t="n">
        <v>0</v>
      </c>
      <c r="Q55" s="30" t="n">
        <v>0</v>
      </c>
      <c r="R55" s="7"/>
      <c r="S55" s="7"/>
      <c r="T55" s="7"/>
      <c r="U55" s="7"/>
      <c r="V55" s="30" t="n">
        <f aca="false">$C$5</f>
        <v>6.12323399573677E-017</v>
      </c>
      <c r="W55" s="30" t="n">
        <f aca="false">-$E$5</f>
        <v>-1</v>
      </c>
      <c r="X55" s="30" t="n">
        <v>0</v>
      </c>
      <c r="Y55" s="30" t="n">
        <v>0</v>
      </c>
      <c r="Z55" s="30" t="n">
        <v>0</v>
      </c>
      <c r="AA55" s="30" t="n">
        <v>0</v>
      </c>
      <c r="AB55" s="7"/>
      <c r="AC55" s="7"/>
      <c r="AH55" s="106"/>
      <c r="AI55" s="106"/>
      <c r="AJ55" s="11" t="n">
        <v>10</v>
      </c>
      <c r="AK55" s="124" t="n">
        <f aca="false">AK15+BA15+AK34</f>
        <v>0</v>
      </c>
      <c r="AL55" s="116" t="n">
        <f aca="false">AL15+BB15+AL34</f>
        <v>0</v>
      </c>
      <c r="AM55" s="116" t="n">
        <f aca="false">AM15+BC15+AM34</f>
        <v>0</v>
      </c>
      <c r="AN55" s="121" t="n">
        <f aca="false">AN15+BD15+AN34</f>
        <v>-700000</v>
      </c>
      <c r="AO55" s="121" t="n">
        <f aca="false">AO15+BE15+AO34</f>
        <v>0</v>
      </c>
      <c r="AP55" s="121" t="n">
        <f aca="false">AP15+BF15+AP34</f>
        <v>0</v>
      </c>
      <c r="AQ55" s="126" t="n">
        <f aca="false">AQ15+BG15+AQ34</f>
        <v>-328.125</v>
      </c>
      <c r="AR55" s="125" t="n">
        <f aca="false">AR15+BH15+AR34</f>
        <v>-3.21268866160695E-011</v>
      </c>
      <c r="AS55" s="125" t="n">
        <f aca="false">AS15+BI15+AS34</f>
        <v>656250</v>
      </c>
      <c r="AT55" s="119" t="n">
        <f aca="false">AT15+BJ15+AT34</f>
        <v>700328.125</v>
      </c>
      <c r="AU55" s="119" t="n">
        <f aca="false">AU15+BK15+AU34</f>
        <v>3.21268866160695E-011</v>
      </c>
      <c r="AV55" s="120" t="n">
        <f aca="false">AV15+BL15+AV34</f>
        <v>0</v>
      </c>
      <c r="AW55" s="116" t="n">
        <f aca="false">AW15+BM15+AW34</f>
        <v>0</v>
      </c>
      <c r="AX55" s="127" t="n">
        <f aca="false">AX15+BN15+AX34</f>
        <v>656250</v>
      </c>
      <c r="AY55" s="1"/>
      <c r="AZ55" s="7" t="s">
        <v>51</v>
      </c>
      <c r="BA55" s="1"/>
      <c r="BB55" s="13" t="n">
        <f aca="false">AY15+BO15+AY34</f>
        <v>-10000</v>
      </c>
      <c r="BC55" s="1"/>
      <c r="BD55" s="36" t="n">
        <f aca="false" t="array" ref="BD55:BD59">AV80:AV84</f>
        <v>45.7062504708151</v>
      </c>
      <c r="BE55" s="41"/>
      <c r="BF55" s="41" t="n">
        <v>6.7830114858225E-009</v>
      </c>
      <c r="BG55" s="41"/>
      <c r="BH55" s="41"/>
      <c r="BI55" s="41"/>
      <c r="BJ55" s="41"/>
      <c r="BK55" s="41"/>
      <c r="BL55" s="41"/>
      <c r="BM55" s="41"/>
      <c r="BN55" s="41"/>
      <c r="BO55" s="123"/>
      <c r="BP55" s="123"/>
      <c r="BR55" s="128"/>
    </row>
    <row r="56" customFormat="false" ht="12" hidden="false" customHeight="false" outlineLevel="0" collapsed="false">
      <c r="A56" s="7"/>
      <c r="B56" s="30" t="n">
        <v>0</v>
      </c>
      <c r="C56" s="30" t="n">
        <v>0</v>
      </c>
      <c r="D56" s="30" t="n">
        <f aca="false">D47</f>
        <v>1</v>
      </c>
      <c r="E56" s="30" t="n">
        <v>0</v>
      </c>
      <c r="F56" s="30" t="n">
        <v>0</v>
      </c>
      <c r="G56" s="30" t="n">
        <v>0</v>
      </c>
      <c r="H56" s="7"/>
      <c r="I56" s="7"/>
      <c r="J56" s="7"/>
      <c r="K56" s="7"/>
      <c r="L56" s="30" t="n">
        <f aca="false">$O$5</f>
        <v>0</v>
      </c>
      <c r="M56" s="30" t="n">
        <f aca="false">$M$5</f>
        <v>1</v>
      </c>
      <c r="N56" s="30" t="n">
        <v>0</v>
      </c>
      <c r="O56" s="30" t="n">
        <v>0</v>
      </c>
      <c r="P56" s="30" t="n">
        <v>0</v>
      </c>
      <c r="Q56" s="30" t="n">
        <v>0</v>
      </c>
      <c r="R56" s="7"/>
      <c r="S56" s="7"/>
      <c r="T56" s="7"/>
      <c r="U56" s="7"/>
      <c r="V56" s="30" t="n">
        <f aca="false">$E$5</f>
        <v>1</v>
      </c>
      <c r="W56" s="30" t="n">
        <f aca="false">$C$5</f>
        <v>6.12323399573677E-017</v>
      </c>
      <c r="X56" s="30" t="n">
        <v>0</v>
      </c>
      <c r="Y56" s="30" t="n">
        <v>0</v>
      </c>
      <c r="Z56" s="30" t="n">
        <v>0</v>
      </c>
      <c r="AA56" s="30" t="n">
        <v>0</v>
      </c>
      <c r="AB56" s="7"/>
      <c r="AC56" s="7"/>
      <c r="AH56" s="105"/>
      <c r="AI56" s="105"/>
      <c r="AJ56" s="11" t="n">
        <v>11</v>
      </c>
      <c r="AK56" s="124" t="n">
        <f aca="false">AK16+BA16+AK35</f>
        <v>0</v>
      </c>
      <c r="AL56" s="116" t="n">
        <f aca="false">AL16+BB16+AL35</f>
        <v>0</v>
      </c>
      <c r="AM56" s="116" t="n">
        <f aca="false">AM16+BC16+AM35</f>
        <v>0</v>
      </c>
      <c r="AN56" s="120" t="n">
        <f aca="false">AN16+BD16+AN35</f>
        <v>0</v>
      </c>
      <c r="AO56" s="120" t="n">
        <f aca="false">AO16+BE16+AO35</f>
        <v>-777.777777777778</v>
      </c>
      <c r="AP56" s="121" t="n">
        <f aca="false">AP16+BF16+AP35</f>
        <v>-2333333.33333333</v>
      </c>
      <c r="AQ56" s="125" t="n">
        <f aca="false">AQ16+BG16+AQ35</f>
        <v>-3.21268866160695E-011</v>
      </c>
      <c r="AR56" s="125" t="n">
        <f aca="false">AR16+BH16+AR35</f>
        <v>-525000</v>
      </c>
      <c r="AS56" s="125" t="n">
        <f aca="false">AS16+BI16+AS35</f>
        <v>-4.01837230970225E-011</v>
      </c>
      <c r="AT56" s="119" t="n">
        <f aca="false">AT16+BJ16+AT35</f>
        <v>3.21268866160695E-011</v>
      </c>
      <c r="AU56" s="119" t="n">
        <f aca="false">AU16+BK16+AU35</f>
        <v>525777.777777778</v>
      </c>
      <c r="AV56" s="120" t="n">
        <f aca="false">AV16+BL16+AV35</f>
        <v>-2333333.33333333</v>
      </c>
      <c r="AW56" s="116" t="n">
        <f aca="false">AW16+BM16+AW35</f>
        <v>0</v>
      </c>
      <c r="AX56" s="127" t="n">
        <f aca="false">AX16+BN16+AX35</f>
        <v>-4.01837230970225E-011</v>
      </c>
      <c r="AY56" s="1"/>
      <c r="AZ56" s="7" t="s">
        <v>53</v>
      </c>
      <c r="BA56" s="1"/>
      <c r="BB56" s="13" t="n">
        <f aca="false">AY16+BO16+AY35</f>
        <v>-30000</v>
      </c>
      <c r="BC56" s="1"/>
      <c r="BD56" s="36" t="n">
        <v>-0.0571428571428599</v>
      </c>
      <c r="BE56" s="41"/>
      <c r="BF56" s="41" t="n">
        <v>0</v>
      </c>
      <c r="BG56" s="41"/>
      <c r="BH56" s="41"/>
      <c r="BI56" s="41"/>
      <c r="BJ56" s="41"/>
      <c r="BK56" s="41"/>
      <c r="BL56" s="41"/>
      <c r="BM56" s="41"/>
      <c r="BN56" s="41"/>
      <c r="BO56" s="123"/>
      <c r="BP56" s="123"/>
      <c r="BR56" s="128"/>
    </row>
    <row r="57" customFormat="false" ht="12" hidden="false" customHeight="false" outlineLevel="0" collapsed="false">
      <c r="A57" s="7"/>
      <c r="B57" s="30" t="n">
        <v>0</v>
      </c>
      <c r="C57" s="30" t="n">
        <v>0</v>
      </c>
      <c r="D57" s="30" t="n">
        <v>0</v>
      </c>
      <c r="E57" s="30" t="n">
        <f aca="false">$C$5</f>
        <v>6.12323399573677E-017</v>
      </c>
      <c r="F57" s="30" t="n">
        <f aca="false">-$E$5</f>
        <v>-1</v>
      </c>
      <c r="G57" s="30" t="n">
        <v>0</v>
      </c>
      <c r="H57" s="7"/>
      <c r="I57" s="7"/>
      <c r="J57" s="7"/>
      <c r="K57" s="7"/>
      <c r="L57" s="30" t="n">
        <v>0</v>
      </c>
      <c r="M57" s="30" t="n">
        <v>0</v>
      </c>
      <c r="N57" s="30" t="n">
        <f aca="false">N48</f>
        <v>1</v>
      </c>
      <c r="O57" s="30" t="n">
        <v>0</v>
      </c>
      <c r="P57" s="30" t="n">
        <v>0</v>
      </c>
      <c r="Q57" s="30" t="n">
        <v>0</v>
      </c>
      <c r="R57" s="7"/>
      <c r="S57" s="7"/>
      <c r="T57" s="7"/>
      <c r="U57" s="7"/>
      <c r="V57" s="30" t="n">
        <v>0</v>
      </c>
      <c r="W57" s="30" t="n">
        <v>0</v>
      </c>
      <c r="X57" s="30" t="n">
        <f aca="false">X48</f>
        <v>1</v>
      </c>
      <c r="Y57" s="30" t="n">
        <v>0</v>
      </c>
      <c r="Z57" s="30" t="n">
        <v>0</v>
      </c>
      <c r="AA57" s="30" t="n">
        <v>0</v>
      </c>
      <c r="AB57" s="7"/>
      <c r="AC57" s="7"/>
      <c r="AJ57" s="11" t="n">
        <v>12</v>
      </c>
      <c r="AK57" s="124" t="n">
        <f aca="false">AK17+BA17+AK36</f>
        <v>0</v>
      </c>
      <c r="AL57" s="116" t="n">
        <f aca="false">AL17+BB17+AL36</f>
        <v>0</v>
      </c>
      <c r="AM57" s="116" t="n">
        <f aca="false">AM17+BC17+AM36</f>
        <v>0</v>
      </c>
      <c r="AN57" s="120" t="n">
        <f aca="false">AN17+BD17+AN36</f>
        <v>0</v>
      </c>
      <c r="AO57" s="120" t="n">
        <f aca="false">AO17+BE17+AO36</f>
        <v>2333333.33333333</v>
      </c>
      <c r="AP57" s="121" t="n">
        <f aca="false">AP17+BF17+AP36</f>
        <v>4666666666.66667</v>
      </c>
      <c r="AQ57" s="115" t="n">
        <f aca="false">AQ17+BG17+AQ36</f>
        <v>0</v>
      </c>
      <c r="AR57" s="115" t="n">
        <f aca="false">AR17+BH17+AR36</f>
        <v>0</v>
      </c>
      <c r="AS57" s="115" t="n">
        <f aca="false">AS17+BI17+AS36</f>
        <v>0</v>
      </c>
      <c r="AT57" s="120" t="n">
        <f aca="false">AT17+BJ17+AT36</f>
        <v>0</v>
      </c>
      <c r="AU57" s="120" t="n">
        <f aca="false">AU17+BK17+AU36</f>
        <v>-2333333.33333333</v>
      </c>
      <c r="AV57" s="120" t="n">
        <f aca="false">AV17+BL17+AV36</f>
        <v>9333333333.33333</v>
      </c>
      <c r="AW57" s="116" t="n">
        <f aca="false">AW17+BM17+AW36</f>
        <v>0</v>
      </c>
      <c r="AX57" s="118" t="n">
        <f aca="false">AX17+BN17+AX36</f>
        <v>0</v>
      </c>
      <c r="AY57" s="1"/>
      <c r="AZ57" s="7" t="s">
        <v>54</v>
      </c>
      <c r="BA57" s="1"/>
      <c r="BB57" s="13" t="n">
        <f aca="false">AY17+BO17+AY36</f>
        <v>30000000</v>
      </c>
      <c r="BC57" s="1"/>
      <c r="BD57" s="40" t="n">
        <v>0.00642857142857143</v>
      </c>
      <c r="BE57" s="41"/>
      <c r="BF57" s="41" t="n">
        <v>0</v>
      </c>
      <c r="BG57" s="41"/>
      <c r="BH57" s="41"/>
      <c r="BI57" s="41"/>
      <c r="BJ57" s="41"/>
      <c r="BK57" s="41"/>
      <c r="BL57" s="41"/>
      <c r="BM57" s="41"/>
      <c r="BN57" s="41"/>
    </row>
    <row r="58" customFormat="false" ht="12" hidden="false" customHeight="false" outlineLevel="0" collapsed="false">
      <c r="A58" s="7"/>
      <c r="B58" s="30" t="n">
        <v>0</v>
      </c>
      <c r="C58" s="30" t="n">
        <v>0</v>
      </c>
      <c r="D58" s="30" t="n">
        <v>0</v>
      </c>
      <c r="E58" s="30" t="n">
        <f aca="false">$E$5</f>
        <v>1</v>
      </c>
      <c r="F58" s="30" t="n">
        <f aca="false">$C$5</f>
        <v>6.12323399573677E-017</v>
      </c>
      <c r="G58" s="30" t="n">
        <v>0</v>
      </c>
      <c r="H58" s="7"/>
      <c r="I58" s="7"/>
      <c r="J58" s="7"/>
      <c r="K58" s="7"/>
      <c r="L58" s="30" t="n">
        <v>0</v>
      </c>
      <c r="M58" s="30" t="n">
        <v>0</v>
      </c>
      <c r="N58" s="30" t="n">
        <v>0</v>
      </c>
      <c r="O58" s="30" t="n">
        <f aca="false">$M$5</f>
        <v>1</v>
      </c>
      <c r="P58" s="30" t="n">
        <f aca="false">-$O$5</f>
        <v>-0</v>
      </c>
      <c r="Q58" s="30" t="n">
        <v>0</v>
      </c>
      <c r="R58" s="7"/>
      <c r="S58" s="7"/>
      <c r="T58" s="7"/>
      <c r="U58" s="7"/>
      <c r="V58" s="30" t="n">
        <v>0</v>
      </c>
      <c r="W58" s="30" t="n">
        <v>0</v>
      </c>
      <c r="X58" s="30" t="n">
        <v>0</v>
      </c>
      <c r="Y58" s="30" t="n">
        <f aca="false">$C$5</f>
        <v>6.12323399573677E-017</v>
      </c>
      <c r="Z58" s="30" t="n">
        <f aca="false">-$E$5</f>
        <v>-1</v>
      </c>
      <c r="AA58" s="30" t="n">
        <v>0</v>
      </c>
      <c r="AB58" s="7"/>
      <c r="AC58" s="7"/>
      <c r="AJ58" s="11" t="n">
        <v>13</v>
      </c>
      <c r="AK58" s="129" t="n">
        <f aca="false">AK18+BA18+AK37</f>
        <v>-656250</v>
      </c>
      <c r="AL58" s="117" t="n">
        <f aca="false">AL18+BB18+AL37</f>
        <v>4.01837230970225E-011</v>
      </c>
      <c r="AM58" s="117" t="n">
        <f aca="false">AM18+BC18+AM37</f>
        <v>875000000</v>
      </c>
      <c r="AN58" s="117" t="n">
        <f aca="false">AN18+BD18+AN37</f>
        <v>656250</v>
      </c>
      <c r="AO58" s="117" t="n">
        <f aca="false">AO18+BE18+AO37</f>
        <v>-4.01837230970225E-011</v>
      </c>
      <c r="AP58" s="116" t="n">
        <f aca="false">AP18+BF18+AP37</f>
        <v>0</v>
      </c>
      <c r="AQ58" s="116" t="n">
        <f aca="false">AQ18+BG18+AQ37</f>
        <v>0</v>
      </c>
      <c r="AR58" s="116" t="n">
        <f aca="false">AR18+BH18+AR37</f>
        <v>0</v>
      </c>
      <c r="AS58" s="116" t="n">
        <f aca="false">AS18+BI18+AS37</f>
        <v>0</v>
      </c>
      <c r="AT58" s="116" t="n">
        <f aca="false">AT18+BJ18+AT37</f>
        <v>0</v>
      </c>
      <c r="AU58" s="116" t="n">
        <f aca="false">AU18+BK18+AU37</f>
        <v>0</v>
      </c>
      <c r="AV58" s="116" t="n">
        <f aca="false">AV18+BL18+AV37</f>
        <v>0</v>
      </c>
      <c r="AW58" s="117" t="n">
        <f aca="false">AW18+BM18+AW37</f>
        <v>1750000000</v>
      </c>
      <c r="AX58" s="118" t="n">
        <f aca="false">AX18+BN18+AX37</f>
        <v>0</v>
      </c>
      <c r="AY58" s="7"/>
      <c r="AZ58" s="7" t="s">
        <v>93</v>
      </c>
      <c r="BA58" s="41"/>
      <c r="BB58" s="13" t="n">
        <f aca="false">AY18+BO18+AY37</f>
        <v>13333333.3333333</v>
      </c>
      <c r="BC58" s="41"/>
      <c r="BD58" s="40" t="n">
        <v>-0.00952682274011103</v>
      </c>
      <c r="BE58" s="41"/>
      <c r="BF58" s="41" t="n">
        <v>0</v>
      </c>
      <c r="BG58" s="41"/>
      <c r="BH58" s="41"/>
      <c r="BI58" s="41"/>
      <c r="BJ58" s="41"/>
      <c r="BK58" s="41"/>
      <c r="BL58" s="41"/>
      <c r="BM58" s="41"/>
      <c r="BN58" s="41"/>
    </row>
    <row r="59" customFormat="false" ht="12" hidden="false" customHeight="false" outlineLevel="0" collapsed="false">
      <c r="A59" s="7"/>
      <c r="B59" s="30" t="n">
        <v>0</v>
      </c>
      <c r="C59" s="30" t="n">
        <v>0</v>
      </c>
      <c r="D59" s="30" t="n">
        <v>0</v>
      </c>
      <c r="E59" s="30" t="n">
        <v>0</v>
      </c>
      <c r="F59" s="30" t="n">
        <v>0</v>
      </c>
      <c r="G59" s="30" t="n">
        <f aca="false">D47</f>
        <v>1</v>
      </c>
      <c r="H59" s="7"/>
      <c r="I59" s="7"/>
      <c r="J59" s="7"/>
      <c r="K59" s="7"/>
      <c r="L59" s="30" t="n">
        <v>0</v>
      </c>
      <c r="M59" s="30" t="n">
        <v>0</v>
      </c>
      <c r="N59" s="30" t="n">
        <v>0</v>
      </c>
      <c r="O59" s="30" t="n">
        <f aca="false">$O$5</f>
        <v>0</v>
      </c>
      <c r="P59" s="30" t="n">
        <f aca="false">$M$5</f>
        <v>1</v>
      </c>
      <c r="Q59" s="30" t="n">
        <v>0</v>
      </c>
      <c r="R59" s="7"/>
      <c r="S59" s="7"/>
      <c r="T59" s="7"/>
      <c r="U59" s="7"/>
      <c r="V59" s="30" t="n">
        <v>0</v>
      </c>
      <c r="W59" s="30" t="n">
        <v>0</v>
      </c>
      <c r="X59" s="30" t="n">
        <v>0</v>
      </c>
      <c r="Y59" s="30" t="n">
        <f aca="false">$E$5</f>
        <v>1</v>
      </c>
      <c r="Z59" s="30" t="n">
        <f aca="false">$C$5</f>
        <v>6.12323399573677E-017</v>
      </c>
      <c r="AA59" s="30" t="n">
        <v>0</v>
      </c>
      <c r="AB59" s="7"/>
      <c r="AC59" s="7"/>
      <c r="AJ59" s="11" t="n">
        <v>14</v>
      </c>
      <c r="AK59" s="124" t="n">
        <f aca="false">AK19+BA19+AK38</f>
        <v>0</v>
      </c>
      <c r="AL59" s="116" t="n">
        <f aca="false">AL19+BB19+AL38</f>
        <v>0</v>
      </c>
      <c r="AM59" s="116" t="n">
        <f aca="false">AM19+BC19+AM38</f>
        <v>0</v>
      </c>
      <c r="AN59" s="116" t="n">
        <f aca="false">AN19+BD19+AN38</f>
        <v>0</v>
      </c>
      <c r="AO59" s="116" t="n">
        <f aca="false">AO19+BE19+AO38</f>
        <v>0</v>
      </c>
      <c r="AP59" s="116" t="n">
        <f aca="false">AP19+BF19+AP38</f>
        <v>0</v>
      </c>
      <c r="AQ59" s="126" t="n">
        <f aca="false">AQ19+BG19+AQ38</f>
        <v>-656250</v>
      </c>
      <c r="AR59" s="126" t="n">
        <f aca="false">AR19+BH19+AR38</f>
        <v>4.01837230970225E-011</v>
      </c>
      <c r="AS59" s="126" t="n">
        <f aca="false">AS19+BI19+AS38</f>
        <v>875000000</v>
      </c>
      <c r="AT59" s="126" t="n">
        <f aca="false">AT19+BJ19+AT38</f>
        <v>656250</v>
      </c>
      <c r="AU59" s="126" t="n">
        <f aca="false">AU19+BK19+AU38</f>
        <v>-4.01837230970225E-011</v>
      </c>
      <c r="AV59" s="116" t="n">
        <f aca="false">AV19+BL19+AV38</f>
        <v>0</v>
      </c>
      <c r="AW59" s="116" t="n">
        <f aca="false">AW19+BM19+AW38</f>
        <v>0</v>
      </c>
      <c r="AX59" s="127" t="n">
        <f aca="false">AX19+BN19+AX38</f>
        <v>1750000000</v>
      </c>
      <c r="AY59" s="7"/>
      <c r="AZ59" s="7" t="s">
        <v>94</v>
      </c>
      <c r="BA59" s="41"/>
      <c r="BB59" s="13" t="n">
        <f aca="false">AY19+BO19+AY38</f>
        <v>-6666666.66666667</v>
      </c>
      <c r="BD59" s="40" t="n">
        <v>-0.0209493677360795</v>
      </c>
      <c r="BF59" s="34" t="n">
        <v>0</v>
      </c>
      <c r="BG59" s="41"/>
      <c r="BH59" s="41"/>
      <c r="BI59" s="41"/>
      <c r="BJ59" s="41"/>
      <c r="BK59" s="41"/>
      <c r="BL59" s="41"/>
      <c r="BT59" s="123"/>
      <c r="BY59" s="130"/>
      <c r="CA59" s="131"/>
    </row>
    <row r="60" customFormat="false" ht="12" hidden="false" customHeight="false" outlineLevel="0" collapsed="false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30" t="n">
        <v>0</v>
      </c>
      <c r="M60" s="30" t="n">
        <v>0</v>
      </c>
      <c r="N60" s="30" t="n">
        <v>0</v>
      </c>
      <c r="O60" s="30" t="n">
        <v>0</v>
      </c>
      <c r="P60" s="30" t="n">
        <v>0</v>
      </c>
      <c r="Q60" s="30" t="n">
        <f aca="false">N48</f>
        <v>1</v>
      </c>
      <c r="R60" s="7"/>
      <c r="S60" s="7"/>
      <c r="T60" s="7"/>
      <c r="U60" s="7"/>
      <c r="V60" s="30" t="n">
        <v>0</v>
      </c>
      <c r="W60" s="30" t="n">
        <v>0</v>
      </c>
      <c r="X60" s="30" t="n">
        <v>0</v>
      </c>
      <c r="Y60" s="30" t="n">
        <v>0</v>
      </c>
      <c r="Z60" s="30" t="n">
        <v>0</v>
      </c>
      <c r="AA60" s="30" t="n">
        <f aca="false">X48</f>
        <v>1</v>
      </c>
      <c r="AB60" s="7"/>
      <c r="AC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41"/>
      <c r="BB60" s="41"/>
      <c r="BG60" s="41"/>
      <c r="BH60" s="41"/>
      <c r="BI60" s="41"/>
      <c r="BJ60" s="41"/>
      <c r="BK60" s="41"/>
      <c r="BL60" s="41"/>
      <c r="BT60" s="123"/>
      <c r="BY60" s="130"/>
      <c r="CA60" s="131"/>
    </row>
    <row r="61" customFormat="false" ht="12" hidden="false" customHeight="false" outlineLevel="0" collapsed="false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  <c r="AY61" s="7"/>
      <c r="AZ61" s="132"/>
      <c r="BB61" s="132"/>
      <c r="BE61" s="132"/>
      <c r="BK61" s="95"/>
      <c r="BT61" s="123"/>
      <c r="BY61" s="130"/>
      <c r="CA61" s="131"/>
    </row>
    <row r="62" customFormat="false" ht="12" hidden="false" customHeight="false" outlineLevel="0" collapsed="false">
      <c r="AJ62" s="7"/>
      <c r="AZ62" s="132"/>
      <c r="BB62" s="132"/>
      <c r="BE62" s="132"/>
      <c r="BK62" s="95"/>
      <c r="BT62" s="123"/>
      <c r="BY62" s="130"/>
      <c r="CA62" s="131"/>
    </row>
    <row r="63" customFormat="false" ht="12" hidden="false" customHeight="false" outlineLevel="0" collapsed="false">
      <c r="AZ63" s="132"/>
      <c r="BB63" s="132" t="s">
        <v>95</v>
      </c>
      <c r="BC63" s="34" t="s">
        <v>96</v>
      </c>
      <c r="BE63" s="132"/>
      <c r="BK63" s="95"/>
      <c r="BT63" s="123"/>
      <c r="BY63" s="130"/>
      <c r="CA63" s="131"/>
    </row>
    <row r="64" customFormat="false" ht="12" hidden="false" customHeight="false" outlineLevel="0" collapsed="false">
      <c r="AJ64" s="2" t="s">
        <v>55</v>
      </c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BB64" s="132" t="n">
        <f aca="false" t="array" ref="BB64:BB68">BF46:BF50</f>
        <v>-28750.659141066</v>
      </c>
      <c r="BC64" s="34" t="n">
        <f aca="false" t="array" ref="BC64:BC69">MMULT(B45:G50,BB64:BB69)</f>
        <v>29999.9999999996</v>
      </c>
      <c r="BE64" s="132"/>
      <c r="BK64" s="95"/>
      <c r="BT64" s="123"/>
      <c r="BY64" s="130"/>
      <c r="CA64" s="131"/>
    </row>
    <row r="65" customFormat="false" ht="12" hidden="false" customHeight="false" outlineLevel="0" collapsed="false">
      <c r="AJ65" s="10"/>
      <c r="AK65" s="10" t="n">
        <v>4</v>
      </c>
      <c r="AL65" s="10" t="n">
        <v>5</v>
      </c>
      <c r="AM65" s="10" t="n">
        <v>6</v>
      </c>
      <c r="AN65" s="10" t="n">
        <v>10</v>
      </c>
      <c r="AO65" s="10" t="n">
        <v>11</v>
      </c>
      <c r="AP65" s="10" t="n">
        <v>12</v>
      </c>
      <c r="AQ65" s="10" t="n">
        <v>13</v>
      </c>
      <c r="AR65" s="10" t="n">
        <v>14</v>
      </c>
      <c r="AS65" s="7" t="s">
        <v>37</v>
      </c>
      <c r="AT65" s="10" t="s">
        <v>38</v>
      </c>
      <c r="AU65" s="7" t="s">
        <v>39</v>
      </c>
      <c r="AV65" s="47" t="s">
        <v>10</v>
      </c>
      <c r="AW65" s="1"/>
      <c r="AX65" s="1"/>
      <c r="BB65" s="132" t="n">
        <v>29999.9999999996</v>
      </c>
      <c r="BC65" s="34" t="n">
        <v>28750.659141066</v>
      </c>
      <c r="BE65" s="132"/>
    </row>
    <row r="66" customFormat="false" ht="12" hidden="false" customHeight="false" outlineLevel="0" collapsed="false">
      <c r="AJ66" s="11" t="n">
        <v>4</v>
      </c>
      <c r="AK66" s="13" t="n">
        <f aca="false" t="array" ref="AK66:AM68">AN49:AP51</f>
        <v>700328.125</v>
      </c>
      <c r="AL66" s="13" t="n">
        <v>3.21268866160695E-011</v>
      </c>
      <c r="AM66" s="13" t="n">
        <v>0</v>
      </c>
      <c r="AN66" s="13" t="n">
        <f aca="false" t="array" ref="AN66:AR68">AT49:AX51</f>
        <v>-700000</v>
      </c>
      <c r="AO66" s="13" t="n">
        <v>0</v>
      </c>
      <c r="AP66" s="13" t="n">
        <v>0</v>
      </c>
      <c r="AQ66" s="13" t="n">
        <v>656250</v>
      </c>
      <c r="AR66" s="13" t="n">
        <v>0</v>
      </c>
      <c r="AS66" s="13"/>
      <c r="AT66" s="21" t="str">
        <f aca="false" t="array" ref="AT66:AT68">AZ49:AZ51</f>
        <v>r21</v>
      </c>
      <c r="AU66" s="1"/>
      <c r="AV66" s="50" t="n">
        <f aca="false" t="array" ref="AV66:AV68">BB49:BB51</f>
        <v>20000</v>
      </c>
      <c r="AW66" s="1"/>
      <c r="AX66" s="1"/>
      <c r="BB66" s="34" t="n">
        <v>35002636.5642638</v>
      </c>
      <c r="BC66" s="34" t="n">
        <v>35002636.5642638</v>
      </c>
    </row>
    <row r="67" customFormat="false" ht="12" hidden="false" customHeight="false" outlineLevel="0" collapsed="false">
      <c r="AJ67" s="11" t="n">
        <v>5</v>
      </c>
      <c r="AK67" s="13" t="n">
        <v>3.21268866160695E-011</v>
      </c>
      <c r="AL67" s="13" t="n">
        <v>525777.777777778</v>
      </c>
      <c r="AM67" s="13" t="n">
        <v>2333333.33333333</v>
      </c>
      <c r="AN67" s="13" t="n">
        <v>0</v>
      </c>
      <c r="AO67" s="13" t="n">
        <v>-777.777777777778</v>
      </c>
      <c r="AP67" s="13" t="n">
        <v>2333333.33333333</v>
      </c>
      <c r="AQ67" s="13" t="n">
        <v>-4.01837230970225E-011</v>
      </c>
      <c r="AR67" s="13" t="n">
        <v>0</v>
      </c>
      <c r="AS67" s="13"/>
      <c r="AT67" s="21" t="str">
        <v>r22</v>
      </c>
      <c r="AU67" s="1"/>
      <c r="AV67" s="51" t="n">
        <v>-30000</v>
      </c>
      <c r="AW67" s="1"/>
      <c r="AX67" s="1"/>
      <c r="BB67" s="34" t="n">
        <v>-1.05173967313021E-008</v>
      </c>
      <c r="BC67" s="34" t="n">
        <v>3.74711817130446E-010</v>
      </c>
    </row>
    <row r="68" customFormat="false" ht="12" hidden="false" customHeight="false" outlineLevel="0" collapsed="false">
      <c r="AJ68" s="11" t="n">
        <v>6</v>
      </c>
      <c r="AK68" s="13" t="n">
        <v>0</v>
      </c>
      <c r="AL68" s="13" t="n">
        <v>2333333.33333333</v>
      </c>
      <c r="AM68" s="13" t="n">
        <v>9333333333.33333</v>
      </c>
      <c r="AN68" s="13" t="n">
        <v>0</v>
      </c>
      <c r="AO68" s="13" t="n">
        <v>-2333333.33333333</v>
      </c>
      <c r="AP68" s="13" t="n">
        <v>4666666666.66667</v>
      </c>
      <c r="AQ68" s="13" t="n">
        <v>0</v>
      </c>
      <c r="AR68" s="13" t="n">
        <v>0</v>
      </c>
      <c r="AS68" s="13"/>
      <c r="AT68" s="21" t="str">
        <v>r23</v>
      </c>
      <c r="AU68" s="1"/>
      <c r="AV68" s="51" t="n">
        <v>-30000000</v>
      </c>
      <c r="AW68" s="1"/>
      <c r="AX68" s="1"/>
      <c r="BB68" s="34" t="n">
        <v>3.74711817130446E-010</v>
      </c>
      <c r="BC68" s="34" t="n">
        <v>1.05173967313021E-008</v>
      </c>
      <c r="BO68" s="100"/>
      <c r="BR68" s="133"/>
    </row>
    <row r="69" customFormat="false" ht="12" hidden="false" customHeight="false" outlineLevel="0" collapsed="false">
      <c r="AJ69" s="11" t="n">
        <v>10</v>
      </c>
      <c r="AK69" s="13" t="n">
        <f aca="false" t="array" ref="AK69:AM73">AN55:AP59</f>
        <v>-700000</v>
      </c>
      <c r="AL69" s="13" t="n">
        <v>0</v>
      </c>
      <c r="AM69" s="13" t="n">
        <v>0</v>
      </c>
      <c r="AN69" s="13" t="n">
        <f aca="false" t="array" ref="AN69:AR73">AT55:AX59</f>
        <v>700328.125</v>
      </c>
      <c r="AO69" s="13" t="n">
        <v>3.21268866160695E-011</v>
      </c>
      <c r="AP69" s="13" t="n">
        <v>0</v>
      </c>
      <c r="AQ69" s="13" t="n">
        <v>0</v>
      </c>
      <c r="AR69" s="13" t="n">
        <v>656250</v>
      </c>
      <c r="AS69" s="13"/>
      <c r="AT69" s="21" t="str">
        <f aca="false" t="array" ref="AT69:AT73">AZ55:AZ59</f>
        <v>r41</v>
      </c>
      <c r="AU69" s="1"/>
      <c r="AV69" s="50" t="n">
        <f aca="false" t="array" ref="AV69:AV73">BB55:BB59</f>
        <v>-10000</v>
      </c>
      <c r="AW69" s="1"/>
      <c r="AX69" s="1"/>
      <c r="BB69" s="34" t="n">
        <f aca="false">BF59</f>
        <v>0</v>
      </c>
      <c r="BC69" s="34" t="n">
        <v>0</v>
      </c>
      <c r="BR69" s="133"/>
    </row>
    <row r="70" customFormat="false" ht="12" hidden="false" customHeight="false" outlineLevel="0" collapsed="false">
      <c r="AJ70" s="11" t="n">
        <v>11</v>
      </c>
      <c r="AK70" s="13" t="n">
        <v>0</v>
      </c>
      <c r="AL70" s="1" t="n">
        <v>-777.777777777778</v>
      </c>
      <c r="AM70" s="1" t="n">
        <v>-2333333.33333333</v>
      </c>
      <c r="AN70" s="1" t="n">
        <v>3.21268866160695E-011</v>
      </c>
      <c r="AO70" s="13" t="n">
        <v>525777.777777778</v>
      </c>
      <c r="AP70" s="1" t="n">
        <v>-2333333.33333333</v>
      </c>
      <c r="AQ70" s="1" t="n">
        <v>0</v>
      </c>
      <c r="AR70" s="1" t="n">
        <v>-4.01837230970225E-011</v>
      </c>
      <c r="AS70" s="1" t="s">
        <v>37</v>
      </c>
      <c r="AT70" s="7" t="str">
        <v>r42</v>
      </c>
      <c r="AU70" s="1"/>
      <c r="AV70" s="13" t="n">
        <v>-30000</v>
      </c>
      <c r="AW70" s="1"/>
      <c r="AX70" s="1"/>
      <c r="BR70" s="133"/>
    </row>
    <row r="71" customFormat="false" ht="12" hidden="false" customHeight="false" outlineLevel="0" collapsed="false">
      <c r="AJ71" s="11" t="n">
        <v>12</v>
      </c>
      <c r="AK71" s="1" t="n">
        <v>0</v>
      </c>
      <c r="AL71" s="1" t="n">
        <v>2333333.33333333</v>
      </c>
      <c r="AM71" s="1" t="n">
        <v>4666666666.66667</v>
      </c>
      <c r="AN71" s="1" t="n">
        <v>0</v>
      </c>
      <c r="AO71" s="1" t="n">
        <v>-2333333.33333333</v>
      </c>
      <c r="AP71" s="1" t="n">
        <v>9333333333.33333</v>
      </c>
      <c r="AQ71" s="1" t="n">
        <v>0</v>
      </c>
      <c r="AR71" s="1" t="n">
        <v>0</v>
      </c>
      <c r="AS71" s="1"/>
      <c r="AT71" s="7" t="str">
        <v>r43</v>
      </c>
      <c r="AU71" s="1"/>
      <c r="AV71" s="1" t="n">
        <v>30000000</v>
      </c>
      <c r="AW71" s="1"/>
      <c r="AX71" s="1"/>
      <c r="BR71" s="133"/>
    </row>
    <row r="72" customFormat="false" ht="12" hidden="false" customHeight="false" outlineLevel="0" collapsed="false">
      <c r="AJ72" s="11" t="n">
        <v>13</v>
      </c>
      <c r="AK72" s="1" t="n">
        <v>656250</v>
      </c>
      <c r="AL72" s="1" t="n">
        <v>-4.01837230970225E-011</v>
      </c>
      <c r="AM72" s="1" t="n">
        <v>0</v>
      </c>
      <c r="AN72" s="1" t="n">
        <v>0</v>
      </c>
      <c r="AO72" s="1" t="n">
        <v>0</v>
      </c>
      <c r="AP72" s="1" t="n">
        <v>0</v>
      </c>
      <c r="AQ72" s="1" t="n">
        <v>1750000000</v>
      </c>
      <c r="AR72" s="1" t="n">
        <v>0</v>
      </c>
      <c r="AS72" s="1"/>
      <c r="AT72" s="7" t="str">
        <v>r24</v>
      </c>
      <c r="AU72" s="1"/>
      <c r="AV72" s="1" t="n">
        <v>13333333.3333333</v>
      </c>
      <c r="AW72" s="1"/>
      <c r="AX72" s="1"/>
      <c r="BC72" s="123"/>
      <c r="BD72" s="123"/>
      <c r="BR72" s="133"/>
    </row>
    <row r="73" customFormat="false" ht="12" hidden="false" customHeight="false" outlineLevel="0" collapsed="false">
      <c r="AJ73" s="11" t="n">
        <v>14</v>
      </c>
      <c r="AK73" s="1" t="n">
        <v>0</v>
      </c>
      <c r="AL73" s="1" t="n">
        <v>0</v>
      </c>
      <c r="AM73" s="1" t="n">
        <v>0</v>
      </c>
      <c r="AN73" s="1" t="n">
        <v>656250</v>
      </c>
      <c r="AO73" s="1" t="n">
        <v>-4.01837230970225E-011</v>
      </c>
      <c r="AP73" s="1" t="n">
        <v>0</v>
      </c>
      <c r="AQ73" s="1" t="n">
        <v>0</v>
      </c>
      <c r="AR73" s="1" t="n">
        <v>1750000000</v>
      </c>
      <c r="AS73" s="1"/>
      <c r="AT73" s="7" t="str">
        <v>r44</v>
      </c>
      <c r="AU73" s="1"/>
      <c r="AV73" s="1" t="n">
        <v>-6666666.66666667</v>
      </c>
      <c r="AW73" s="1"/>
      <c r="AX73" s="1"/>
      <c r="BR73" s="133"/>
    </row>
    <row r="74" customFormat="false" ht="12" hidden="false" customHeight="false" outlineLevel="0" collapsed="false">
      <c r="AJ74" s="10"/>
      <c r="AK74" s="10"/>
      <c r="AL74" s="10"/>
      <c r="AM74" s="10"/>
      <c r="AN74" s="10"/>
      <c r="AO74" s="10"/>
      <c r="AP74" s="10"/>
      <c r="AQ74" s="10"/>
      <c r="AR74" s="10"/>
      <c r="AS74" s="1"/>
      <c r="AT74" s="1"/>
      <c r="AU74" s="1"/>
      <c r="AV74" s="1"/>
      <c r="AW74" s="1"/>
      <c r="AX74" s="1"/>
      <c r="BR74" s="133"/>
    </row>
    <row r="75" customFormat="false" ht="12" hidden="false" customHeight="false" outlineLevel="0" collapsed="false"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BR75" s="133"/>
    </row>
    <row r="76" customFormat="false" ht="12" hidden="false" customHeight="false" outlineLevel="0" collapsed="false">
      <c r="E76" s="134"/>
      <c r="F76" s="135"/>
      <c r="AG76" s="100"/>
      <c r="AH76" s="100"/>
      <c r="AJ76" s="10"/>
      <c r="AK76" s="10" t="n">
        <v>4</v>
      </c>
      <c r="AL76" s="10" t="n">
        <v>5</v>
      </c>
      <c r="AM76" s="10" t="n">
        <v>6</v>
      </c>
      <c r="AN76" s="10" t="n">
        <v>10</v>
      </c>
      <c r="AO76" s="10" t="n">
        <v>11</v>
      </c>
      <c r="AP76" s="10" t="n">
        <v>12</v>
      </c>
      <c r="AQ76" s="10" t="n">
        <v>13</v>
      </c>
      <c r="AR76" s="10" t="n">
        <v>14</v>
      </c>
      <c r="AS76" s="7" t="s">
        <v>37</v>
      </c>
      <c r="AT76" s="47" t="s">
        <v>10</v>
      </c>
      <c r="AU76" s="7" t="s">
        <v>39</v>
      </c>
      <c r="AV76" s="10" t="s">
        <v>38</v>
      </c>
      <c r="AW76" s="1"/>
      <c r="AX76" s="1"/>
      <c r="AY76" s="7"/>
    </row>
    <row r="77" customFormat="false" ht="12" hidden="false" customHeight="false" outlineLevel="0" collapsed="false">
      <c r="AG77" s="100"/>
      <c r="AH77" s="100"/>
      <c r="AI77" s="100"/>
      <c r="AJ77" s="10" t="n">
        <v>3</v>
      </c>
      <c r="AK77" s="1" t="n">
        <f aca="false" t="array" ref="AK77:AR84">MINVERSE(AK66:AR73)</f>
        <v>0.00609559521717012</v>
      </c>
      <c r="AL77" s="1" t="n">
        <v>-3.73189238649237E-019</v>
      </c>
      <c r="AM77" s="1" t="n">
        <v>7.28799829072712E-027</v>
      </c>
      <c r="AN77" s="1" t="n">
        <v>0.00609488097330607</v>
      </c>
      <c r="AO77" s="1" t="n">
        <v>-3.73145510659707E-019</v>
      </c>
      <c r="AP77" s="1" t="n">
        <v>7.28799820624129E-027</v>
      </c>
      <c r="AQ77" s="1" t="n">
        <v>-2.2858482064388E-006</v>
      </c>
      <c r="AR77" s="1" t="n">
        <v>-2.28558036498977E-006</v>
      </c>
      <c r="AS77" s="1"/>
      <c r="AT77" s="13" t="n">
        <f aca="false" t="array" ref="AT77:AT84">AV66:AV73</f>
        <v>20000</v>
      </c>
      <c r="AU77" s="1"/>
      <c r="AV77" s="36" t="n">
        <f aca="false" t="array" ref="AV77:AV84">MMULT(AK77:AR84,AT77:AT84)</f>
        <v>45.7223209577564</v>
      </c>
      <c r="AW77" s="1" t="s">
        <v>12</v>
      </c>
      <c r="AX77" s="1"/>
      <c r="AY77" s="7"/>
    </row>
    <row r="78" customFormat="false" ht="12" hidden="false" customHeight="false" outlineLevel="0" collapsed="false">
      <c r="AJ78" s="10" t="n">
        <v>4</v>
      </c>
      <c r="AK78" s="1" t="n">
        <v>-3.73189238649237E-019</v>
      </c>
      <c r="AL78" s="13" t="n">
        <v>1.9047619047619E-006</v>
      </c>
      <c r="AM78" s="13" t="n">
        <v>-3.17460317460314E-010</v>
      </c>
      <c r="AN78" s="1" t="n">
        <v>-3.73145510659707E-019</v>
      </c>
      <c r="AO78" s="1" t="n">
        <v>0</v>
      </c>
      <c r="AP78" s="1" t="n">
        <v>-3.1746031746029E-010</v>
      </c>
      <c r="AQ78" s="1" t="n">
        <v>1.39989701879148E-022</v>
      </c>
      <c r="AR78" s="1" t="n">
        <v>1.3992956649739E-022</v>
      </c>
      <c r="AS78" s="1"/>
      <c r="AT78" s="34" t="n">
        <v>-30000</v>
      </c>
      <c r="AU78" s="1"/>
      <c r="AV78" s="36" t="n">
        <v>-0.0571428571428592</v>
      </c>
      <c r="AW78" s="1" t="s">
        <v>12</v>
      </c>
      <c r="AX78" s="1"/>
      <c r="AY78" s="7"/>
    </row>
    <row r="79" customFormat="false" ht="12" hidden="false" customHeight="false" outlineLevel="0" collapsed="false">
      <c r="AJ79" s="10" t="n">
        <v>5</v>
      </c>
      <c r="AK79" s="1" t="n">
        <v>7.28799825507056E-027</v>
      </c>
      <c r="AL79" s="13" t="n">
        <v>-3.17460317460318E-010</v>
      </c>
      <c r="AM79" s="13" t="n">
        <v>1.42962962962963E-010</v>
      </c>
      <c r="AN79" s="1" t="n">
        <v>-7.28799825507424E-027</v>
      </c>
      <c r="AO79" s="1" t="n">
        <v>3.17460317460318E-010</v>
      </c>
      <c r="AP79" s="1" t="n">
        <v>-7.13227513227513E-011</v>
      </c>
      <c r="AQ79" s="1" t="n">
        <v>-1.00225636262905E-029</v>
      </c>
      <c r="AR79" s="1" t="n">
        <v>1.00225636262911E-029</v>
      </c>
      <c r="AS79" s="1"/>
      <c r="AT79" s="1" t="n">
        <v>-30000000</v>
      </c>
      <c r="AU79" s="1"/>
      <c r="AV79" s="36" t="n">
        <v>-0.00642857142857143</v>
      </c>
      <c r="AW79" s="1" t="s">
        <v>78</v>
      </c>
      <c r="AX79" s="1" t="n">
        <f aca="false">1000*AV79</f>
        <v>-6.42857142857143</v>
      </c>
      <c r="AY79" s="7"/>
      <c r="BK79" s="100"/>
    </row>
    <row r="80" customFormat="false" ht="12" hidden="false" customHeight="false" outlineLevel="0" collapsed="false">
      <c r="AJ80" s="10" t="n">
        <v>6</v>
      </c>
      <c r="AK80" s="1" t="n">
        <v>0.00609488097330607</v>
      </c>
      <c r="AL80" s="1" t="n">
        <v>-3.73145510659707E-019</v>
      </c>
      <c r="AM80" s="1" t="n">
        <v>-7.28799821941333E-027</v>
      </c>
      <c r="AN80" s="1" t="n">
        <v>0.00609559521717012</v>
      </c>
      <c r="AO80" s="1" t="n">
        <v>-3.73189238649237E-019</v>
      </c>
      <c r="AP80" s="1" t="n">
        <v>-7.28799830390796E-027</v>
      </c>
      <c r="AQ80" s="1" t="n">
        <v>-2.28558036498977E-006</v>
      </c>
      <c r="AR80" s="1" t="n">
        <v>-2.2858482064388E-006</v>
      </c>
      <c r="AS80" s="1"/>
      <c r="AT80" s="1" t="n">
        <v>-10000</v>
      </c>
      <c r="AU80" s="1"/>
      <c r="AV80" s="36" t="n">
        <v>45.7062504708151</v>
      </c>
      <c r="AW80" s="1" t="s">
        <v>12</v>
      </c>
      <c r="AX80" s="1"/>
      <c r="AY80" s="7"/>
      <c r="AZ80" s="132"/>
      <c r="BB80" s="132"/>
      <c r="BE80" s="132"/>
      <c r="BK80" s="123"/>
      <c r="BL80" s="123"/>
      <c r="BM80" s="123"/>
      <c r="BN80" s="123"/>
      <c r="BO80" s="123"/>
      <c r="BP80" s="123"/>
      <c r="BR80" s="128"/>
      <c r="BV80" s="136"/>
    </row>
    <row r="81" customFormat="false" ht="12" hidden="false" customHeight="false" outlineLevel="0" collapsed="false">
      <c r="AJ81" s="10" t="n">
        <v>9</v>
      </c>
      <c r="AK81" s="1" t="n">
        <v>-3.73145510659707E-019</v>
      </c>
      <c r="AL81" s="1" t="n">
        <v>-3.23939099426459E-025</v>
      </c>
      <c r="AM81" s="1" t="n">
        <v>3.17460317460317E-010</v>
      </c>
      <c r="AN81" s="1" t="n">
        <v>-3.73189238649237E-019</v>
      </c>
      <c r="AO81" s="1" t="n">
        <v>1.9047619047619E-006</v>
      </c>
      <c r="AP81" s="1" t="n">
        <v>3.17460317460317E-010</v>
      </c>
      <c r="AQ81" s="1" t="n">
        <v>1.3992956649739E-022</v>
      </c>
      <c r="AR81" s="1" t="n">
        <v>1.39989701879148E-022</v>
      </c>
      <c r="AS81" s="1"/>
      <c r="AT81" s="13" t="n">
        <v>-30000</v>
      </c>
      <c r="AU81" s="1"/>
      <c r="AV81" s="36" t="n">
        <v>-0.0571428571428599</v>
      </c>
      <c r="AW81" s="1" t="s">
        <v>12</v>
      </c>
      <c r="AX81" s="1"/>
      <c r="AY81" s="7"/>
      <c r="AZ81" s="132"/>
      <c r="BB81" s="132"/>
      <c r="BE81" s="132"/>
      <c r="BK81" s="123"/>
      <c r="BL81" s="123"/>
      <c r="BM81" s="123"/>
      <c r="BN81" s="123"/>
      <c r="BO81" s="123"/>
      <c r="BP81" s="123"/>
      <c r="BR81" s="128"/>
      <c r="BV81" s="136"/>
    </row>
    <row r="82" customFormat="false" ht="12" hidden="false" customHeight="false" outlineLevel="0" collapsed="false">
      <c r="AJ82" s="10" t="n">
        <v>10</v>
      </c>
      <c r="AK82" s="1" t="n">
        <v>7.28799825507056E-027</v>
      </c>
      <c r="AL82" s="1" t="n">
        <v>-3.17460317460318E-010</v>
      </c>
      <c r="AM82" s="1" t="n">
        <v>-7.13227513227513E-011</v>
      </c>
      <c r="AN82" s="1" t="n">
        <v>-7.28799825507424E-027</v>
      </c>
      <c r="AO82" s="13" t="n">
        <v>3.17460317460318E-010</v>
      </c>
      <c r="AP82" s="1" t="n">
        <v>1.42962962962963E-010</v>
      </c>
      <c r="AQ82" s="1" t="n">
        <v>-1.00225636262905E-029</v>
      </c>
      <c r="AR82" s="1" t="n">
        <v>1.00225636262911E-029</v>
      </c>
      <c r="AS82" s="1"/>
      <c r="AT82" s="1" t="n">
        <v>30000000</v>
      </c>
      <c r="AU82" s="1"/>
      <c r="AV82" s="36" t="n">
        <v>0.00642857142857143</v>
      </c>
      <c r="AW82" s="1" t="s">
        <v>78</v>
      </c>
      <c r="AX82" s="1" t="n">
        <f aca="false">1000*AV82</f>
        <v>6.42857142857143</v>
      </c>
      <c r="AY82" s="7"/>
      <c r="AZ82" s="132"/>
      <c r="BB82" s="132"/>
      <c r="BE82" s="132"/>
      <c r="BK82" s="123"/>
      <c r="BL82" s="123"/>
      <c r="BM82" s="123"/>
      <c r="BN82" s="123"/>
      <c r="BO82" s="123"/>
      <c r="BP82" s="123"/>
      <c r="BR82" s="128"/>
      <c r="BV82" s="136"/>
    </row>
    <row r="83" customFormat="false" ht="12" hidden="false" customHeight="false" outlineLevel="0" collapsed="false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10" t="n">
        <v>11</v>
      </c>
      <c r="AK83" s="1" t="n">
        <v>-2.2858482064388E-006</v>
      </c>
      <c r="AL83" s="1" t="n">
        <v>1.39989701879148E-022</v>
      </c>
      <c r="AM83" s="1" t="n">
        <v>-1.00225636396655E-029</v>
      </c>
      <c r="AN83" s="1" t="n">
        <v>-2.28558036498977E-006</v>
      </c>
      <c r="AO83" s="13" t="n">
        <v>1.3992956649739E-022</v>
      </c>
      <c r="AP83" s="1" t="n">
        <v>-1.00225636079732E-029</v>
      </c>
      <c r="AQ83" s="1" t="n">
        <v>1.42862164884312E-009</v>
      </c>
      <c r="AR83" s="1" t="n">
        <v>8.57092636871165E-010</v>
      </c>
      <c r="AS83" s="1"/>
      <c r="AT83" s="1" t="n">
        <v>13333333.3333333</v>
      </c>
      <c r="AU83" s="1"/>
      <c r="AV83" s="36" t="n">
        <v>-0.00952682274011103</v>
      </c>
      <c r="AW83" s="1" t="s">
        <v>78</v>
      </c>
      <c r="AX83" s="1" t="n">
        <f aca="false">1000*AV83</f>
        <v>-9.52682274011103</v>
      </c>
      <c r="AY83" s="7"/>
      <c r="AZ83" s="137"/>
      <c r="BK83" s="123"/>
      <c r="BL83" s="123"/>
      <c r="BM83" s="123"/>
      <c r="BN83" s="123"/>
      <c r="BO83" s="123"/>
      <c r="BP83" s="123"/>
      <c r="BR83" s="128"/>
      <c r="BV83" s="136"/>
    </row>
    <row r="84" customFormat="false" ht="12" hidden="false" customHeight="false" outlineLevel="0" collapsed="false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10" t="n">
        <v>12</v>
      </c>
      <c r="AK84" s="1" t="n">
        <v>-2.28558036498977E-006</v>
      </c>
      <c r="AL84" s="1" t="n">
        <v>1.3992956649739E-022</v>
      </c>
      <c r="AM84" s="1" t="n">
        <v>1.0022563612919E-029</v>
      </c>
      <c r="AN84" s="1" t="n">
        <v>-2.2858482064388E-006</v>
      </c>
      <c r="AO84" s="1" t="n">
        <v>1.39989701879148E-022</v>
      </c>
      <c r="AP84" s="1" t="n">
        <v>1.00225636446045E-029</v>
      </c>
      <c r="AQ84" s="1" t="n">
        <v>8.57092636871165E-010</v>
      </c>
      <c r="AR84" s="1" t="n">
        <v>1.42862164884312E-009</v>
      </c>
      <c r="AS84" s="1"/>
      <c r="AT84" s="1" t="n">
        <v>-6666666.66666667</v>
      </c>
      <c r="AU84" s="1"/>
      <c r="AV84" s="36" t="n">
        <v>-0.0209493677360795</v>
      </c>
      <c r="AW84" s="1" t="s">
        <v>78</v>
      </c>
      <c r="AX84" s="1" t="n">
        <f aca="false">1000*AV84</f>
        <v>-20.9493677360795</v>
      </c>
      <c r="AY84" s="7"/>
      <c r="AZ84" s="7"/>
      <c r="BA84" s="7"/>
      <c r="BB84" s="7"/>
      <c r="BC84" s="7"/>
      <c r="BD84" s="7"/>
      <c r="BE84" s="20"/>
      <c r="BF84" s="7"/>
      <c r="BG84" s="7"/>
      <c r="BH84" s="7"/>
      <c r="BI84" s="7"/>
      <c r="BJ84" s="7"/>
      <c r="BK84" s="42"/>
      <c r="BL84" s="42"/>
      <c r="BM84" s="42"/>
      <c r="BN84" s="42"/>
      <c r="BO84" s="123"/>
      <c r="BP84" s="123"/>
      <c r="BR84" s="128"/>
      <c r="BV84" s="136"/>
    </row>
    <row r="85" customFormat="false" ht="12" hidden="false" customHeight="false" outlineLevel="0" collapsed="false">
      <c r="AJ85" s="10"/>
      <c r="AK85" s="10"/>
      <c r="AL85" s="10"/>
      <c r="AM85" s="10"/>
      <c r="AN85" s="10"/>
      <c r="AO85" s="10"/>
      <c r="AP85" s="10"/>
      <c r="AQ85" s="10"/>
      <c r="AR85" s="10"/>
      <c r="AS85" s="1"/>
      <c r="AT85" s="1"/>
      <c r="AU85" s="1"/>
      <c r="AV85" s="1"/>
      <c r="AW85" s="1"/>
      <c r="AX85" s="1"/>
      <c r="AZ85" s="137"/>
      <c r="BC85" s="138"/>
      <c r="BD85" s="138"/>
      <c r="BE85" s="132"/>
      <c r="BK85" s="123"/>
      <c r="BL85" s="123"/>
      <c r="BM85" s="123"/>
      <c r="BN85" s="123"/>
      <c r="BO85" s="123"/>
      <c r="BP85" s="123"/>
      <c r="BR85" s="128"/>
      <c r="BV85" s="136"/>
    </row>
    <row r="86" customFormat="false" ht="12" hidden="false" customHeight="false" outlineLevel="0" collapsed="false">
      <c r="AZ86" s="137"/>
      <c r="BC86" s="138"/>
      <c r="BD86" s="138"/>
      <c r="BE86" s="132"/>
    </row>
    <row r="87" customFormat="false" ht="12" hidden="false" customHeight="false" outlineLevel="0" collapsed="false">
      <c r="BB87" s="132"/>
      <c r="BE87" s="132"/>
      <c r="BK87" s="100"/>
    </row>
    <row r="88" customFormat="false" ht="12" hidden="false" customHeight="false" outlineLevel="0" collapsed="false">
      <c r="BB88" s="132"/>
      <c r="BE88" s="132"/>
      <c r="BK88" s="95"/>
      <c r="BL88" s="95"/>
      <c r="BM88" s="95"/>
      <c r="BN88" s="95"/>
      <c r="BO88" s="95"/>
      <c r="BP88" s="95"/>
      <c r="BR88" s="128"/>
      <c r="BT88" s="123"/>
      <c r="BY88" s="130"/>
      <c r="CA88" s="131"/>
    </row>
    <row r="89" customFormat="false" ht="12" hidden="false" customHeight="false" outlineLevel="0" collapsed="false">
      <c r="AZ89" s="132"/>
      <c r="BB89" s="132"/>
      <c r="BE89" s="132"/>
      <c r="BK89" s="95"/>
      <c r="BL89" s="95"/>
      <c r="BM89" s="95"/>
      <c r="BN89" s="95"/>
      <c r="BO89" s="95"/>
      <c r="BP89" s="95"/>
      <c r="BR89" s="128"/>
      <c r="BT89" s="95"/>
      <c r="BY89" s="130"/>
      <c r="CA89" s="131"/>
    </row>
    <row r="90" customFormat="false" ht="12" hidden="false" customHeight="false" outlineLevel="0" collapsed="false">
      <c r="AK90" s="17"/>
      <c r="AL90" s="17"/>
      <c r="AM90" s="17"/>
      <c r="AN90" s="17"/>
      <c r="AO90" s="17"/>
      <c r="AP90" s="17"/>
      <c r="AQ90" s="21"/>
      <c r="AR90" s="21"/>
      <c r="AS90" s="21"/>
      <c r="AT90" s="21"/>
      <c r="AU90" s="21"/>
      <c r="AV90" s="21"/>
      <c r="AW90" s="21"/>
      <c r="AX90" s="21"/>
      <c r="AZ90" s="132"/>
      <c r="BB90" s="132"/>
      <c r="BE90" s="132"/>
      <c r="BK90" s="95"/>
      <c r="BL90" s="95"/>
      <c r="BM90" s="95"/>
      <c r="BN90" s="95"/>
      <c r="BO90" s="95"/>
      <c r="BP90" s="95"/>
      <c r="BR90" s="128"/>
      <c r="BT90" s="95"/>
      <c r="BY90" s="130"/>
      <c r="CA90" s="131"/>
    </row>
    <row r="91" customFormat="false" ht="12" hidden="false" customHeight="false" outlineLevel="0" collapsed="false">
      <c r="AK91" s="17"/>
      <c r="AL91" s="17"/>
      <c r="AM91" s="17"/>
      <c r="AN91" s="17"/>
      <c r="AO91" s="17"/>
      <c r="AP91" s="17"/>
      <c r="AQ91" s="21"/>
      <c r="AR91" s="21"/>
      <c r="AS91" s="21"/>
      <c r="AT91" s="21"/>
      <c r="AU91" s="21"/>
      <c r="AV91" s="21"/>
      <c r="AW91" s="21"/>
      <c r="AX91" s="21"/>
      <c r="BE91" s="132"/>
      <c r="BK91" s="95"/>
      <c r="BL91" s="95"/>
      <c r="BM91" s="95"/>
      <c r="BN91" s="95"/>
      <c r="BO91" s="95"/>
      <c r="BP91" s="95"/>
      <c r="BR91" s="128"/>
      <c r="BT91" s="123"/>
      <c r="BY91" s="130"/>
      <c r="CA91" s="131"/>
    </row>
    <row r="92" customFormat="false" ht="12" hidden="false" customHeight="false" outlineLevel="0" collapsed="false">
      <c r="AK92" s="17"/>
      <c r="AL92" s="17"/>
      <c r="AM92" s="17"/>
      <c r="AN92" s="17"/>
      <c r="AO92" s="17"/>
      <c r="AP92" s="17"/>
      <c r="AQ92" s="21"/>
      <c r="AR92" s="21"/>
      <c r="AS92" s="21"/>
      <c r="AT92" s="21"/>
      <c r="AU92" s="21"/>
      <c r="AV92" s="21"/>
      <c r="AW92" s="21"/>
      <c r="AX92" s="21"/>
      <c r="BE92" s="132"/>
      <c r="BK92" s="95"/>
      <c r="BL92" s="95"/>
      <c r="BM92" s="95"/>
      <c r="BN92" s="95"/>
      <c r="BO92" s="95"/>
      <c r="BP92" s="95"/>
      <c r="BR92" s="128"/>
      <c r="BT92" s="95"/>
      <c r="BY92" s="130"/>
      <c r="CA92" s="131"/>
    </row>
    <row r="93" customFormat="false" ht="12" hidden="false" customHeight="false" outlineLevel="0" collapsed="false">
      <c r="AK93" s="17"/>
      <c r="AL93" s="17"/>
      <c r="AM93" s="17"/>
      <c r="AN93" s="17"/>
      <c r="AO93" s="17"/>
      <c r="AP93" s="17"/>
      <c r="AQ93" s="17"/>
      <c r="AR93" s="21"/>
      <c r="AS93" s="21"/>
      <c r="AT93" s="21"/>
      <c r="AU93" s="17"/>
      <c r="AV93" s="17"/>
      <c r="AW93" s="21"/>
      <c r="AX93" s="21"/>
      <c r="AZ93" s="95"/>
      <c r="BE93" s="132"/>
      <c r="BK93" s="95"/>
      <c r="BL93" s="95"/>
      <c r="BM93" s="95"/>
      <c r="BN93" s="95"/>
      <c r="BO93" s="95"/>
      <c r="BP93" s="95"/>
      <c r="BR93" s="128"/>
      <c r="BT93" s="95"/>
      <c r="BY93" s="130"/>
      <c r="CA93" s="131"/>
    </row>
    <row r="94" customFormat="false" ht="12" hidden="false" customHeight="false" outlineLevel="0" collapsed="false">
      <c r="AK94" s="17"/>
      <c r="AL94" s="17"/>
      <c r="AM94" s="17"/>
      <c r="AN94" s="17"/>
      <c r="AO94" s="17"/>
      <c r="AP94" s="17"/>
      <c r="AQ94" s="17"/>
      <c r="AR94" s="21"/>
      <c r="AS94" s="21"/>
      <c r="AT94" s="21"/>
      <c r="AU94" s="17"/>
      <c r="AV94" s="17"/>
      <c r="AW94" s="21"/>
      <c r="AX94" s="21"/>
    </row>
    <row r="95" customFormat="false" ht="12" hidden="false" customHeight="false" outlineLevel="0" collapsed="false">
      <c r="AK95" s="17"/>
      <c r="AL95" s="17"/>
      <c r="AM95" s="17"/>
      <c r="AN95" s="17"/>
      <c r="AO95" s="17"/>
      <c r="AP95" s="17"/>
      <c r="AQ95" s="21"/>
      <c r="AR95" s="21"/>
      <c r="AS95" s="21"/>
      <c r="AT95" s="21"/>
      <c r="AU95" s="21"/>
      <c r="AV95" s="21"/>
      <c r="AW95" s="21"/>
      <c r="AX95" s="21"/>
    </row>
    <row r="96" customFormat="false" ht="12" hidden="false" customHeight="false" outlineLevel="0" collapsed="false">
      <c r="AK96" s="21"/>
      <c r="AL96" s="21"/>
      <c r="AM96" s="21"/>
      <c r="AN96" s="17"/>
      <c r="AO96" s="17"/>
      <c r="AP96" s="21"/>
      <c r="AQ96" s="17"/>
      <c r="AR96" s="21"/>
      <c r="AS96" s="21"/>
      <c r="AT96" s="21"/>
      <c r="AU96" s="17"/>
      <c r="AV96" s="17"/>
      <c r="AW96" s="21"/>
      <c r="AX96" s="21"/>
    </row>
    <row r="97" customFormat="false" ht="12" hidden="false" customHeight="false" outlineLevel="0" collapsed="false">
      <c r="AK97" s="21"/>
      <c r="AL97" s="21"/>
      <c r="AM97" s="21"/>
      <c r="AN97" s="21"/>
      <c r="AO97" s="21"/>
      <c r="AP97" s="21"/>
      <c r="AQ97" s="21"/>
      <c r="AR97" s="17"/>
      <c r="AS97" s="17"/>
      <c r="AT97" s="17"/>
      <c r="AU97" s="17"/>
      <c r="AV97" s="17"/>
      <c r="AW97" s="21"/>
      <c r="AX97" s="21"/>
    </row>
    <row r="98" customFormat="false" ht="12" hidden="false" customHeight="false" outlineLevel="0" collapsed="false">
      <c r="AK98" s="21"/>
      <c r="AL98" s="21"/>
      <c r="AM98" s="21"/>
      <c r="AN98" s="21"/>
      <c r="AO98" s="21"/>
      <c r="AP98" s="21"/>
      <c r="AQ98" s="21"/>
      <c r="AR98" s="17"/>
      <c r="AS98" s="17"/>
      <c r="AT98" s="17"/>
      <c r="AU98" s="17"/>
      <c r="AV98" s="17"/>
      <c r="AW98" s="21"/>
      <c r="AX98" s="21"/>
    </row>
    <row r="99" customFormat="false" ht="12" hidden="false" customHeight="false" outlineLevel="0" collapsed="false">
      <c r="AK99" s="21"/>
      <c r="AL99" s="21"/>
      <c r="AM99" s="21"/>
      <c r="AN99" s="21"/>
      <c r="AO99" s="21"/>
      <c r="AP99" s="21"/>
      <c r="AQ99" s="21"/>
      <c r="AR99" s="17"/>
      <c r="AS99" s="17"/>
      <c r="AT99" s="17"/>
      <c r="AU99" s="17"/>
      <c r="AV99" s="17"/>
      <c r="AW99" s="21"/>
      <c r="AX99" s="21"/>
      <c r="AZ99" s="95"/>
    </row>
    <row r="100" customFormat="false" ht="12" hidden="false" customHeight="false" outlineLevel="0" collapsed="false">
      <c r="AK100" s="21"/>
      <c r="AL100" s="21"/>
      <c r="AM100" s="21"/>
      <c r="AN100" s="17"/>
      <c r="AO100" s="17"/>
      <c r="AP100" s="21"/>
      <c r="AQ100" s="17"/>
      <c r="AR100" s="17"/>
      <c r="AS100" s="17"/>
      <c r="AT100" s="17"/>
      <c r="AU100" s="17"/>
      <c r="AV100" s="17"/>
      <c r="AW100" s="21"/>
      <c r="AX100" s="21"/>
      <c r="BC100" s="123"/>
      <c r="BD100" s="123"/>
    </row>
    <row r="101" customFormat="false" ht="12" hidden="false" customHeight="false" outlineLevel="0" collapsed="false">
      <c r="AK101" s="21"/>
      <c r="AL101" s="21"/>
      <c r="AM101" s="21"/>
      <c r="AN101" s="17"/>
      <c r="AO101" s="17"/>
      <c r="AP101" s="21"/>
      <c r="AQ101" s="17"/>
      <c r="AR101" s="17"/>
      <c r="AS101" s="17"/>
      <c r="AT101" s="17"/>
      <c r="AU101" s="17"/>
      <c r="AV101" s="17"/>
      <c r="AW101" s="21"/>
      <c r="AX101" s="21"/>
    </row>
    <row r="102" customFormat="false" ht="12" hidden="false" customHeight="false" outlineLevel="0" collapsed="false">
      <c r="AK102" s="21"/>
      <c r="AL102" s="21"/>
      <c r="AM102" s="21"/>
      <c r="AN102" s="21"/>
      <c r="AO102" s="21"/>
      <c r="AP102" s="21"/>
      <c r="AQ102" s="21"/>
      <c r="AR102" s="21"/>
      <c r="AS102" s="21"/>
      <c r="AT102" s="21"/>
      <c r="AU102" s="21"/>
      <c r="AV102" s="21"/>
      <c r="AW102" s="21"/>
      <c r="AX102" s="21"/>
    </row>
    <row r="103" customFormat="false" ht="12" hidden="false" customHeight="false" outlineLevel="0" collapsed="false">
      <c r="AK103" s="21"/>
      <c r="AL103" s="21"/>
      <c r="AM103" s="21"/>
      <c r="AN103" s="21"/>
      <c r="AO103" s="21"/>
      <c r="AP103" s="21"/>
      <c r="AQ103" s="21"/>
      <c r="AR103" s="21"/>
      <c r="AS103" s="21"/>
      <c r="AT103" s="21"/>
      <c r="AU103" s="21"/>
      <c r="AV103" s="21"/>
      <c r="AW103" s="21"/>
      <c r="AX103" s="21"/>
    </row>
    <row r="108" customFormat="false" ht="12" hidden="false" customHeight="false" outlineLevel="0" collapsed="false">
      <c r="AZ108" s="132"/>
      <c r="BB108" s="132"/>
      <c r="BE108" s="132"/>
      <c r="BK108" s="100"/>
    </row>
    <row r="109" customFormat="false" ht="12" hidden="false" customHeight="false" outlineLevel="0" collapsed="false">
      <c r="AZ109" s="132"/>
      <c r="BB109" s="132"/>
      <c r="BE109" s="132"/>
      <c r="BK109" s="123"/>
      <c r="BL109" s="123"/>
      <c r="BM109" s="123"/>
      <c r="BN109" s="123"/>
      <c r="BO109" s="123"/>
      <c r="BP109" s="123"/>
    </row>
    <row r="110" customFormat="false" ht="12" hidden="false" customHeight="false" outlineLevel="0" collapsed="false">
      <c r="W110" s="95"/>
      <c r="AZ110" s="132"/>
      <c r="BB110" s="132"/>
      <c r="BE110" s="132"/>
      <c r="BK110" s="123"/>
      <c r="BL110" s="123"/>
      <c r="BM110" s="123"/>
      <c r="BN110" s="123"/>
      <c r="BO110" s="123"/>
      <c r="BP110" s="123"/>
    </row>
    <row r="111" customFormat="false" ht="12" hidden="false" customHeight="false" outlineLevel="0" collapsed="false">
      <c r="X111" s="95"/>
      <c r="AE111" s="95"/>
      <c r="AZ111" s="137"/>
      <c r="BK111" s="123"/>
      <c r="BL111" s="123"/>
      <c r="BM111" s="123"/>
      <c r="BN111" s="123"/>
      <c r="BO111" s="123"/>
      <c r="BP111" s="123"/>
    </row>
    <row r="112" customFormat="false" ht="12" hidden="false" customHeight="false" outlineLevel="0" collapsed="false">
      <c r="Y112" s="95"/>
      <c r="AA112" s="95"/>
      <c r="AF112" s="95"/>
      <c r="BK112" s="123"/>
      <c r="BL112" s="123"/>
      <c r="BM112" s="123"/>
      <c r="BN112" s="123"/>
      <c r="BO112" s="123"/>
      <c r="BP112" s="123"/>
      <c r="BR112" s="128"/>
    </row>
    <row r="113" customFormat="false" ht="12" hidden="false" customHeight="false" outlineLevel="0" collapsed="false">
      <c r="AZ113" s="132"/>
      <c r="BB113" s="132"/>
      <c r="BE113" s="132"/>
      <c r="BK113" s="123"/>
      <c r="BL113" s="123"/>
      <c r="BM113" s="123"/>
      <c r="BN113" s="123"/>
      <c r="BO113" s="123"/>
      <c r="BP113" s="123"/>
      <c r="BR113" s="128"/>
    </row>
    <row r="114" customFormat="false" ht="12" hidden="false" customHeight="false" outlineLevel="0" collapsed="false">
      <c r="Y114" s="95"/>
      <c r="AA114" s="95"/>
      <c r="AF114" s="95"/>
      <c r="BB114" s="132"/>
      <c r="BE114" s="139"/>
      <c r="BK114" s="123"/>
      <c r="BL114" s="123"/>
      <c r="BM114" s="123"/>
      <c r="BN114" s="123"/>
      <c r="BO114" s="123"/>
      <c r="BP114" s="123"/>
      <c r="BR114" s="128"/>
    </row>
    <row r="115" customFormat="false" ht="12" hidden="false" customHeight="false" outlineLevel="0" collapsed="false">
      <c r="BB115" s="132"/>
      <c r="BE115" s="139"/>
    </row>
    <row r="116" customFormat="false" ht="12" hidden="false" customHeight="false" outlineLevel="0" collapsed="false">
      <c r="AZ116" s="132"/>
      <c r="BB116" s="132"/>
      <c r="BE116" s="139"/>
      <c r="BK116" s="100"/>
    </row>
    <row r="117" customFormat="false" ht="12" hidden="false" customHeight="false" outlineLevel="0" collapsed="false">
      <c r="AZ117" s="132"/>
      <c r="BB117" s="95"/>
      <c r="BE117" s="139"/>
      <c r="BK117" s="95"/>
      <c r="BL117" s="95"/>
      <c r="BM117" s="95"/>
      <c r="BN117" s="95"/>
      <c r="BO117" s="95"/>
      <c r="BP117" s="95"/>
      <c r="BT117" s="123"/>
      <c r="BY117" s="130"/>
      <c r="CA117" s="131"/>
    </row>
    <row r="118" customFormat="false" ht="12" hidden="false" customHeight="false" outlineLevel="0" collapsed="false">
      <c r="X118" s="95"/>
      <c r="AE118" s="95"/>
      <c r="AZ118" s="132"/>
      <c r="BB118" s="95"/>
      <c r="BE118" s="139"/>
      <c r="BK118" s="95"/>
      <c r="BL118" s="95"/>
      <c r="BM118" s="95"/>
      <c r="BN118" s="95"/>
      <c r="BO118" s="95"/>
      <c r="BP118" s="95"/>
      <c r="BT118" s="123"/>
      <c r="BY118" s="130"/>
      <c r="CA118" s="131"/>
    </row>
    <row r="119" customFormat="false" ht="12" hidden="false" customHeight="false" outlineLevel="0" collapsed="false">
      <c r="Y119" s="95"/>
      <c r="AA119" s="95"/>
      <c r="AF119" s="95"/>
      <c r="BE119" s="139"/>
      <c r="BK119" s="95"/>
      <c r="BL119" s="95"/>
      <c r="BM119" s="95"/>
      <c r="BN119" s="95"/>
      <c r="BO119" s="95"/>
      <c r="BP119" s="95"/>
      <c r="BT119" s="123"/>
      <c r="BY119" s="130"/>
      <c r="CA119" s="131"/>
    </row>
    <row r="120" customFormat="false" ht="12" hidden="false" customHeight="false" outlineLevel="0" collapsed="false">
      <c r="BE120" s="139"/>
      <c r="BK120" s="95"/>
      <c r="BL120" s="95"/>
      <c r="BM120" s="95"/>
      <c r="BN120" s="95"/>
      <c r="BO120" s="95"/>
      <c r="BP120" s="95"/>
      <c r="BT120" s="123"/>
      <c r="BY120" s="130"/>
      <c r="CA120" s="131"/>
    </row>
    <row r="121" customFormat="false" ht="12" hidden="false" customHeight="false" outlineLevel="0" collapsed="false">
      <c r="Y121" s="95"/>
      <c r="AA121" s="95"/>
      <c r="AF121" s="95"/>
      <c r="BK121" s="95"/>
      <c r="BL121" s="95"/>
      <c r="BM121" s="95"/>
      <c r="BN121" s="95"/>
      <c r="BO121" s="95"/>
      <c r="BP121" s="95"/>
      <c r="BT121" s="123"/>
      <c r="BY121" s="130"/>
      <c r="CA121" s="131"/>
    </row>
    <row r="122" customFormat="false" ht="12" hidden="false" customHeight="false" outlineLevel="0" collapsed="false">
      <c r="BK122" s="95"/>
      <c r="BL122" s="95"/>
      <c r="BM122" s="95"/>
      <c r="BN122" s="95"/>
      <c r="BO122" s="95"/>
      <c r="BP122" s="95"/>
      <c r="BT122" s="123"/>
      <c r="BY122" s="130"/>
      <c r="CA122" s="131"/>
    </row>
    <row r="124" customFormat="false" ht="12" hidden="false" customHeight="false" outlineLevel="0" collapsed="false">
      <c r="B124" s="100"/>
      <c r="AF124" s="100"/>
    </row>
    <row r="125" customFormat="false" ht="12" hidden="false" customHeight="false" outlineLevel="0" collapsed="false">
      <c r="E125" s="134"/>
      <c r="F125" s="135"/>
    </row>
    <row r="126" customFormat="false" ht="12" hidden="false" customHeight="false" outlineLevel="0" collapsed="false">
      <c r="E126" s="134"/>
      <c r="F126" s="135"/>
    </row>
    <row r="127" customFormat="false" ht="12" hidden="false" customHeight="false" outlineLevel="0" collapsed="false">
      <c r="E127" s="134"/>
      <c r="F127" s="135"/>
      <c r="AW127" s="95"/>
      <c r="AX127" s="95"/>
      <c r="AZ127" s="132"/>
      <c r="BB127" s="132"/>
      <c r="BE127" s="139"/>
    </row>
    <row r="128" customFormat="false" ht="12" hidden="false" customHeight="false" outlineLevel="0" collapsed="false">
      <c r="AW128" s="95"/>
      <c r="AX128" s="95"/>
      <c r="AZ128" s="132"/>
      <c r="BB128" s="132"/>
      <c r="BE128" s="139"/>
    </row>
    <row r="129" customFormat="false" ht="12" hidden="false" customHeight="false" outlineLevel="0" collapsed="false">
      <c r="AW129" s="95"/>
      <c r="AX129" s="95"/>
      <c r="AZ129" s="132"/>
      <c r="BB129" s="132"/>
      <c r="BE129" s="139"/>
    </row>
    <row r="130" customFormat="false" ht="12" hidden="false" customHeight="false" outlineLevel="0" collapsed="false">
      <c r="AW130" s="95"/>
      <c r="AX130" s="140"/>
      <c r="AZ130" s="137"/>
      <c r="BB130" s="95"/>
      <c r="BE130" s="139"/>
    </row>
    <row r="131" customFormat="false" ht="12" hidden="false" customHeight="false" outlineLevel="0" collapsed="false">
      <c r="AW131" s="95"/>
      <c r="AX131" s="140"/>
      <c r="AZ131" s="137"/>
      <c r="BB131" s="95"/>
      <c r="BE131" s="139"/>
    </row>
    <row r="132" customFormat="false" ht="12" hidden="false" customHeight="false" outlineLevel="0" collapsed="false">
      <c r="AW132" s="95"/>
      <c r="AX132" s="95"/>
      <c r="AZ132" s="137"/>
      <c r="BB132" s="132"/>
      <c r="BE132" s="139"/>
    </row>
    <row r="133" customFormat="false" ht="12" hidden="false" customHeight="false" outlineLevel="0" collapsed="false">
      <c r="AW133" s="95"/>
      <c r="AX133" s="140"/>
      <c r="AZ133" s="137"/>
      <c r="BB133" s="132"/>
      <c r="BC133" s="138"/>
      <c r="BD133" s="138"/>
      <c r="BE133" s="139"/>
    </row>
    <row r="134" customFormat="false" ht="12" hidden="false" customHeight="false" outlineLevel="0" collapsed="false">
      <c r="AW134" s="140"/>
      <c r="AX134" s="95"/>
      <c r="AZ134" s="137"/>
      <c r="BB134" s="132"/>
      <c r="BE134" s="139"/>
    </row>
    <row r="135" customFormat="false" ht="12" hidden="false" customHeight="false" outlineLevel="0" collapsed="false">
      <c r="AW135" s="140"/>
      <c r="AX135" s="95"/>
      <c r="AY135" s="95"/>
      <c r="AZ135" s="137"/>
      <c r="BB135" s="132"/>
      <c r="BE135" s="139"/>
    </row>
    <row r="136" customFormat="false" ht="12" hidden="false" customHeight="false" outlineLevel="0" collapsed="false">
      <c r="AW136" s="140"/>
      <c r="AX136" s="95"/>
      <c r="AZ136" s="137"/>
      <c r="BB136" s="132"/>
      <c r="BE136" s="139"/>
    </row>
    <row r="137" customFormat="false" ht="12" hidden="false" customHeight="false" outlineLevel="0" collapsed="false">
      <c r="AW137" s="140"/>
      <c r="AX137" s="140"/>
      <c r="AZ137" s="137"/>
      <c r="BB137" s="95"/>
      <c r="BE137" s="139"/>
    </row>
    <row r="138" customFormat="false" ht="12" hidden="false" customHeight="false" outlineLevel="0" collapsed="false">
      <c r="AW138" s="140"/>
      <c r="AX138" s="140"/>
      <c r="AZ138" s="137"/>
      <c r="BB138" s="95"/>
      <c r="BE138" s="139"/>
    </row>
    <row r="139" customFormat="false" ht="12" hidden="false" customHeight="false" outlineLevel="0" collapsed="false">
      <c r="AK139" s="95"/>
      <c r="AL139" s="95"/>
      <c r="AM139" s="95"/>
      <c r="AN139" s="95"/>
      <c r="AO139" s="95"/>
      <c r="AP139" s="95"/>
      <c r="AQ139" s="95"/>
      <c r="AR139" s="140"/>
      <c r="AS139" s="140"/>
      <c r="AT139" s="140"/>
      <c r="AU139" s="140"/>
      <c r="AV139" s="140"/>
      <c r="AW139" s="140"/>
      <c r="AX139" s="95"/>
      <c r="AZ139" s="137"/>
      <c r="BB139" s="132"/>
      <c r="BE139" s="139"/>
    </row>
    <row r="140" customFormat="false" ht="12" hidden="false" customHeight="false" outlineLevel="0" collapsed="false">
      <c r="AK140" s="95"/>
      <c r="AL140" s="95"/>
      <c r="AM140" s="95"/>
      <c r="AN140" s="140"/>
      <c r="AO140" s="140"/>
      <c r="AP140" s="95"/>
      <c r="AQ140" s="140"/>
      <c r="AR140" s="105"/>
      <c r="AS140" s="105"/>
      <c r="AT140" s="105"/>
      <c r="AU140" s="140"/>
      <c r="AV140" s="140"/>
      <c r="AW140" s="95"/>
      <c r="AX140" s="140"/>
      <c r="AZ140" s="137"/>
      <c r="BB140" s="132"/>
      <c r="BE140" s="139"/>
    </row>
    <row r="141" customFormat="false" ht="12" hidden="false" customHeight="false" outlineLevel="0" collapsed="false">
      <c r="AK141" s="141"/>
      <c r="AL141" s="141"/>
      <c r="AM141" s="141"/>
    </row>
    <row r="143" customFormat="false" ht="12" hidden="false" customHeight="false" outlineLevel="0" collapsed="false">
      <c r="BX143" s="142"/>
    </row>
    <row r="144" customFormat="false" ht="12" hidden="false" customHeight="false" outlineLevel="0" collapsed="false">
      <c r="BX144" s="142"/>
    </row>
    <row r="145" customFormat="false" ht="12" hidden="false" customHeight="false" outlineLevel="0" collapsed="false">
      <c r="BX145" s="142"/>
    </row>
    <row r="147" customFormat="false" ht="12" hidden="false" customHeight="false" outlineLevel="0" collapsed="false">
      <c r="BX147" s="142"/>
      <c r="CL147" s="123"/>
    </row>
    <row r="148" customFormat="false" ht="12" hidden="false" customHeight="false" outlineLevel="0" collapsed="false">
      <c r="BX148" s="142"/>
    </row>
    <row r="149" customFormat="false" ht="12" hidden="false" customHeight="false" outlineLevel="0" collapsed="false">
      <c r="BX149" s="142"/>
    </row>
    <row r="150" customFormat="false" ht="12" hidden="false" customHeight="false" outlineLevel="0" collapsed="false">
      <c r="BT150" s="100"/>
    </row>
    <row r="151" customFormat="false" ht="12" hidden="false" customHeight="false" outlineLevel="0" collapsed="false">
      <c r="BT151" s="123"/>
    </row>
    <row r="152" customFormat="false" ht="12" hidden="false" customHeight="false" outlineLevel="0" collapsed="false">
      <c r="BU152" s="123"/>
    </row>
    <row r="154" customFormat="false" ht="12" hidden="false" customHeight="false" outlineLevel="0" collapsed="false">
      <c r="BW154" s="123"/>
      <c r="BX154" s="123"/>
      <c r="CB154" s="95"/>
      <c r="CF154" s="95"/>
    </row>
    <row r="155" customFormat="false" ht="12" hidden="false" customHeight="false" outlineLevel="0" collapsed="false">
      <c r="AM155" s="100"/>
      <c r="BY155" s="123"/>
      <c r="CB155" s="95"/>
      <c r="CF155" s="95"/>
    </row>
    <row r="156" customFormat="false" ht="12" hidden="false" customHeight="false" outlineLevel="0" collapsed="false">
      <c r="CB156" s="95"/>
      <c r="CF156" s="95"/>
    </row>
    <row r="157" customFormat="false" ht="12" hidden="false" customHeight="false" outlineLevel="0" collapsed="false">
      <c r="AN157" s="95"/>
      <c r="AO157" s="95"/>
      <c r="AP157" s="95"/>
      <c r="AQ157" s="95"/>
      <c r="AR157" s="95"/>
      <c r="AS157" s="95"/>
      <c r="AT157" s="95"/>
      <c r="AU157" s="95"/>
      <c r="AW157" s="132"/>
      <c r="AY157" s="95"/>
      <c r="BQ157" s="138"/>
    </row>
    <row r="158" customFormat="false" ht="12" hidden="false" customHeight="false" outlineLevel="0" collapsed="false">
      <c r="AN158" s="95"/>
      <c r="AO158" s="95"/>
      <c r="AP158" s="95"/>
      <c r="AQ158" s="95"/>
      <c r="AR158" s="95"/>
      <c r="AS158" s="95"/>
      <c r="AT158" s="95"/>
      <c r="AU158" s="95"/>
      <c r="AW158" s="132"/>
      <c r="AY158" s="95"/>
      <c r="BL158" s="123"/>
      <c r="BN158" s="132"/>
      <c r="BP158" s="134"/>
      <c r="BR158" s="140"/>
      <c r="BT158" s="100"/>
    </row>
    <row r="159" customFormat="false" ht="12" hidden="false" customHeight="false" outlineLevel="0" collapsed="false">
      <c r="AN159" s="95"/>
      <c r="AO159" s="95"/>
      <c r="AP159" s="95"/>
      <c r="AQ159" s="95"/>
      <c r="AR159" s="95"/>
      <c r="AS159" s="95"/>
      <c r="AT159" s="95"/>
      <c r="AU159" s="95"/>
      <c r="AW159" s="132"/>
      <c r="AY159" s="95"/>
      <c r="BL159" s="123"/>
      <c r="BN159" s="132"/>
      <c r="BP159" s="134"/>
      <c r="BR159" s="143"/>
      <c r="BT159" s="95"/>
      <c r="BV159" s="123"/>
      <c r="BW159" s="95"/>
      <c r="BX159" s="95"/>
      <c r="BZ159" s="123"/>
      <c r="CH159" s="144"/>
    </row>
    <row r="160" customFormat="false" ht="12" hidden="false" customHeight="false" outlineLevel="0" collapsed="false">
      <c r="AN160" s="95"/>
      <c r="AO160" s="95"/>
      <c r="AP160" s="95"/>
      <c r="AQ160" s="95"/>
      <c r="AR160" s="95"/>
      <c r="AS160" s="95"/>
      <c r="AT160" s="95"/>
      <c r="AU160" s="95"/>
      <c r="AW160" s="132"/>
      <c r="AY160" s="95"/>
      <c r="BL160" s="123"/>
      <c r="BN160" s="132"/>
      <c r="BP160" s="134"/>
      <c r="BR160" s="140"/>
      <c r="BU160" s="95"/>
      <c r="BV160" s="95"/>
      <c r="BY160" s="95"/>
      <c r="BZ160" s="95"/>
      <c r="CD160" s="95"/>
      <c r="CH160" s="144"/>
    </row>
    <row r="161" customFormat="false" ht="12" hidden="false" customHeight="false" outlineLevel="0" collapsed="false">
      <c r="AN161" s="95"/>
      <c r="AO161" s="95"/>
      <c r="AP161" s="95"/>
      <c r="AQ161" s="95"/>
      <c r="AR161" s="95"/>
      <c r="AS161" s="95"/>
      <c r="AT161" s="95"/>
      <c r="AU161" s="95"/>
      <c r="AW161" s="132"/>
      <c r="AY161" s="95"/>
      <c r="BL161" s="123"/>
      <c r="BN161" s="132"/>
      <c r="BP161" s="95"/>
      <c r="BR161" s="140"/>
      <c r="BT161" s="123"/>
      <c r="BU161" s="95"/>
      <c r="BV161" s="95"/>
      <c r="BW161" s="95"/>
      <c r="BX161" s="95"/>
      <c r="BY161" s="95"/>
      <c r="BZ161" s="95"/>
      <c r="CD161" s="95"/>
      <c r="CH161" s="144"/>
    </row>
    <row r="162" customFormat="false" ht="12" hidden="false" customHeight="false" outlineLevel="0" collapsed="false">
      <c r="AN162" s="95"/>
      <c r="AO162" s="95"/>
      <c r="AP162" s="95"/>
      <c r="AQ162" s="95"/>
      <c r="AR162" s="95"/>
      <c r="AS162" s="95"/>
      <c r="AT162" s="95"/>
      <c r="AU162" s="95"/>
      <c r="AW162" s="132"/>
      <c r="AY162" s="95"/>
      <c r="BL162" s="123"/>
      <c r="BN162" s="132"/>
      <c r="BP162" s="95"/>
      <c r="BR162" s="143"/>
      <c r="BT162" s="95"/>
      <c r="BV162" s="123"/>
      <c r="BW162" s="141"/>
      <c r="BX162" s="141"/>
      <c r="BZ162" s="123"/>
      <c r="CB162" s="95"/>
      <c r="CH162" s="144"/>
    </row>
    <row r="163" customFormat="false" ht="12" hidden="false" customHeight="false" outlineLevel="0" collapsed="false">
      <c r="AN163" s="95"/>
      <c r="AO163" s="95"/>
      <c r="AP163" s="95"/>
      <c r="AQ163" s="95"/>
      <c r="AR163" s="95"/>
      <c r="AS163" s="95"/>
      <c r="AT163" s="95"/>
      <c r="AU163" s="95"/>
      <c r="AW163" s="132"/>
      <c r="AY163" s="95"/>
      <c r="BD163" s="145"/>
      <c r="BL163" s="123"/>
      <c r="BN163" s="132"/>
      <c r="BO163" s="141"/>
      <c r="BR163" s="140"/>
      <c r="BU163" s="95"/>
      <c r="BV163" s="95"/>
      <c r="BY163" s="95"/>
      <c r="BZ163" s="95"/>
      <c r="CB163" s="95"/>
      <c r="CD163" s="95"/>
      <c r="CH163" s="144"/>
    </row>
    <row r="164" customFormat="false" ht="12" hidden="false" customHeight="false" outlineLevel="0" collapsed="false">
      <c r="AN164" s="95"/>
      <c r="AO164" s="95"/>
      <c r="AP164" s="95"/>
      <c r="AQ164" s="95"/>
      <c r="AR164" s="95"/>
      <c r="AS164" s="95"/>
      <c r="AT164" s="95"/>
      <c r="AU164" s="95"/>
      <c r="AW164" s="132"/>
      <c r="AY164" s="95"/>
      <c r="BD164" s="145"/>
      <c r="BL164" s="123"/>
      <c r="BT164" s="123"/>
      <c r="BU164" s="95"/>
      <c r="BV164" s="95"/>
      <c r="BW164" s="123"/>
      <c r="BX164" s="123"/>
      <c r="BY164" s="95"/>
      <c r="BZ164" s="95"/>
      <c r="CB164" s="95"/>
      <c r="CD164" s="95"/>
      <c r="CH164" s="146"/>
    </row>
    <row r="165" customFormat="false" ht="12" hidden="false" customHeight="false" outlineLevel="0" collapsed="false">
      <c r="BD165" s="145"/>
      <c r="BR165" s="141"/>
    </row>
    <row r="166" customFormat="false" ht="12" hidden="false" customHeight="false" outlineLevel="0" collapsed="false">
      <c r="AS166" s="123"/>
      <c r="BD166" s="145"/>
      <c r="BK166" s="100"/>
      <c r="BP166" s="141"/>
    </row>
    <row r="167" customFormat="false" ht="12" hidden="false" customHeight="false" outlineLevel="0" collapsed="false">
      <c r="BD167" s="145"/>
      <c r="BW167" s="142"/>
      <c r="BX167" s="142"/>
      <c r="CC167" s="123"/>
    </row>
    <row r="168" customFormat="false" ht="12" hidden="false" customHeight="false" outlineLevel="0" collapsed="false">
      <c r="AM168" s="100"/>
      <c r="AZ168" s="137"/>
      <c r="BA168" s="137"/>
      <c r="BB168" s="137"/>
      <c r="BC168" s="137"/>
      <c r="BD168" s="145"/>
      <c r="BK168" s="142"/>
      <c r="BL168" s="142"/>
      <c r="BN168" s="141"/>
      <c r="BT168" s="100"/>
      <c r="CA168" s="142"/>
      <c r="CB168" s="142"/>
      <c r="CC168" s="141"/>
    </row>
    <row r="169" customFormat="false" ht="12" hidden="false" customHeight="false" outlineLevel="0" collapsed="false">
      <c r="AZ169" s="137"/>
      <c r="BA169" s="137"/>
      <c r="BB169" s="137"/>
      <c r="BC169" s="137"/>
      <c r="BD169" s="137"/>
      <c r="BE169" s="137"/>
    </row>
    <row r="170" customFormat="false" ht="12" hidden="false" customHeight="false" outlineLevel="0" collapsed="false">
      <c r="AN170" s="95"/>
      <c r="AO170" s="95"/>
      <c r="AP170" s="95"/>
      <c r="AQ170" s="95"/>
      <c r="AR170" s="95"/>
      <c r="AS170" s="95"/>
      <c r="AT170" s="95"/>
      <c r="AU170" s="95"/>
      <c r="AW170" s="95"/>
      <c r="AY170" s="132"/>
      <c r="AZ170" s="137"/>
      <c r="BA170" s="147"/>
      <c r="BB170" s="137"/>
      <c r="BC170" s="137"/>
      <c r="BD170" s="145"/>
      <c r="BE170" s="137"/>
      <c r="BQ170" s="142"/>
    </row>
    <row r="171" customFormat="false" ht="12" hidden="false" customHeight="false" outlineLevel="0" collapsed="false">
      <c r="AN171" s="95"/>
      <c r="AO171" s="95"/>
      <c r="AP171" s="95"/>
      <c r="AQ171" s="95"/>
      <c r="AR171" s="95"/>
      <c r="AS171" s="95"/>
      <c r="AT171" s="95"/>
      <c r="AU171" s="95"/>
      <c r="AW171" s="95"/>
      <c r="AY171" s="132"/>
      <c r="AZ171" s="137"/>
      <c r="BA171" s="147"/>
      <c r="BB171" s="137"/>
      <c r="BC171" s="137"/>
      <c r="BD171" s="145"/>
      <c r="BE171" s="137"/>
      <c r="BK171" s="100"/>
      <c r="BT171" s="100"/>
      <c r="BY171" s="100"/>
    </row>
    <row r="172" customFormat="false" ht="12" hidden="false" customHeight="false" outlineLevel="0" collapsed="false">
      <c r="AN172" s="95"/>
      <c r="AO172" s="95"/>
      <c r="AP172" s="95"/>
      <c r="AQ172" s="95"/>
      <c r="AR172" s="95"/>
      <c r="AS172" s="95"/>
      <c r="AT172" s="95"/>
      <c r="AU172" s="95"/>
      <c r="AW172" s="95"/>
      <c r="AY172" s="132"/>
      <c r="AZ172" s="137"/>
      <c r="BA172" s="147"/>
      <c r="BB172" s="148"/>
      <c r="BC172" s="137"/>
      <c r="BD172" s="149"/>
      <c r="BE172" s="137"/>
      <c r="BP172" s="150"/>
      <c r="BQ172" s="151"/>
      <c r="BR172" s="152"/>
      <c r="BT172" s="132"/>
      <c r="BU172" s="153"/>
      <c r="BV172" s="100"/>
      <c r="BY172" s="132"/>
      <c r="BZ172" s="151"/>
      <c r="CA172" s="100"/>
    </row>
    <row r="173" customFormat="false" ht="12" hidden="false" customHeight="false" outlineLevel="0" collapsed="false">
      <c r="AN173" s="95"/>
      <c r="AO173" s="95"/>
      <c r="AP173" s="95"/>
      <c r="AQ173" s="95"/>
      <c r="AR173" s="95"/>
      <c r="AS173" s="95"/>
      <c r="AT173" s="95"/>
      <c r="AU173" s="95"/>
      <c r="AW173" s="95"/>
      <c r="AY173" s="132"/>
      <c r="BA173" s="147"/>
      <c r="BB173" s="148"/>
      <c r="BC173" s="137"/>
      <c r="BD173" s="145"/>
      <c r="BE173" s="137"/>
      <c r="BP173" s="150"/>
      <c r="BQ173" s="151"/>
      <c r="BR173" s="152"/>
      <c r="BT173" s="132"/>
      <c r="BU173" s="153"/>
      <c r="BV173" s="100"/>
      <c r="BY173" s="132"/>
      <c r="BZ173" s="151"/>
      <c r="CA173" s="100"/>
    </row>
    <row r="174" customFormat="false" ht="12" hidden="false" customHeight="false" outlineLevel="0" collapsed="false">
      <c r="AN174" s="95"/>
      <c r="AO174" s="95"/>
      <c r="AP174" s="95"/>
      <c r="AQ174" s="95"/>
      <c r="AR174" s="95"/>
      <c r="AS174" s="95"/>
      <c r="AT174" s="95"/>
      <c r="AU174" s="95"/>
      <c r="AW174" s="95"/>
      <c r="AY174" s="132"/>
      <c r="AZ174" s="137"/>
      <c r="BA174" s="147"/>
      <c r="BB174" s="137"/>
      <c r="BC174" s="137"/>
      <c r="BD174" s="145"/>
      <c r="BE174" s="137"/>
      <c r="BP174" s="150"/>
      <c r="BQ174" s="151"/>
      <c r="BR174" s="152"/>
      <c r="BT174" s="132"/>
      <c r="BU174" s="153"/>
      <c r="BV174" s="100"/>
      <c r="BW174" s="134"/>
      <c r="BX174" s="134"/>
      <c r="BY174" s="132"/>
      <c r="BZ174" s="151"/>
      <c r="CA174" s="100"/>
    </row>
    <row r="175" customFormat="false" ht="12" hidden="false" customHeight="false" outlineLevel="0" collapsed="false">
      <c r="AN175" s="95"/>
      <c r="AO175" s="95"/>
      <c r="AP175" s="95"/>
      <c r="AQ175" s="95"/>
      <c r="AR175" s="95"/>
      <c r="AS175" s="95"/>
      <c r="AT175" s="95"/>
      <c r="AU175" s="95"/>
      <c r="AW175" s="95"/>
      <c r="AY175" s="132"/>
      <c r="AZ175" s="137"/>
      <c r="BA175" s="147"/>
      <c r="BB175" s="137"/>
      <c r="BC175" s="137"/>
      <c r="BD175" s="145"/>
      <c r="BE175" s="137"/>
      <c r="BL175" s="154"/>
      <c r="BM175" s="155"/>
      <c r="BN175" s="155"/>
      <c r="BP175" s="150"/>
      <c r="BQ175" s="151"/>
      <c r="BT175" s="132"/>
      <c r="BU175" s="153"/>
      <c r="BV175" s="100"/>
      <c r="BW175" s="134"/>
      <c r="BX175" s="134"/>
      <c r="BY175" s="132"/>
      <c r="BZ175" s="151"/>
      <c r="CA175" s="100"/>
    </row>
    <row r="176" customFormat="false" ht="12" hidden="false" customHeight="false" outlineLevel="0" collapsed="false">
      <c r="AN176" s="95"/>
      <c r="AO176" s="95"/>
      <c r="AP176" s="95"/>
      <c r="AQ176" s="95"/>
      <c r="AR176" s="95"/>
      <c r="AS176" s="95"/>
      <c r="AT176" s="95"/>
      <c r="AU176" s="95"/>
      <c r="AW176" s="95"/>
      <c r="AY176" s="132"/>
      <c r="AZ176" s="137"/>
      <c r="BA176" s="147"/>
      <c r="BB176" s="148"/>
      <c r="BC176" s="137"/>
      <c r="BD176" s="145"/>
      <c r="BE176" s="137"/>
      <c r="BP176" s="150"/>
      <c r="BQ176" s="145"/>
      <c r="BT176" s="132"/>
      <c r="BU176" s="153"/>
      <c r="BV176" s="100"/>
      <c r="BY176" s="132"/>
      <c r="BZ176" s="151"/>
      <c r="CA176" s="100"/>
    </row>
    <row r="177" customFormat="false" ht="12" hidden="false" customHeight="false" outlineLevel="0" collapsed="false">
      <c r="AN177" s="95"/>
      <c r="AO177" s="95"/>
      <c r="AP177" s="95"/>
      <c r="AQ177" s="95"/>
      <c r="AR177" s="95"/>
      <c r="AS177" s="95"/>
      <c r="AT177" s="95"/>
      <c r="AU177" s="95"/>
      <c r="AW177" s="95"/>
      <c r="AY177" s="132"/>
      <c r="AZ177" s="137"/>
      <c r="BA177" s="147"/>
      <c r="BB177" s="148"/>
      <c r="BC177" s="137"/>
      <c r="BD177" s="145"/>
      <c r="BE177" s="137"/>
      <c r="BP177" s="150"/>
      <c r="BQ177" s="145"/>
      <c r="BT177" s="132"/>
      <c r="BU177" s="153"/>
      <c r="BV177" s="100"/>
      <c r="BY177" s="132"/>
      <c r="BZ177" s="151"/>
      <c r="CA177" s="100"/>
      <c r="CF177" s="100"/>
    </row>
    <row r="178" customFormat="false" ht="12" hidden="false" customHeight="false" outlineLevel="0" collapsed="false">
      <c r="BB178" s="137"/>
      <c r="BC178" s="137"/>
      <c r="BD178" s="137"/>
      <c r="BE178" s="137"/>
      <c r="BW178" s="134"/>
      <c r="BX178" s="134"/>
      <c r="BY178" s="132"/>
      <c r="BZ178" s="151"/>
      <c r="CA178" s="100"/>
    </row>
    <row r="179" customFormat="false" ht="12" hidden="false" customHeight="false" outlineLevel="0" collapsed="false">
      <c r="AZ179" s="137"/>
      <c r="BA179" s="137"/>
      <c r="BB179" s="105"/>
      <c r="BC179" s="137"/>
      <c r="BD179" s="137"/>
      <c r="BE179" s="137"/>
      <c r="BF179" s="137"/>
      <c r="BW179" s="134"/>
      <c r="BX179" s="134"/>
      <c r="BY179" s="132"/>
      <c r="BZ179" s="151"/>
      <c r="CA179" s="100"/>
    </row>
    <row r="180" customFormat="false" ht="12" hidden="false" customHeight="false" outlineLevel="0" collapsed="false">
      <c r="AZ180" s="137"/>
      <c r="BA180" s="137"/>
      <c r="BB180" s="137"/>
      <c r="BC180" s="137"/>
      <c r="BD180" s="137"/>
      <c r="BE180" s="137"/>
      <c r="BF180" s="137"/>
    </row>
    <row r="181" customFormat="false" ht="12" hidden="false" customHeight="false" outlineLevel="0" collapsed="false">
      <c r="AM181" s="100"/>
      <c r="AZ181" s="137"/>
      <c r="BA181" s="137"/>
      <c r="BB181" s="137"/>
      <c r="BC181" s="137"/>
      <c r="BD181" s="137"/>
      <c r="BE181" s="137"/>
      <c r="BF181" s="137"/>
    </row>
    <row r="182" customFormat="false" ht="12" hidden="false" customHeight="false" outlineLevel="0" collapsed="false">
      <c r="AW182" s="95"/>
      <c r="AZ182" s="137"/>
      <c r="BA182" s="137"/>
      <c r="BB182" s="137"/>
      <c r="BC182" s="137"/>
      <c r="BD182" s="137"/>
      <c r="BE182" s="137"/>
      <c r="BF182" s="137"/>
      <c r="BK182" s="100"/>
      <c r="BP182" s="100"/>
      <c r="BT182" s="100"/>
      <c r="BY182" s="100"/>
      <c r="CD182" s="100"/>
      <c r="CI182" s="100"/>
      <c r="CM182" s="100"/>
    </row>
    <row r="183" customFormat="false" ht="12" hidden="false" customHeight="false" outlineLevel="0" collapsed="false">
      <c r="AN183" s="95"/>
      <c r="AO183" s="95"/>
      <c r="AP183" s="95"/>
      <c r="AQ183" s="95"/>
      <c r="AR183" s="123"/>
      <c r="AS183" s="123"/>
      <c r="AT183" s="123"/>
      <c r="AU183" s="123"/>
      <c r="AW183" s="95"/>
      <c r="AY183" s="95"/>
      <c r="AZ183" s="137"/>
      <c r="BA183" s="134"/>
      <c r="BB183" s="137"/>
      <c r="BC183" s="146"/>
      <c r="BD183" s="146"/>
      <c r="BE183" s="137"/>
      <c r="BF183" s="131"/>
      <c r="BK183" s="134"/>
      <c r="BL183" s="145"/>
      <c r="BM183" s="100"/>
      <c r="BQ183" s="145"/>
      <c r="BR183" s="100"/>
      <c r="BU183" s="145"/>
      <c r="BV183" s="100"/>
      <c r="BZ183" s="145"/>
      <c r="CA183" s="100"/>
      <c r="CE183" s="145"/>
      <c r="CF183" s="100"/>
      <c r="CJ183" s="145"/>
      <c r="CK183" s="100"/>
      <c r="CN183" s="145"/>
      <c r="CO183" s="100"/>
    </row>
    <row r="184" customFormat="false" ht="12" hidden="false" customHeight="false" outlineLevel="0" collapsed="false">
      <c r="AN184" s="95"/>
      <c r="AO184" s="95"/>
      <c r="AP184" s="95"/>
      <c r="AQ184" s="95"/>
      <c r="AR184" s="123"/>
      <c r="AS184" s="123"/>
      <c r="AT184" s="123"/>
      <c r="AU184" s="123"/>
      <c r="AW184" s="95"/>
      <c r="AY184" s="95"/>
      <c r="AZ184" s="137"/>
      <c r="BA184" s="134"/>
      <c r="BB184" s="137"/>
      <c r="BC184" s="146"/>
      <c r="BD184" s="146"/>
      <c r="BE184" s="137"/>
      <c r="BF184" s="131"/>
      <c r="BK184" s="134"/>
      <c r="BL184" s="145"/>
      <c r="BM184" s="100"/>
      <c r="BQ184" s="145"/>
      <c r="BR184" s="100"/>
      <c r="BU184" s="145"/>
      <c r="BV184" s="100"/>
      <c r="BZ184" s="145"/>
      <c r="CA184" s="100"/>
      <c r="CE184" s="145"/>
      <c r="CF184" s="100"/>
      <c r="CJ184" s="145"/>
      <c r="CK184" s="100"/>
      <c r="CN184" s="145"/>
      <c r="CO184" s="100"/>
    </row>
    <row r="185" customFormat="false" ht="12" hidden="false" customHeight="false" outlineLevel="0" collapsed="false">
      <c r="AN185" s="95"/>
      <c r="AO185" s="95"/>
      <c r="AP185" s="95"/>
      <c r="AQ185" s="95"/>
      <c r="AR185" s="123"/>
      <c r="AS185" s="123"/>
      <c r="AT185" s="123"/>
      <c r="AU185" s="123"/>
      <c r="AW185" s="95"/>
      <c r="AY185" s="95"/>
      <c r="AZ185" s="137"/>
      <c r="BA185" s="134"/>
      <c r="BB185" s="137"/>
      <c r="BC185" s="146"/>
      <c r="BD185" s="146"/>
      <c r="BE185" s="137"/>
      <c r="BF185" s="131"/>
      <c r="BK185" s="134"/>
      <c r="BL185" s="145"/>
      <c r="BM185" s="100"/>
      <c r="BQ185" s="145"/>
      <c r="BR185" s="100"/>
      <c r="BU185" s="145"/>
      <c r="BV185" s="100"/>
      <c r="BZ185" s="145"/>
      <c r="CA185" s="100"/>
      <c r="CE185" s="145"/>
      <c r="CF185" s="100"/>
      <c r="CJ185" s="145"/>
      <c r="CK185" s="100"/>
      <c r="CN185" s="145"/>
      <c r="CO185" s="100"/>
    </row>
    <row r="186" customFormat="false" ht="12" hidden="false" customHeight="false" outlineLevel="0" collapsed="false">
      <c r="AR186" s="95"/>
      <c r="AS186" s="95"/>
      <c r="AT186" s="95"/>
      <c r="AU186" s="95"/>
      <c r="AW186" s="95"/>
      <c r="AY186" s="95"/>
      <c r="AZ186" s="137"/>
      <c r="BA186" s="134"/>
      <c r="BB186" s="137"/>
      <c r="BC186" s="146"/>
      <c r="BD186" s="146"/>
      <c r="BE186" s="137"/>
      <c r="BF186" s="131"/>
      <c r="BK186" s="134"/>
      <c r="BL186" s="145"/>
      <c r="BM186" s="100"/>
      <c r="BQ186" s="145"/>
      <c r="BR186" s="100"/>
      <c r="BU186" s="145"/>
      <c r="BV186" s="100"/>
      <c r="BZ186" s="145"/>
      <c r="CA186" s="100"/>
      <c r="CE186" s="145"/>
      <c r="CF186" s="100"/>
      <c r="CJ186" s="145"/>
      <c r="CK186" s="100"/>
      <c r="CN186" s="145"/>
      <c r="CO186" s="100"/>
    </row>
    <row r="187" customFormat="false" ht="12" hidden="false" customHeight="false" outlineLevel="0" collapsed="false">
      <c r="AR187" s="95"/>
      <c r="AS187" s="95"/>
      <c r="AT187" s="95"/>
      <c r="AU187" s="95"/>
      <c r="AW187" s="95"/>
      <c r="AY187" s="95"/>
      <c r="AZ187" s="137"/>
      <c r="BA187" s="134"/>
      <c r="BB187" s="137"/>
      <c r="BC187" s="146"/>
      <c r="BD187" s="146"/>
      <c r="BE187" s="137"/>
      <c r="BF187" s="131"/>
      <c r="BK187" s="134"/>
      <c r="BL187" s="145"/>
      <c r="BM187" s="100"/>
      <c r="BQ187" s="145"/>
      <c r="BR187" s="100"/>
      <c r="BU187" s="145"/>
      <c r="BV187" s="100"/>
      <c r="BZ187" s="145"/>
      <c r="CA187" s="100"/>
      <c r="CE187" s="145"/>
      <c r="CF187" s="100"/>
      <c r="CJ187" s="145"/>
      <c r="CK187" s="100"/>
      <c r="CN187" s="145"/>
      <c r="CO187" s="100"/>
    </row>
    <row r="188" customFormat="false" ht="12" hidden="false" customHeight="false" outlineLevel="0" collapsed="false">
      <c r="AR188" s="95"/>
      <c r="AS188" s="95"/>
      <c r="AT188" s="95"/>
      <c r="AU188" s="95"/>
      <c r="AW188" s="95"/>
      <c r="AY188" s="95"/>
      <c r="AZ188" s="137"/>
      <c r="BA188" s="134"/>
      <c r="BB188" s="137"/>
      <c r="BC188" s="146"/>
      <c r="BD188" s="146"/>
      <c r="BE188" s="137"/>
      <c r="BF188" s="131"/>
      <c r="BK188" s="134"/>
      <c r="BL188" s="145"/>
      <c r="BM188" s="100"/>
      <c r="BQ188" s="145"/>
      <c r="BR188" s="100"/>
      <c r="BU188" s="145"/>
      <c r="BV188" s="100"/>
      <c r="BZ188" s="145"/>
      <c r="CA188" s="100"/>
      <c r="CE188" s="145"/>
      <c r="CF188" s="100"/>
      <c r="CJ188" s="145"/>
      <c r="CK188" s="100"/>
      <c r="CN188" s="145"/>
      <c r="CO188" s="100"/>
    </row>
    <row r="189" customFormat="false" ht="12" hidden="false" customHeight="false" outlineLevel="0" collapsed="false">
      <c r="AW189" s="95"/>
      <c r="AZ189" s="137"/>
      <c r="BA189" s="137"/>
      <c r="BB189" s="137"/>
      <c r="BC189" s="137"/>
      <c r="BD189" s="137"/>
      <c r="BE189" s="137"/>
      <c r="BF189" s="137"/>
      <c r="BT189" s="145"/>
    </row>
    <row r="190" customFormat="false" ht="12" hidden="false" customHeight="false" outlineLevel="0" collapsed="false">
      <c r="AW190" s="95"/>
      <c r="BE190" s="137"/>
      <c r="BF190" s="137"/>
    </row>
    <row r="191" customFormat="false" ht="12" hidden="false" customHeight="false" outlineLevel="0" collapsed="false">
      <c r="AW191" s="95"/>
      <c r="AZ191" s="137"/>
      <c r="BA191" s="137"/>
      <c r="BB191" s="137"/>
      <c r="BC191" s="137"/>
      <c r="BD191" s="137"/>
      <c r="BE191" s="137"/>
      <c r="BF191" s="137"/>
      <c r="BK191" s="100"/>
      <c r="BR191" s="156"/>
    </row>
    <row r="192" customFormat="false" ht="12" hidden="false" customHeight="false" outlineLevel="0" collapsed="false">
      <c r="AW192" s="95"/>
      <c r="BL192" s="151"/>
      <c r="BM192" s="100"/>
    </row>
    <row r="193" customFormat="false" ht="12" hidden="false" customHeight="false" outlineLevel="0" collapsed="false">
      <c r="BL193" s="151"/>
      <c r="BM193" s="100"/>
    </row>
    <row r="196" customFormat="false" ht="12" hidden="false" customHeight="false" outlineLevel="0" collapsed="false">
      <c r="BL196" s="151"/>
      <c r="BM196" s="100"/>
    </row>
    <row r="197" customFormat="false" ht="12" hidden="false" customHeight="false" outlineLevel="0" collapsed="false">
      <c r="BL197" s="151"/>
      <c r="BM197" s="100"/>
    </row>
    <row r="198" customFormat="false" ht="12" hidden="false" customHeight="false" outlineLevel="0" collapsed="false">
      <c r="BL198" s="151"/>
      <c r="BM198" s="100"/>
    </row>
    <row r="199" customFormat="false" ht="12" hidden="false" customHeight="false" outlineLevel="0" collapsed="false">
      <c r="BL199" s="151"/>
      <c r="BM199" s="100"/>
    </row>
    <row r="201" customFormat="false" ht="12" hidden="false" customHeight="false" outlineLevel="0" collapsed="false">
      <c r="BL201" s="151"/>
      <c r="BM201" s="100"/>
    </row>
    <row r="204" customFormat="false" ht="12" hidden="false" customHeight="false" outlineLevel="0" collapsed="false">
      <c r="BL204" s="151"/>
      <c r="BM204" s="100"/>
    </row>
    <row r="205" customFormat="false" ht="12" hidden="false" customHeight="false" outlineLevel="0" collapsed="false">
      <c r="BL205" s="151"/>
      <c r="BM205" s="100"/>
    </row>
    <row r="206" customFormat="false" ht="12" hidden="false" customHeight="false" outlineLevel="0" collapsed="false">
      <c r="BL206" s="151"/>
      <c r="BM206" s="100"/>
    </row>
    <row r="207" customFormat="false" ht="12" hidden="false" customHeight="false" outlineLevel="0" collapsed="false">
      <c r="BL207" s="151"/>
      <c r="BM207" s="100"/>
    </row>
    <row r="209" customFormat="false" ht="12" hidden="false" customHeight="false" outlineLevel="0" collapsed="false">
      <c r="BL209" s="151"/>
      <c r="BM209" s="100"/>
    </row>
    <row r="212" customFormat="false" ht="12" hidden="false" customHeight="false" outlineLevel="0" collapsed="false">
      <c r="BL212" s="151"/>
      <c r="BM212" s="100"/>
    </row>
    <row r="213" customFormat="false" ht="12" hidden="false" customHeight="false" outlineLevel="0" collapsed="false">
      <c r="BL213" s="151"/>
      <c r="BM213" s="100"/>
    </row>
    <row r="214" customFormat="false" ht="12" hidden="false" customHeight="false" outlineLevel="0" collapsed="false">
      <c r="BL214" s="151"/>
      <c r="BM214" s="100"/>
    </row>
    <row r="215" customFormat="false" ht="12" hidden="false" customHeight="false" outlineLevel="0" collapsed="false">
      <c r="BL215" s="151"/>
      <c r="BM215" s="100"/>
    </row>
    <row r="225" customFormat="false" ht="12" hidden="false" customHeight="false" outlineLevel="0" collapsed="false">
      <c r="BF225" s="137"/>
    </row>
    <row r="226" customFormat="false" ht="12" hidden="false" customHeight="false" outlineLevel="0" collapsed="false">
      <c r="BF226" s="137"/>
    </row>
    <row r="227" customFormat="false" ht="12" hidden="false" customHeight="false" outlineLevel="0" collapsed="false">
      <c r="BF227" s="137"/>
    </row>
    <row r="228" customFormat="false" ht="12" hidden="false" customHeight="false" outlineLevel="0" collapsed="false">
      <c r="BF228" s="137"/>
    </row>
    <row r="229" customFormat="false" ht="12" hidden="false" customHeight="false" outlineLevel="0" collapsed="false">
      <c r="BF229" s="137"/>
    </row>
    <row r="230" customFormat="false" ht="12" hidden="false" customHeight="false" outlineLevel="0" collapsed="false">
      <c r="BF230" s="137"/>
    </row>
    <row r="231" customFormat="false" ht="12" hidden="false" customHeight="false" outlineLevel="0" collapsed="false">
      <c r="BF231" s="137"/>
    </row>
    <row r="232" customFormat="false" ht="12" hidden="false" customHeight="false" outlineLevel="0" collapsed="false">
      <c r="BF232" s="137"/>
    </row>
    <row r="233" customFormat="false" ht="12" hidden="false" customHeight="false" outlineLevel="0" collapsed="false">
      <c r="BF233" s="137"/>
    </row>
  </sheetData>
  <conditionalFormatting sqref="AK66:AV73 AK6:AX60 AK90:AX103 BB46:BB59">
    <cfRule type="expression" priority="2" aboveAverage="0" equalAverage="0" bottom="0" percent="0" rank="0" text="" dxfId="4">
      <formula>ABS(AK6)&lt;0.1</formula>
    </cfRule>
  </conditionalFormatting>
  <conditionalFormatting sqref="BR172:BR174">
    <cfRule type="cellIs" priority="3" operator="equal" aboveAverage="0" equalAverage="0" bottom="0" percent="0" rank="0" text="" dxfId="5">
      <formula>"VIRHE!"</formula>
    </cfRule>
    <cfRule type="cellIs" priority="4" operator="equal" aboveAverage="0" equalAverage="0" bottom="0" percent="0" rank="0" text="" dxfId="6">
      <formula>"OK!"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W233"/>
  <sheetViews>
    <sheetView showFormulas="false" showGridLines="true" showRowColHeaders="true" showZeros="true" rightToLeft="false" tabSelected="false" showOutlineSymbols="true" defaultGridColor="true" view="normal" topLeftCell="AB9" colorId="64" zoomScale="100" zoomScaleNormal="100" zoomScalePageLayoutView="100" workbookViewId="0">
      <selection pane="topLeft" activeCell="AT45" activeCellId="0" sqref="AT45"/>
    </sheetView>
  </sheetViews>
  <sheetFormatPr defaultColWidth="9.140625" defaultRowHeight="12" customHeight="false" zeroHeight="false" outlineLevelRow="0" outlineLevelCol="0"/>
  <cols>
    <col collapsed="false" customWidth="false" hidden="false" outlineLevel="0" max="35" min="1" style="34" width="9.14"/>
    <col collapsed="false" customWidth="true" hidden="false" outlineLevel="0" max="36" min="36" style="34" width="10.72"/>
    <col collapsed="false" customWidth="true" hidden="false" outlineLevel="0" max="37" min="37" style="34" width="12.28"/>
    <col collapsed="false" customWidth="true" hidden="false" outlineLevel="0" max="40" min="38" style="34" width="13.13"/>
    <col collapsed="false" customWidth="true" hidden="false" outlineLevel="0" max="41" min="41" style="34" width="13.28"/>
    <col collapsed="false" customWidth="true" hidden="false" outlineLevel="0" max="44" min="42" style="34" width="13.13"/>
    <col collapsed="false" customWidth="true" hidden="false" outlineLevel="0" max="45" min="45" style="34" width="12.28"/>
    <col collapsed="false" customWidth="true" hidden="false" outlineLevel="0" max="46" min="46" style="34" width="12.57"/>
    <col collapsed="false" customWidth="true" hidden="false" outlineLevel="0" max="47" min="47" style="34" width="13.13"/>
    <col collapsed="false" customWidth="true" hidden="false" outlineLevel="0" max="48" min="48" style="34" width="12.42"/>
    <col collapsed="false" customWidth="true" hidden="false" outlineLevel="0" max="49" min="49" style="34" width="11.57"/>
    <col collapsed="false" customWidth="true" hidden="false" outlineLevel="0" max="50" min="50" style="34" width="17.14"/>
    <col collapsed="false" customWidth="false" hidden="false" outlineLevel="0" max="53" min="51" style="34" width="9.14"/>
    <col collapsed="false" customWidth="true" hidden="false" outlineLevel="0" max="54" min="54" style="34" width="12.28"/>
    <col collapsed="false" customWidth="false" hidden="false" outlineLevel="0" max="57" min="55" style="34" width="9.14"/>
    <col collapsed="false" customWidth="true" hidden="false" outlineLevel="0" max="58" min="58" style="34" width="11.57"/>
    <col collapsed="false" customWidth="false" hidden="false" outlineLevel="0" max="16384" min="59" style="34" width="9.14"/>
  </cols>
  <sheetData>
    <row r="1" customFormat="false" ht="12" hidden="false" customHeight="false" outlineLevel="0" collapsed="false">
      <c r="A1" s="7"/>
      <c r="B1" s="7" t="s">
        <v>0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  <c r="BG1" s="7"/>
      <c r="BH1" s="7"/>
      <c r="BI1" s="7"/>
      <c r="BJ1" s="7"/>
      <c r="BK1" s="7"/>
      <c r="BL1" s="7"/>
      <c r="BM1" s="7"/>
      <c r="BN1" s="7"/>
    </row>
    <row r="2" customFormat="false" ht="12" hidden="false" customHeight="false" outlineLevel="0" collapsed="false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</row>
    <row r="3" customFormat="false" ht="12" hidden="false" customHeight="false" outlineLevel="0" collapsed="false">
      <c r="A3" s="7"/>
      <c r="B3" s="87" t="s">
        <v>1</v>
      </c>
      <c r="C3" s="7"/>
      <c r="D3" s="7"/>
      <c r="E3" s="3"/>
      <c r="F3" s="3"/>
      <c r="G3" s="7"/>
      <c r="H3" s="7"/>
      <c r="I3" s="7"/>
      <c r="J3" s="7"/>
      <c r="K3" s="7"/>
      <c r="L3" s="87" t="s">
        <v>2</v>
      </c>
      <c r="M3" s="7"/>
      <c r="N3" s="7"/>
      <c r="O3" s="3"/>
      <c r="P3" s="3"/>
      <c r="Q3" s="7"/>
      <c r="R3" s="7"/>
      <c r="S3" s="88"/>
      <c r="T3" s="7"/>
      <c r="U3" s="7"/>
      <c r="V3" s="87" t="s">
        <v>3</v>
      </c>
      <c r="W3" s="7"/>
      <c r="X3" s="3"/>
      <c r="Y3" s="3"/>
      <c r="Z3" s="7"/>
      <c r="AA3" s="7"/>
      <c r="AB3" s="7"/>
      <c r="AC3" s="7"/>
      <c r="AD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</row>
    <row r="4" customFormat="false" ht="12" hidden="false" customHeight="false" outlineLevel="0" collapsed="false">
      <c r="A4" s="7"/>
      <c r="B4" s="52" t="s">
        <v>4</v>
      </c>
      <c r="C4" s="7"/>
      <c r="D4" s="7"/>
      <c r="E4" s="89" t="n">
        <v>90</v>
      </c>
      <c r="F4" s="7" t="s">
        <v>5</v>
      </c>
      <c r="G4" s="7"/>
      <c r="H4" s="7"/>
      <c r="I4" s="7"/>
      <c r="J4" s="7"/>
      <c r="K4" s="7"/>
      <c r="L4" s="52" t="s">
        <v>4</v>
      </c>
      <c r="M4" s="7"/>
      <c r="N4" s="7"/>
      <c r="O4" s="90" t="n">
        <v>0</v>
      </c>
      <c r="P4" s="7" t="s">
        <v>5</v>
      </c>
      <c r="Q4" s="7"/>
      <c r="R4" s="7"/>
      <c r="S4" s="7"/>
      <c r="T4" s="7"/>
      <c r="U4" s="7"/>
      <c r="V4" s="52" t="s">
        <v>4</v>
      </c>
      <c r="W4" s="7"/>
      <c r="X4" s="7"/>
      <c r="Y4" s="90" t="n">
        <v>90</v>
      </c>
      <c r="Z4" s="7" t="s">
        <v>5</v>
      </c>
      <c r="AA4" s="7"/>
      <c r="AB4" s="7"/>
      <c r="AC4" s="7"/>
      <c r="AD4" s="7"/>
      <c r="AJ4" s="87" t="s">
        <v>6</v>
      </c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88"/>
      <c r="AZ4" s="87" t="s">
        <v>7</v>
      </c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</row>
    <row r="5" customFormat="false" ht="12" hidden="false" customHeight="false" outlineLevel="0" collapsed="false">
      <c r="A5" s="7"/>
      <c r="B5" s="7" t="s">
        <v>8</v>
      </c>
      <c r="C5" s="91" t="n">
        <f aca="false">COS(RADIANS(E4))</f>
        <v>6.12323399573677E-017</v>
      </c>
      <c r="D5" s="7" t="s">
        <v>9</v>
      </c>
      <c r="E5" s="90" t="n">
        <f aca="false">SIN(RADIANS(E4))</f>
        <v>1</v>
      </c>
      <c r="F5" s="7"/>
      <c r="G5" s="7"/>
      <c r="H5" s="7"/>
      <c r="I5" s="7"/>
      <c r="J5" s="7"/>
      <c r="K5" s="7"/>
      <c r="L5" s="52" t="s">
        <v>8</v>
      </c>
      <c r="M5" s="91" t="n">
        <f aca="false">IF(ROUND(COS(RADIANS(O4)),5)=0,0,COS(RADIANS(O4)))</f>
        <v>1</v>
      </c>
      <c r="N5" s="7" t="s">
        <v>9</v>
      </c>
      <c r="O5" s="90" t="n">
        <f aca="false">IF(ROUND(SIN(RADIANS(O4)),5)=0,0,SIN(RADIANS(O4)))</f>
        <v>0</v>
      </c>
      <c r="P5" s="7"/>
      <c r="Q5" s="7"/>
      <c r="R5" s="7"/>
      <c r="S5" s="7"/>
      <c r="T5" s="7"/>
      <c r="U5" s="7"/>
      <c r="V5" s="7" t="s">
        <v>8</v>
      </c>
      <c r="W5" s="91" t="n">
        <f aca="false">IF(ROUND(COS(RADIANS(Y4)),5)=0,0,COS(RADIANS(Y4)))</f>
        <v>0</v>
      </c>
      <c r="X5" s="7" t="s">
        <v>9</v>
      </c>
      <c r="Y5" s="90" t="n">
        <f aca="false">IF(ROUND(SIN(RADIANS(Y4)),5)=0,0,SIN(RADIANS(Y4)))</f>
        <v>1</v>
      </c>
      <c r="Z5" s="7"/>
      <c r="AA5" s="7"/>
      <c r="AB5" s="7"/>
      <c r="AC5" s="7"/>
      <c r="AD5" s="7"/>
      <c r="AJ5" s="11"/>
      <c r="AK5" s="11" t="n">
        <v>1</v>
      </c>
      <c r="AL5" s="11" t="n">
        <v>2</v>
      </c>
      <c r="AM5" s="11" t="n">
        <v>3</v>
      </c>
      <c r="AN5" s="11" t="n">
        <v>4</v>
      </c>
      <c r="AO5" s="11" t="n">
        <v>5</v>
      </c>
      <c r="AP5" s="11" t="n">
        <v>6</v>
      </c>
      <c r="AQ5" s="11" t="n">
        <v>7</v>
      </c>
      <c r="AR5" s="11" t="n">
        <v>8</v>
      </c>
      <c r="AS5" s="11" t="n">
        <v>9</v>
      </c>
      <c r="AT5" s="11" t="n">
        <v>10</v>
      </c>
      <c r="AU5" s="11" t="n">
        <v>11</v>
      </c>
      <c r="AV5" s="11" t="n">
        <v>12</v>
      </c>
      <c r="AW5" s="11" t="n">
        <v>13</v>
      </c>
      <c r="AX5" s="11" t="n">
        <v>14</v>
      </c>
      <c r="AY5" s="42"/>
      <c r="AZ5" s="11"/>
      <c r="BA5" s="11" t="n">
        <v>1</v>
      </c>
      <c r="BB5" s="11" t="n">
        <v>2</v>
      </c>
      <c r="BC5" s="11" t="n">
        <v>3</v>
      </c>
      <c r="BD5" s="11" t="n">
        <v>4</v>
      </c>
      <c r="BE5" s="11" t="n">
        <v>5</v>
      </c>
      <c r="BF5" s="11" t="n">
        <v>6</v>
      </c>
      <c r="BG5" s="11" t="n">
        <v>7</v>
      </c>
      <c r="BH5" s="11" t="n">
        <v>8</v>
      </c>
      <c r="BI5" s="11" t="n">
        <v>9</v>
      </c>
      <c r="BJ5" s="11" t="n">
        <v>10</v>
      </c>
      <c r="BK5" s="11" t="n">
        <v>11</v>
      </c>
      <c r="BL5" s="11" t="n">
        <v>12</v>
      </c>
      <c r="BM5" s="11" t="n">
        <v>13</v>
      </c>
      <c r="BN5" s="11" t="n">
        <v>14</v>
      </c>
    </row>
    <row r="6" customFormat="false" ht="12" hidden="false" customHeight="false" outlineLevel="0" collapsed="false">
      <c r="A6" s="7"/>
      <c r="B6" s="52" t="s">
        <v>11</v>
      </c>
      <c r="C6" s="7"/>
      <c r="D6" s="7"/>
      <c r="E6" s="90" t="n">
        <v>4000</v>
      </c>
      <c r="F6" s="7" t="s">
        <v>12</v>
      </c>
      <c r="G6" s="7"/>
      <c r="H6" s="7"/>
      <c r="I6" s="7"/>
      <c r="J6" s="7"/>
      <c r="K6" s="7"/>
      <c r="L6" s="52" t="s">
        <v>11</v>
      </c>
      <c r="M6" s="7"/>
      <c r="N6" s="7"/>
      <c r="O6" s="90" t="n">
        <v>6000</v>
      </c>
      <c r="P6" s="7" t="s">
        <v>12</v>
      </c>
      <c r="Q6" s="7"/>
      <c r="R6" s="7"/>
      <c r="S6" s="7"/>
      <c r="T6" s="7"/>
      <c r="U6" s="7"/>
      <c r="V6" s="52" t="s">
        <v>11</v>
      </c>
      <c r="W6" s="7"/>
      <c r="X6" s="7"/>
      <c r="Y6" s="90" t="n">
        <v>4000</v>
      </c>
      <c r="Z6" s="7" t="s">
        <v>12</v>
      </c>
      <c r="AA6" s="7"/>
      <c r="AB6" s="7"/>
      <c r="AC6" s="7"/>
      <c r="AD6" s="7"/>
      <c r="AJ6" s="11" t="n">
        <v>1</v>
      </c>
      <c r="AK6" s="12" t="n">
        <f aca="false">B20</f>
        <v>328.125</v>
      </c>
      <c r="AL6" s="12" t="n">
        <f aca="false">C20</f>
        <v>3.21268866160695E-011</v>
      </c>
      <c r="AM6" s="12" t="n">
        <f aca="false">D20</f>
        <v>-656250</v>
      </c>
      <c r="AN6" s="12" t="n">
        <f aca="false">E20</f>
        <v>-328.125</v>
      </c>
      <c r="AO6" s="12" t="n">
        <f aca="false">F20</f>
        <v>-3.21268866160695E-011</v>
      </c>
      <c r="AP6" s="7"/>
      <c r="AQ6" s="7"/>
      <c r="AR6" s="7"/>
      <c r="AS6" s="7"/>
      <c r="AT6" s="7"/>
      <c r="AU6" s="7"/>
      <c r="AV6" s="7"/>
      <c r="AW6" s="12" t="n">
        <f aca="false">G20</f>
        <v>-656250</v>
      </c>
      <c r="AX6" s="92"/>
      <c r="AY6" s="21" t="n">
        <f aca="false">I20</f>
        <v>20000</v>
      </c>
      <c r="AZ6" s="11" t="n">
        <v>1</v>
      </c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92"/>
    </row>
    <row r="7" customFormat="false" ht="12" hidden="false" customHeight="false" outlineLevel="0" collapsed="false">
      <c r="A7" s="7"/>
      <c r="B7" s="52" t="s">
        <v>13</v>
      </c>
      <c r="C7" s="7"/>
      <c r="D7" s="7"/>
      <c r="E7" s="93" t="n">
        <f aca="false">100*100</f>
        <v>10000</v>
      </c>
      <c r="F7" s="7" t="s">
        <v>14</v>
      </c>
      <c r="G7" s="7"/>
      <c r="H7" s="7"/>
      <c r="I7" s="7"/>
      <c r="J7" s="7"/>
      <c r="K7" s="7"/>
      <c r="L7" s="52" t="s">
        <v>13</v>
      </c>
      <c r="M7" s="7"/>
      <c r="N7" s="7"/>
      <c r="O7" s="93" t="n">
        <f aca="false">100*200</f>
        <v>20000</v>
      </c>
      <c r="P7" s="7" t="s">
        <v>14</v>
      </c>
      <c r="Q7" s="7"/>
      <c r="R7" s="7"/>
      <c r="S7" s="7"/>
      <c r="T7" s="7"/>
      <c r="U7" s="7"/>
      <c r="V7" s="52" t="s">
        <v>13</v>
      </c>
      <c r="W7" s="7"/>
      <c r="X7" s="15"/>
      <c r="Y7" s="93" t="n">
        <f aca="false">E7</f>
        <v>10000</v>
      </c>
      <c r="Z7" s="7" t="s">
        <v>14</v>
      </c>
      <c r="AA7" s="7"/>
      <c r="AB7" s="7"/>
      <c r="AC7" s="7"/>
      <c r="AD7" s="7"/>
      <c r="AJ7" s="11" t="n">
        <v>2</v>
      </c>
      <c r="AK7" s="12" t="n">
        <f aca="false">B21</f>
        <v>3.21268866160695E-011</v>
      </c>
      <c r="AL7" s="12" t="n">
        <f aca="false">C21</f>
        <v>525000</v>
      </c>
      <c r="AM7" s="12" t="n">
        <f aca="false">D21</f>
        <v>4.01837230970225E-011</v>
      </c>
      <c r="AN7" s="12" t="n">
        <f aca="false">E21</f>
        <v>-3.21268866160695E-011</v>
      </c>
      <c r="AO7" s="12" t="n">
        <f aca="false">F21</f>
        <v>-525000</v>
      </c>
      <c r="AP7" s="7"/>
      <c r="AQ7" s="7"/>
      <c r="AR7" s="7"/>
      <c r="AS7" s="7"/>
      <c r="AT7" s="7"/>
      <c r="AU7" s="7"/>
      <c r="AV7" s="7"/>
      <c r="AW7" s="12" t="n">
        <f aca="false">G21</f>
        <v>4.01837230970225E-011</v>
      </c>
      <c r="AX7" s="92"/>
      <c r="AY7" s="21" t="n">
        <f aca="false">I21</f>
        <v>-1.22464679914735E-012</v>
      </c>
      <c r="AZ7" s="11" t="n">
        <v>2</v>
      </c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92"/>
    </row>
    <row r="8" customFormat="false" ht="12" hidden="false" customHeight="false" outlineLevel="0" collapsed="false">
      <c r="A8" s="7"/>
      <c r="B8" s="52" t="s">
        <v>15</v>
      </c>
      <c r="C8" s="7"/>
      <c r="D8" s="7"/>
      <c r="E8" s="93" t="n">
        <f aca="false">100*100^3/12</f>
        <v>8333333.33333333</v>
      </c>
      <c r="F8" s="7" t="s">
        <v>16</v>
      </c>
      <c r="G8" s="7"/>
      <c r="H8" s="7"/>
      <c r="I8" s="7"/>
      <c r="J8" s="7"/>
      <c r="K8" s="7"/>
      <c r="L8" s="52" t="s">
        <v>15</v>
      </c>
      <c r="M8" s="7"/>
      <c r="N8" s="7"/>
      <c r="O8" s="93" t="n">
        <f aca="false">100*200^3/12</f>
        <v>66666666.6666667</v>
      </c>
      <c r="P8" s="7" t="s">
        <v>16</v>
      </c>
      <c r="Q8" s="7"/>
      <c r="R8" s="7"/>
      <c r="S8" s="7"/>
      <c r="T8" s="7"/>
      <c r="U8" s="7"/>
      <c r="V8" s="52" t="s">
        <v>15</v>
      </c>
      <c r="W8" s="7"/>
      <c r="X8" s="15"/>
      <c r="Y8" s="93" t="n">
        <f aca="false">E8</f>
        <v>8333333.33333333</v>
      </c>
      <c r="Z8" s="7" t="s">
        <v>16</v>
      </c>
      <c r="AA8" s="7"/>
      <c r="AB8" s="7"/>
      <c r="AC8" s="7"/>
      <c r="AD8" s="7"/>
      <c r="AJ8" s="11" t="n">
        <v>3</v>
      </c>
      <c r="AK8" s="12" t="n">
        <f aca="false">B22</f>
        <v>-656250</v>
      </c>
      <c r="AL8" s="12" t="n">
        <f aca="false">C22</f>
        <v>4.01837230970225E-011</v>
      </c>
      <c r="AM8" s="12" t="n">
        <f aca="false">D22</f>
        <v>1750000000</v>
      </c>
      <c r="AN8" s="12" t="n">
        <f aca="false">E22</f>
        <v>656250</v>
      </c>
      <c r="AO8" s="12" t="n">
        <f aca="false">F22</f>
        <v>-4.01837230970225E-011</v>
      </c>
      <c r="AP8" s="7"/>
      <c r="AQ8" s="7"/>
      <c r="AR8" s="7"/>
      <c r="AS8" s="7"/>
      <c r="AT8" s="7"/>
      <c r="AU8" s="7"/>
      <c r="AV8" s="7"/>
      <c r="AW8" s="12" t="n">
        <f aca="false">G22</f>
        <v>875000000</v>
      </c>
      <c r="AX8" s="92"/>
      <c r="AY8" s="21" t="n">
        <f aca="false">I22</f>
        <v>-13333333.3333333</v>
      </c>
      <c r="AZ8" s="11" t="n">
        <v>3</v>
      </c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92"/>
    </row>
    <row r="9" customFormat="false" ht="12" hidden="false" customHeight="false" outlineLevel="0" collapsed="false">
      <c r="A9" s="7"/>
      <c r="B9" s="52" t="s">
        <v>17</v>
      </c>
      <c r="C9" s="7"/>
      <c r="D9" s="7"/>
      <c r="E9" s="93" t="n">
        <f aca="false">210*10^3</f>
        <v>210000</v>
      </c>
      <c r="F9" s="7" t="s">
        <v>18</v>
      </c>
      <c r="G9" s="7"/>
      <c r="H9" s="7"/>
      <c r="I9" s="7"/>
      <c r="J9" s="7"/>
      <c r="K9" s="7"/>
      <c r="L9" s="52" t="s">
        <v>17</v>
      </c>
      <c r="M9" s="7"/>
      <c r="N9" s="7"/>
      <c r="O9" s="93" t="n">
        <f aca="false">210*10^3</f>
        <v>210000</v>
      </c>
      <c r="P9" s="7" t="s">
        <v>19</v>
      </c>
      <c r="Q9" s="7"/>
      <c r="R9" s="7"/>
      <c r="S9" s="7"/>
      <c r="T9" s="7"/>
      <c r="U9" s="7"/>
      <c r="V9" s="52" t="s">
        <v>17</v>
      </c>
      <c r="W9" s="7"/>
      <c r="X9" s="15"/>
      <c r="Y9" s="93" t="n">
        <f aca="false">E9</f>
        <v>210000</v>
      </c>
      <c r="Z9" s="7" t="s">
        <v>20</v>
      </c>
      <c r="AA9" s="7"/>
      <c r="AB9" s="7"/>
      <c r="AC9" s="7"/>
      <c r="AD9" s="7"/>
      <c r="AJ9" s="11" t="n">
        <v>4</v>
      </c>
      <c r="AK9" s="12" t="n">
        <f aca="false">B23</f>
        <v>-328.125</v>
      </c>
      <c r="AL9" s="12" t="n">
        <f aca="false">C23</f>
        <v>-3.21268866160695E-011</v>
      </c>
      <c r="AM9" s="12" t="n">
        <f aca="false">D23</f>
        <v>656250</v>
      </c>
      <c r="AN9" s="12" t="n">
        <f aca="false">E23</f>
        <v>328.125</v>
      </c>
      <c r="AO9" s="12" t="n">
        <f aca="false">F23</f>
        <v>3.21268866160695E-011</v>
      </c>
      <c r="AP9" s="7"/>
      <c r="AQ9" s="7"/>
      <c r="AR9" s="7"/>
      <c r="AS9" s="7"/>
      <c r="AT9" s="7"/>
      <c r="AU9" s="7"/>
      <c r="AV9" s="7"/>
      <c r="AW9" s="12" t="n">
        <f aca="false">G23</f>
        <v>656250</v>
      </c>
      <c r="AX9" s="92"/>
      <c r="AY9" s="21" t="n">
        <f aca="false">I23</f>
        <v>20000</v>
      </c>
      <c r="AZ9" s="11" t="n">
        <v>4</v>
      </c>
      <c r="BA9" s="7"/>
      <c r="BB9" s="7"/>
      <c r="BC9" s="7"/>
      <c r="BD9" s="16" t="n">
        <f aca="false">L20</f>
        <v>700000</v>
      </c>
      <c r="BE9" s="16" t="n">
        <f aca="false">M20</f>
        <v>0</v>
      </c>
      <c r="BF9" s="16" t="n">
        <f aca="false">N20</f>
        <v>0</v>
      </c>
      <c r="BG9" s="7"/>
      <c r="BH9" s="7"/>
      <c r="BI9" s="7"/>
      <c r="BJ9" s="16" t="n">
        <f aca="false">O20</f>
        <v>-700000</v>
      </c>
      <c r="BK9" s="16" t="n">
        <f aca="false">P20</f>
        <v>0</v>
      </c>
      <c r="BL9" s="16" t="n">
        <f aca="false">Q20</f>
        <v>0</v>
      </c>
      <c r="BM9" s="17"/>
      <c r="BN9" s="94"/>
      <c r="BO9" s="95" t="n">
        <f aca="false" t="array" ref="BO9:BO11">S20:S22</f>
        <v>0</v>
      </c>
    </row>
    <row r="10" customFormat="false" ht="12" hidden="false" customHeight="false" outlineLevel="0" collapsed="false">
      <c r="A10" s="7"/>
      <c r="B10" s="52" t="s">
        <v>21</v>
      </c>
      <c r="C10" s="7"/>
      <c r="D10" s="7"/>
      <c r="E10" s="24" t="n">
        <f aca="false">E9*E7</f>
        <v>2100000000</v>
      </c>
      <c r="F10" s="7" t="s">
        <v>22</v>
      </c>
      <c r="G10" s="7"/>
      <c r="H10" s="7"/>
      <c r="I10" s="7"/>
      <c r="J10" s="7"/>
      <c r="K10" s="7"/>
      <c r="L10" s="52" t="s">
        <v>21</v>
      </c>
      <c r="M10" s="7"/>
      <c r="N10" s="7"/>
      <c r="O10" s="24" t="n">
        <f aca="false">O9*O7</f>
        <v>4200000000</v>
      </c>
      <c r="P10" s="7" t="s">
        <v>22</v>
      </c>
      <c r="Q10" s="7"/>
      <c r="R10" s="7"/>
      <c r="S10" s="7"/>
      <c r="T10" s="7"/>
      <c r="U10" s="7"/>
      <c r="V10" s="52" t="s">
        <v>21</v>
      </c>
      <c r="W10" s="7"/>
      <c r="X10" s="15"/>
      <c r="Y10" s="24" t="n">
        <f aca="false">E10</f>
        <v>2100000000</v>
      </c>
      <c r="Z10" s="7" t="s">
        <v>22</v>
      </c>
      <c r="AA10" s="7"/>
      <c r="AB10" s="7"/>
      <c r="AC10" s="7"/>
      <c r="AD10" s="7"/>
      <c r="AJ10" s="11" t="n">
        <v>5</v>
      </c>
      <c r="AK10" s="12" t="n">
        <f aca="false">B24</f>
        <v>-3.21268866160695E-011</v>
      </c>
      <c r="AL10" s="12" t="n">
        <f aca="false">C24</f>
        <v>-525000</v>
      </c>
      <c r="AM10" s="12" t="n">
        <f aca="false">D24</f>
        <v>-4.01837230970225E-011</v>
      </c>
      <c r="AN10" s="12" t="n">
        <f aca="false">E24</f>
        <v>3.21268866160695E-011</v>
      </c>
      <c r="AO10" s="12" t="n">
        <f aca="false">F24</f>
        <v>525000</v>
      </c>
      <c r="AP10" s="7"/>
      <c r="AQ10" s="7"/>
      <c r="AR10" s="7"/>
      <c r="AS10" s="7"/>
      <c r="AT10" s="7"/>
      <c r="AU10" s="7"/>
      <c r="AV10" s="7"/>
      <c r="AW10" s="12" t="n">
        <f aca="false">G24</f>
        <v>-4.01837230970225E-011</v>
      </c>
      <c r="AX10" s="92"/>
      <c r="AY10" s="21" t="n">
        <f aca="false">I24</f>
        <v>-1.22464679914735E-012</v>
      </c>
      <c r="AZ10" s="11" t="n">
        <v>5</v>
      </c>
      <c r="BA10" s="7"/>
      <c r="BB10" s="7"/>
      <c r="BC10" s="7"/>
      <c r="BD10" s="16" t="n">
        <f aca="false">L21</f>
        <v>0</v>
      </c>
      <c r="BE10" s="16" t="n">
        <f aca="false">M21</f>
        <v>777.777777777778</v>
      </c>
      <c r="BF10" s="16" t="n">
        <f aca="false">N21</f>
        <v>2333333.33333333</v>
      </c>
      <c r="BG10" s="7"/>
      <c r="BH10" s="7"/>
      <c r="BI10" s="7"/>
      <c r="BJ10" s="16" t="n">
        <f aca="false">O21</f>
        <v>0</v>
      </c>
      <c r="BK10" s="16" t="n">
        <f aca="false">P21</f>
        <v>-777.777777777778</v>
      </c>
      <c r="BL10" s="16" t="n">
        <f aca="false">Q21</f>
        <v>2333333.33333333</v>
      </c>
      <c r="BM10" s="17"/>
      <c r="BN10" s="94"/>
      <c r="BO10" s="34" t="n">
        <v>-30000</v>
      </c>
    </row>
    <row r="11" customFormat="false" ht="12" hidden="false" customHeight="false" outlineLevel="0" collapsed="false">
      <c r="A11" s="7"/>
      <c r="B11" s="52" t="s">
        <v>23</v>
      </c>
      <c r="C11" s="7"/>
      <c r="D11" s="7"/>
      <c r="E11" s="24" t="n">
        <f aca="false">E9*E8</f>
        <v>1750000000000</v>
      </c>
      <c r="F11" s="7" t="s">
        <v>24</v>
      </c>
      <c r="G11" s="7"/>
      <c r="H11" s="7"/>
      <c r="I11" s="7"/>
      <c r="J11" s="7"/>
      <c r="K11" s="7"/>
      <c r="L11" s="52" t="s">
        <v>23</v>
      </c>
      <c r="M11" s="7"/>
      <c r="N11" s="7"/>
      <c r="O11" s="24" t="n">
        <f aca="false">O9*O8</f>
        <v>14000000000000</v>
      </c>
      <c r="P11" s="7" t="s">
        <v>25</v>
      </c>
      <c r="Q11" s="7"/>
      <c r="R11" s="7"/>
      <c r="S11" s="7"/>
      <c r="T11" s="7"/>
      <c r="U11" s="7"/>
      <c r="V11" s="52" t="s">
        <v>23</v>
      </c>
      <c r="W11" s="7"/>
      <c r="X11" s="15"/>
      <c r="Y11" s="24" t="n">
        <f aca="false">E11</f>
        <v>1750000000000</v>
      </c>
      <c r="Z11" s="7" t="s">
        <v>25</v>
      </c>
      <c r="AA11" s="7"/>
      <c r="AB11" s="7"/>
      <c r="AC11" s="7"/>
      <c r="AD11" s="7"/>
      <c r="AJ11" s="11" t="n">
        <v>6</v>
      </c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92"/>
      <c r="AY11" s="7"/>
      <c r="AZ11" s="11" t="n">
        <v>6</v>
      </c>
      <c r="BA11" s="7"/>
      <c r="BB11" s="7"/>
      <c r="BC11" s="7"/>
      <c r="BD11" s="16" t="n">
        <f aca="false">L22</f>
        <v>0</v>
      </c>
      <c r="BE11" s="16" t="n">
        <f aca="false">M22</f>
        <v>2333333.33333333</v>
      </c>
      <c r="BF11" s="16" t="n">
        <f aca="false">N22</f>
        <v>9333333333.33333</v>
      </c>
      <c r="BG11" s="7"/>
      <c r="BH11" s="7"/>
      <c r="BI11" s="7"/>
      <c r="BJ11" s="16" t="n">
        <f aca="false">O22</f>
        <v>0</v>
      </c>
      <c r="BK11" s="16" t="n">
        <f aca="false">P22</f>
        <v>-2333333.33333333</v>
      </c>
      <c r="BL11" s="16" t="n">
        <f aca="false">Q22</f>
        <v>4666666666.66667</v>
      </c>
      <c r="BM11" s="17"/>
      <c r="BN11" s="94"/>
      <c r="BO11" s="34" t="n">
        <v>-30000000</v>
      </c>
    </row>
    <row r="12" customFormat="false" ht="12" hidden="false" customHeight="false" outlineLevel="0" collapsed="false">
      <c r="A12" s="7"/>
      <c r="B12" s="52"/>
      <c r="C12" s="7"/>
      <c r="D12" s="7"/>
      <c r="E12" s="7"/>
      <c r="F12" s="7"/>
      <c r="G12" s="7"/>
      <c r="H12" s="7"/>
      <c r="I12" s="7"/>
      <c r="J12" s="7"/>
      <c r="K12" s="7"/>
      <c r="L12" s="52"/>
      <c r="M12" s="7"/>
      <c r="N12" s="7"/>
      <c r="O12" s="7"/>
      <c r="P12" s="7"/>
      <c r="Q12" s="7"/>
      <c r="R12" s="7"/>
      <c r="S12" s="7"/>
      <c r="T12" s="7"/>
      <c r="U12" s="7"/>
      <c r="V12" s="52"/>
      <c r="W12" s="7"/>
      <c r="X12" s="15"/>
      <c r="Y12" s="7"/>
      <c r="Z12" s="7"/>
      <c r="AA12" s="7"/>
      <c r="AB12" s="7"/>
      <c r="AC12" s="7"/>
      <c r="AD12" s="7"/>
      <c r="AJ12" s="11" t="n">
        <v>7</v>
      </c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92"/>
      <c r="AY12" s="7"/>
      <c r="AZ12" s="11" t="n">
        <v>7</v>
      </c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17"/>
      <c r="BN12" s="94"/>
    </row>
    <row r="13" customFormat="false" ht="12" hidden="false" customHeight="false" outlineLevel="0" collapsed="false">
      <c r="A13" s="7"/>
      <c r="B13" s="87" t="s">
        <v>26</v>
      </c>
      <c r="C13" s="7"/>
      <c r="D13" s="7"/>
      <c r="E13" s="7"/>
      <c r="F13" s="7"/>
      <c r="G13" s="7"/>
      <c r="H13" s="7"/>
      <c r="I13" s="7"/>
      <c r="J13" s="7"/>
      <c r="K13" s="7"/>
      <c r="L13" s="87" t="s">
        <v>26</v>
      </c>
      <c r="M13" s="7"/>
      <c r="N13" s="7"/>
      <c r="O13" s="7"/>
      <c r="P13" s="7"/>
      <c r="Q13" s="7"/>
      <c r="R13" s="7"/>
      <c r="S13" s="7"/>
      <c r="T13" s="7"/>
      <c r="U13" s="7"/>
      <c r="V13" s="87" t="s">
        <v>26</v>
      </c>
      <c r="W13" s="7"/>
      <c r="X13" s="15"/>
      <c r="Y13" s="7"/>
      <c r="Z13" s="7"/>
      <c r="AA13" s="7"/>
      <c r="AB13" s="7"/>
      <c r="AC13" s="7"/>
      <c r="AD13" s="7"/>
      <c r="AJ13" s="11" t="n">
        <v>8</v>
      </c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92"/>
      <c r="AY13" s="7"/>
      <c r="AZ13" s="11" t="n">
        <v>8</v>
      </c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92"/>
    </row>
    <row r="14" customFormat="false" ht="12" hidden="false" customHeight="false" outlineLevel="0" collapsed="false">
      <c r="A14" s="7"/>
      <c r="B14" s="52" t="s">
        <v>27</v>
      </c>
      <c r="C14" s="7"/>
      <c r="D14" s="7"/>
      <c r="E14" s="26" t="n">
        <v>0</v>
      </c>
      <c r="F14" s="7" t="s">
        <v>89</v>
      </c>
      <c r="G14" s="7"/>
      <c r="H14" s="7"/>
      <c r="I14" s="7"/>
      <c r="J14" s="7"/>
      <c r="K14" s="7"/>
      <c r="L14" s="52" t="s">
        <v>27</v>
      </c>
      <c r="M14" s="7"/>
      <c r="N14" s="7"/>
      <c r="O14" s="26" t="n">
        <v>0</v>
      </c>
      <c r="P14" s="7" t="s">
        <v>89</v>
      </c>
      <c r="Q14" s="7"/>
      <c r="R14" s="7"/>
      <c r="S14" s="7"/>
      <c r="T14" s="7"/>
      <c r="U14" s="7"/>
      <c r="V14" s="52" t="s">
        <v>27</v>
      </c>
      <c r="W14" s="7"/>
      <c r="X14" s="7"/>
      <c r="Y14" s="26" t="n">
        <v>0</v>
      </c>
      <c r="Z14" s="7" t="s">
        <v>89</v>
      </c>
      <c r="AA14" s="7"/>
      <c r="AB14" s="7"/>
      <c r="AC14" s="7"/>
      <c r="AD14" s="7"/>
      <c r="AJ14" s="11" t="n">
        <v>9</v>
      </c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92"/>
      <c r="AY14" s="7"/>
      <c r="AZ14" s="11" t="n">
        <v>9</v>
      </c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92"/>
    </row>
    <row r="15" customFormat="false" ht="12" hidden="false" customHeight="false" outlineLevel="0" collapsed="false">
      <c r="A15" s="7"/>
      <c r="B15" s="52" t="s">
        <v>29</v>
      </c>
      <c r="C15" s="7"/>
      <c r="D15" s="7"/>
      <c r="E15" s="26" t="n">
        <v>10</v>
      </c>
      <c r="F15" s="7" t="s">
        <v>89</v>
      </c>
      <c r="G15" s="7"/>
      <c r="H15" s="7"/>
      <c r="I15" s="7"/>
      <c r="J15" s="7"/>
      <c r="K15" s="7"/>
      <c r="L15" s="52" t="s">
        <v>29</v>
      </c>
      <c r="M15" s="7"/>
      <c r="N15" s="7"/>
      <c r="O15" s="26" t="n">
        <v>10</v>
      </c>
      <c r="P15" s="7" t="s">
        <v>89</v>
      </c>
      <c r="Q15" s="7"/>
      <c r="R15" s="7"/>
      <c r="S15" s="7"/>
      <c r="T15" s="7"/>
      <c r="U15" s="7"/>
      <c r="V15" s="52" t="s">
        <v>29</v>
      </c>
      <c r="W15" s="7"/>
      <c r="X15" s="7"/>
      <c r="Y15" s="26" t="n">
        <v>-5</v>
      </c>
      <c r="Z15" s="7" t="s">
        <v>89</v>
      </c>
      <c r="AA15" s="7"/>
      <c r="AB15" s="7"/>
      <c r="AC15" s="7"/>
      <c r="AD15" s="7"/>
      <c r="AJ15" s="11" t="n">
        <v>10</v>
      </c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92"/>
      <c r="AY15" s="7"/>
      <c r="AZ15" s="11" t="n">
        <v>10</v>
      </c>
      <c r="BA15" s="7"/>
      <c r="BB15" s="7"/>
      <c r="BC15" s="7"/>
      <c r="BD15" s="16" t="n">
        <f aca="false">L23</f>
        <v>-700000</v>
      </c>
      <c r="BE15" s="16" t="n">
        <f aca="false">M23</f>
        <v>0</v>
      </c>
      <c r="BF15" s="16" t="n">
        <f aca="false">N23</f>
        <v>0</v>
      </c>
      <c r="BG15" s="7"/>
      <c r="BH15" s="7"/>
      <c r="BI15" s="7"/>
      <c r="BJ15" s="16" t="n">
        <f aca="false">O23</f>
        <v>700000</v>
      </c>
      <c r="BK15" s="16" t="n">
        <f aca="false">P23</f>
        <v>0</v>
      </c>
      <c r="BL15" s="16" t="n">
        <f aca="false">Q23</f>
        <v>0</v>
      </c>
      <c r="BM15" s="17"/>
      <c r="BN15" s="94"/>
      <c r="BO15" s="95" t="n">
        <f aca="false" t="array" ref="BO15:BO17">S23:S25</f>
        <v>0</v>
      </c>
    </row>
    <row r="16" customFormat="false" ht="12" hidden="false" customHeight="false" outlineLevel="0" collapsed="false">
      <c r="A16" s="7"/>
      <c r="B16" s="52"/>
      <c r="C16" s="7"/>
      <c r="D16" s="7"/>
      <c r="E16" s="21"/>
      <c r="F16" s="7"/>
      <c r="G16" s="7"/>
      <c r="H16" s="7"/>
      <c r="I16" s="7"/>
      <c r="J16" s="7"/>
      <c r="K16" s="7"/>
      <c r="L16" s="52"/>
      <c r="M16" s="7"/>
      <c r="N16" s="7"/>
      <c r="O16" s="21"/>
      <c r="P16" s="7"/>
      <c r="Q16" s="7"/>
      <c r="R16" s="7"/>
      <c r="S16" s="88"/>
      <c r="T16" s="7"/>
      <c r="U16" s="7"/>
      <c r="V16" s="52"/>
      <c r="W16" s="7"/>
      <c r="X16" s="7"/>
      <c r="Y16" s="21"/>
      <c r="Z16" s="7"/>
      <c r="AA16" s="7"/>
      <c r="AB16" s="7"/>
      <c r="AC16" s="7"/>
      <c r="AD16" s="7"/>
      <c r="AJ16" s="11" t="n">
        <v>11</v>
      </c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92"/>
      <c r="AY16" s="7"/>
      <c r="AZ16" s="11" t="n">
        <v>11</v>
      </c>
      <c r="BA16" s="7"/>
      <c r="BB16" s="7"/>
      <c r="BC16" s="7"/>
      <c r="BD16" s="16" t="n">
        <f aca="false">L24</f>
        <v>0</v>
      </c>
      <c r="BE16" s="16" t="n">
        <f aca="false">M24</f>
        <v>-777.777777777778</v>
      </c>
      <c r="BF16" s="16" t="n">
        <f aca="false">N24</f>
        <v>-2333333.33333333</v>
      </c>
      <c r="BG16" s="7"/>
      <c r="BH16" s="7"/>
      <c r="BI16" s="7"/>
      <c r="BJ16" s="16" t="n">
        <f aca="false">O24</f>
        <v>0</v>
      </c>
      <c r="BK16" s="16" t="n">
        <f aca="false">P24</f>
        <v>777.777777777778</v>
      </c>
      <c r="BL16" s="16" t="n">
        <f aca="false">Q24</f>
        <v>-2333333.33333333</v>
      </c>
      <c r="BM16" s="17"/>
      <c r="BN16" s="94"/>
      <c r="BO16" s="34" t="n">
        <v>-30000</v>
      </c>
    </row>
    <row r="17" customFormat="false" ht="12" hidden="false" customHeight="false" outlineLevel="0" collapsed="false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J17" s="11" t="n">
        <v>12</v>
      </c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92"/>
      <c r="AY17" s="7"/>
      <c r="AZ17" s="11" t="n">
        <v>12</v>
      </c>
      <c r="BA17" s="7"/>
      <c r="BB17" s="7"/>
      <c r="BC17" s="7"/>
      <c r="BD17" s="16" t="n">
        <f aca="false">L25</f>
        <v>0</v>
      </c>
      <c r="BE17" s="16" t="n">
        <f aca="false">M25</f>
        <v>2333333.33333333</v>
      </c>
      <c r="BF17" s="16" t="n">
        <f aca="false">N25</f>
        <v>4666666666.66667</v>
      </c>
      <c r="BG17" s="7"/>
      <c r="BH17" s="7"/>
      <c r="BI17" s="7"/>
      <c r="BJ17" s="16" t="n">
        <f aca="false">O25</f>
        <v>0</v>
      </c>
      <c r="BK17" s="16" t="n">
        <f aca="false">P25</f>
        <v>-2333333.33333333</v>
      </c>
      <c r="BL17" s="16" t="n">
        <f aca="false">Q25</f>
        <v>9333333333.33333</v>
      </c>
      <c r="BM17" s="17"/>
      <c r="BN17" s="94"/>
      <c r="BO17" s="34" t="n">
        <v>30000000</v>
      </c>
    </row>
    <row r="18" customFormat="false" ht="12" hidden="false" customHeight="false" outlineLevel="0" collapsed="false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J18" s="11" t="n">
        <v>13</v>
      </c>
      <c r="AK18" s="12" t="n">
        <f aca="false">B25</f>
        <v>-656250</v>
      </c>
      <c r="AL18" s="12" t="n">
        <f aca="false">C25</f>
        <v>4.01837230970225E-011</v>
      </c>
      <c r="AM18" s="12" t="n">
        <f aca="false">D25</f>
        <v>875000000</v>
      </c>
      <c r="AN18" s="12" t="n">
        <f aca="false">E25</f>
        <v>656250</v>
      </c>
      <c r="AO18" s="12" t="n">
        <f aca="false">F25</f>
        <v>-4.01837230970225E-011</v>
      </c>
      <c r="AP18" s="7"/>
      <c r="AQ18" s="7"/>
      <c r="AR18" s="7"/>
      <c r="AS18" s="7"/>
      <c r="AT18" s="7"/>
      <c r="AU18" s="7"/>
      <c r="AV18" s="7"/>
      <c r="AW18" s="12" t="n">
        <f aca="false">G25</f>
        <v>1750000000</v>
      </c>
      <c r="AX18" s="92"/>
      <c r="AY18" s="21" t="n">
        <f aca="false">I25</f>
        <v>13333333.3333333</v>
      </c>
      <c r="AZ18" s="11" t="n">
        <v>13</v>
      </c>
      <c r="BA18" s="7"/>
      <c r="BB18" s="7"/>
      <c r="BC18" s="7"/>
      <c r="BD18" s="17"/>
      <c r="BE18" s="17"/>
      <c r="BF18" s="7"/>
      <c r="BG18" s="17"/>
      <c r="BH18" s="7"/>
      <c r="BI18" s="7"/>
      <c r="BJ18" s="7"/>
      <c r="BK18" s="17"/>
      <c r="BL18" s="17"/>
      <c r="BM18" s="7"/>
      <c r="BN18" s="94"/>
    </row>
    <row r="19" customFormat="false" ht="12" hidden="false" customHeight="false" outlineLevel="0" collapsed="false">
      <c r="A19" s="7"/>
      <c r="B19" s="87" t="s">
        <v>30</v>
      </c>
      <c r="C19" s="7"/>
      <c r="D19" s="7"/>
      <c r="E19" s="7"/>
      <c r="F19" s="7"/>
      <c r="G19" s="7"/>
      <c r="H19" s="7"/>
      <c r="I19" s="88" t="s">
        <v>31</v>
      </c>
      <c r="J19" s="7"/>
      <c r="K19" s="7"/>
      <c r="L19" s="87" t="s">
        <v>30</v>
      </c>
      <c r="M19" s="7"/>
      <c r="N19" s="7"/>
      <c r="O19" s="7"/>
      <c r="P19" s="7"/>
      <c r="Q19" s="7"/>
      <c r="R19" s="7"/>
      <c r="S19" s="88" t="s">
        <v>31</v>
      </c>
      <c r="T19" s="7"/>
      <c r="U19" s="7"/>
      <c r="V19" s="87" t="s">
        <v>30</v>
      </c>
      <c r="W19" s="7"/>
      <c r="X19" s="7"/>
      <c r="Y19" s="7"/>
      <c r="Z19" s="7"/>
      <c r="AA19" s="7"/>
      <c r="AB19" s="7"/>
      <c r="AC19" s="88" t="s">
        <v>31</v>
      </c>
      <c r="AD19" s="7"/>
      <c r="AJ19" s="11" t="n">
        <v>14</v>
      </c>
      <c r="AK19" s="96"/>
      <c r="AL19" s="96"/>
      <c r="AM19" s="96"/>
      <c r="AN19" s="96"/>
      <c r="AO19" s="96"/>
      <c r="AP19" s="96"/>
      <c r="AQ19" s="96"/>
      <c r="AR19" s="96"/>
      <c r="AS19" s="96"/>
      <c r="AT19" s="96"/>
      <c r="AU19" s="96"/>
      <c r="AV19" s="96"/>
      <c r="AW19" s="96"/>
      <c r="AX19" s="97"/>
      <c r="AY19" s="7"/>
      <c r="AZ19" s="11" t="n">
        <v>14</v>
      </c>
      <c r="BA19" s="96"/>
      <c r="BB19" s="96"/>
      <c r="BC19" s="96"/>
      <c r="BD19" s="98"/>
      <c r="BE19" s="98"/>
      <c r="BF19" s="96"/>
      <c r="BG19" s="98"/>
      <c r="BH19" s="96"/>
      <c r="BI19" s="96"/>
      <c r="BJ19" s="96"/>
      <c r="BK19" s="98"/>
      <c r="BL19" s="98"/>
      <c r="BM19" s="96"/>
      <c r="BN19" s="99"/>
    </row>
    <row r="20" customFormat="false" ht="12" hidden="false" customHeight="false" outlineLevel="0" collapsed="false">
      <c r="A20" s="7"/>
      <c r="B20" s="22" t="n">
        <f aca="false">$B36*B$45+$C36*B$46+$D36*B$47+$E36*B$48+$F36*B$49+$G36*B$50</f>
        <v>328.125</v>
      </c>
      <c r="C20" s="22" t="n">
        <f aca="false">$B36*C$45+$C36*C$46+$D36*C$47+$E36*C$48+$F36*C$49+$G36*C$50</f>
        <v>3.21268866160695E-011</v>
      </c>
      <c r="D20" s="22" t="n">
        <f aca="false">$B36*D$45+$C36*D$46+$D36*D$47+$E36*D$48+$F36*D$49+$G36*D$50</f>
        <v>-656250</v>
      </c>
      <c r="E20" s="22" t="n">
        <f aca="false">$B36*E$45+$C36*E$46+$D36*E$47+$E36*E$48+$F36*E$49+$G36*E$50</f>
        <v>-328.125</v>
      </c>
      <c r="F20" s="22" t="n">
        <f aca="false">$B36*F$45+$C36*F$46+$D36*F$47+$E36*F$48+$F36*F$49+$G36*F$50</f>
        <v>-3.21268866160695E-011</v>
      </c>
      <c r="G20" s="22" t="n">
        <f aca="false">$B36*G$45+$C36*G$46+$D36*G$47+$E36*G$48+$F36*G$49+$G36*G$50</f>
        <v>-656250</v>
      </c>
      <c r="H20" s="7"/>
      <c r="I20" s="25" t="n">
        <f aca="false">B54*I28+C54*I29+D54*I30+E54*I31+F54*I32+G54*I33</f>
        <v>20000</v>
      </c>
      <c r="J20" s="7"/>
      <c r="K20" s="7"/>
      <c r="L20" s="24" t="n">
        <f aca="false">$L37*L$46+$M37*L$47+$N37*L$48+$O37*L$49+$P37*L$50+$Q37*L$51</f>
        <v>700000</v>
      </c>
      <c r="M20" s="24" t="n">
        <f aca="false">$L37*M$46+$M37*M$47+$N37*M$48+$O37*M$49+$P37*M$50+$Q37*M$51</f>
        <v>0</v>
      </c>
      <c r="N20" s="24" t="n">
        <f aca="false">$L37*N$46+$M37*N$47+$N37*N$48+$O37*N$49+$P37*N$50+$Q37*N$51</f>
        <v>0</v>
      </c>
      <c r="O20" s="24" t="n">
        <f aca="false">$L37*O$46+$M37*O$47+$N37*O$48+$O37*O$49+$P37*O$50+$Q37*O$51</f>
        <v>-700000</v>
      </c>
      <c r="P20" s="24" t="n">
        <f aca="false">$L37*P$46+$M37*P$47+$N37*P$48+$O37*P$49+$P37*P$50+$Q37*P$51</f>
        <v>0</v>
      </c>
      <c r="Q20" s="24" t="n">
        <f aca="false">$L37*Q$46+$M37*Q$47+$N37*Q$48+$O37*Q$49+$P37*Q$50+$Q37*Q$51</f>
        <v>0</v>
      </c>
      <c r="R20" s="7"/>
      <c r="S20" s="25" t="n">
        <f aca="false">L55*S28+M55*S29+N55*S30+O55*S31+P55*S32+Q55*S33</f>
        <v>0</v>
      </c>
      <c r="T20" s="7"/>
      <c r="U20" s="7"/>
      <c r="V20" s="26" t="n">
        <f aca="false">$V37*B$45+$W37*B$46+$X37*B$47+$Y37*B$48+$Z37*B$49+$AA37*B$50</f>
        <v>328.125</v>
      </c>
      <c r="W20" s="26" t="n">
        <f aca="false">$V37*C$45+$W37*C$46+$X37*C$47+$Y37*C$48+$Z37*C$49+$AA37*C$50</f>
        <v>3.21268866160695E-011</v>
      </c>
      <c r="X20" s="26" t="n">
        <f aca="false">$V37*D$45+$W37*D$46+$X37*D$47+$Y37*D$48+$Z37*D$49+$AA37*D$50</f>
        <v>-656250</v>
      </c>
      <c r="Y20" s="26" t="n">
        <f aca="false">$V37*E$45+$W37*E$46+$X37*E$47+$Y37*E$48+$Z37*E$49+$AA37*E$50</f>
        <v>-328.125</v>
      </c>
      <c r="Z20" s="26" t="n">
        <f aca="false">$V37*F$45+$W37*F$46+$X37*F$47+$Y37*F$48+$Z37*F$49+$AA37*F$50</f>
        <v>-3.21268866160695E-011</v>
      </c>
      <c r="AA20" s="26" t="n">
        <f aca="false">$V37*G$45+$W37*G$46+$X37*G$47+$Y37*G$48+$Z37*G$49+$AA37*G$50</f>
        <v>-656250</v>
      </c>
      <c r="AB20" s="7"/>
      <c r="AC20" s="25" t="n">
        <f aca="false">V55*AC28+W55*AC29+X55*AC30+Y55*AC31+Z55*AC32+AA55*AC33</f>
        <v>-10000</v>
      </c>
      <c r="AD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  <row r="21" customFormat="false" ht="12" hidden="false" customHeight="false" outlineLevel="0" collapsed="false">
      <c r="A21" s="7"/>
      <c r="B21" s="22" t="n">
        <f aca="false">$B37*B$45+$C37*B$46+$D37*B$47+$E37*B$48+$F37*B$49+$G37*B$50</f>
        <v>3.21268866160695E-011</v>
      </c>
      <c r="C21" s="22" t="n">
        <f aca="false">$B37*C$45+$C37*C$46+$D37*C$47+$E37*C$48+$F37*C$49+$G37*C$50</f>
        <v>525000</v>
      </c>
      <c r="D21" s="22" t="n">
        <f aca="false">$B37*D$45+$C37*D$46+$D37*D$47+$E37*D$48+$F37*D$49+$G37*D$50</f>
        <v>4.01837230970225E-011</v>
      </c>
      <c r="E21" s="22" t="n">
        <f aca="false">$B37*E$45+$C37*E$46+$D37*E$47+$E37*E$48+$F37*E$49+$G37*E$50</f>
        <v>-3.21268866160695E-011</v>
      </c>
      <c r="F21" s="22" t="n">
        <f aca="false">$B37*F$45+$C37*F$46+$D37*F$47+$E37*F$48+$F37*F$49+$G37*F$50</f>
        <v>-525000</v>
      </c>
      <c r="G21" s="22" t="n">
        <f aca="false">$B37*G$45+$C37*G$46+$D37*G$47+$E37*G$48+$F37*G$49+$G37*G$50</f>
        <v>4.01837230970225E-011</v>
      </c>
      <c r="H21" s="7"/>
      <c r="I21" s="25" t="n">
        <f aca="false">B55*I28+C55*I29+D55*I30+E55*I31+F55*I32+G55*I33</f>
        <v>-1.22464679914735E-012</v>
      </c>
      <c r="J21" s="7"/>
      <c r="K21" s="7"/>
      <c r="L21" s="24" t="n">
        <f aca="false">$L38*L$46+$M38*L$47+$N38*L$48+$O38*L$49+$P38*L$50+$Q38*L$51</f>
        <v>0</v>
      </c>
      <c r="M21" s="24" t="n">
        <f aca="false">$L38*M$46+$M38*M$47+$N38*M$48+$O38*M$49+$P38*M$50+$Q38*M$51</f>
        <v>777.777777777778</v>
      </c>
      <c r="N21" s="24" t="n">
        <f aca="false">$L38*N$46+$M38*N$47+$N38*N$48+$O38*N$49+$P38*N$50+$Q38*N$51</f>
        <v>2333333.33333333</v>
      </c>
      <c r="O21" s="24" t="n">
        <f aca="false">$L38*O$46+$M38*O$47+$N38*O$48+$O38*O$49+$P38*O$50+$Q38*O$51</f>
        <v>0</v>
      </c>
      <c r="P21" s="24" t="n">
        <f aca="false">$L38*P$46+$M38*P$47+$N38*P$48+$O38*P$49+$P38*P$50+$Q38*P$51</f>
        <v>-777.777777777778</v>
      </c>
      <c r="Q21" s="24" t="n">
        <f aca="false">$L38*Q$46+$M38*Q$47+$N38*Q$48+$O38*Q$49+$P38*Q$50+$Q38*Q$51</f>
        <v>2333333.33333333</v>
      </c>
      <c r="R21" s="7"/>
      <c r="S21" s="25" t="n">
        <f aca="false">L56*S28+M56*S29+N56*S30+O56*S31+P56*S32+Q56*S33</f>
        <v>-30000</v>
      </c>
      <c r="T21" s="7"/>
      <c r="U21" s="7"/>
      <c r="V21" s="26" t="n">
        <f aca="false">$V38*B$45+$W38*B$46+$X38*B$47+$Y38*B$48+$Z38*B$49+$AA38*B$50</f>
        <v>3.21268866160695E-011</v>
      </c>
      <c r="W21" s="26" t="n">
        <f aca="false">$V38*C$45+$W38*C$46+$X38*C$47+$Y38*C$48+$Z38*C$49+$AA38*C$50</f>
        <v>525000</v>
      </c>
      <c r="X21" s="26" t="n">
        <f aca="false">$V38*D$45+$W38*D$46+$X38*D$47+$Y38*D$48+$Z38*D$49+$AA38*D$50</f>
        <v>4.01837230970225E-011</v>
      </c>
      <c r="Y21" s="26" t="n">
        <f aca="false">$V38*E$45+$W38*E$46+$X38*E$47+$Y38*E$48+$Z38*E$49+$AA38*E$50</f>
        <v>-3.21268866160695E-011</v>
      </c>
      <c r="Z21" s="26" t="n">
        <f aca="false">$V38*F$45+$W38*F$46+$X38*F$47+$Y38*F$48+$Z38*F$49+$AA38*F$50</f>
        <v>-525000</v>
      </c>
      <c r="AA21" s="26" t="n">
        <f aca="false">$V38*G$45+$W38*G$46+$X38*G$47+$Y38*G$48+$Z38*G$49+$AA38*G$50</f>
        <v>4.01837230970225E-011</v>
      </c>
      <c r="AB21" s="7"/>
      <c r="AC21" s="25" t="n">
        <f aca="false">V56*AC28+W56*AC29+X56*AC30+Y56*AC31+Z56*AC32+AA56*AC33</f>
        <v>6.12323399573677E-013</v>
      </c>
      <c r="AD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</row>
    <row r="22" customFormat="false" ht="12" hidden="false" customHeight="false" outlineLevel="0" collapsed="false">
      <c r="A22" s="7"/>
      <c r="B22" s="22" t="n">
        <f aca="false">$B38*B$45+$C38*B$46+$D38*B$47+$E38*B$48+$F38*B$49+$G38*B$50</f>
        <v>-656250</v>
      </c>
      <c r="C22" s="22" t="n">
        <f aca="false">$B38*C$45+$C38*C$46+$D38*C$47+$E38*C$48+$F38*C$49+$G38*C$50</f>
        <v>4.01837230970225E-011</v>
      </c>
      <c r="D22" s="22" t="n">
        <f aca="false">$B38*D$45+$C38*D$46+$D38*D$47+$E38*D$48+$F38*D$49+$G38*D$50</f>
        <v>1750000000</v>
      </c>
      <c r="E22" s="22" t="n">
        <f aca="false">$B38*E$45+$C38*E$46+$D38*E$47+$E38*E$48+$F38*E$49+$G38*E$50</f>
        <v>656250</v>
      </c>
      <c r="F22" s="22" t="n">
        <f aca="false">$B38*F$45+$C38*F$46+$D38*F$47+$E38*F$48+$F38*F$49+$G38*F$50</f>
        <v>-4.01837230970225E-011</v>
      </c>
      <c r="G22" s="22" t="n">
        <f aca="false">-1*$B38*G$45+$C38*G$46+$D38*G$47+$E38*G$48+$F38*G$49+$G38*G$50</f>
        <v>875000000</v>
      </c>
      <c r="H22" s="7"/>
      <c r="I22" s="25" t="n">
        <f aca="false">B56*I28+C56*I29+D56*I30+E56*I31+F56*I32+G56*I33</f>
        <v>-13333333.3333333</v>
      </c>
      <c r="J22" s="7"/>
      <c r="K22" s="7"/>
      <c r="L22" s="24" t="n">
        <f aca="false">$L39*L$46+$M39*L$47+$N39*L$48+$O39*L$49+$P39*L$50+$Q39*L$51</f>
        <v>0</v>
      </c>
      <c r="M22" s="24" t="n">
        <f aca="false">$L39*M$46+$M39*M$47+$N39*M$48+$O39*M$49+$P39*M$50+$Q39*M$51</f>
        <v>2333333.33333333</v>
      </c>
      <c r="N22" s="24" t="n">
        <f aca="false">$L39*N$46+$M39*N$47+$N39*N$48+$O39*N$49+$P39*N$50+$Q39*N$51</f>
        <v>9333333333.33333</v>
      </c>
      <c r="O22" s="24" t="n">
        <f aca="false">$L39*O$46+$M39*O$47+$N39*O$48+$O39*O$49+$P39*O$50+$Q39*O$51</f>
        <v>0</v>
      </c>
      <c r="P22" s="24" t="n">
        <f aca="false">$L39*P$46+$M39*P$47+$N39*P$48+$O39*P$49+$P39*P$50+$Q39*P$51</f>
        <v>-2333333.33333333</v>
      </c>
      <c r="Q22" s="24" t="n">
        <f aca="false">$L39*Q$46+$M39*Q$47+$N39*Q$48+$O39*Q$49+$P39*Q$50+$Q39*Q$51</f>
        <v>4666666666.66667</v>
      </c>
      <c r="R22" s="7"/>
      <c r="S22" s="25" t="n">
        <f aca="false">L57*S28+M57*S29+N57*S30+O57*S31+P57*S32+Q57*S33</f>
        <v>-30000000</v>
      </c>
      <c r="T22" s="7"/>
      <c r="U22" s="7"/>
      <c r="V22" s="26" t="n">
        <f aca="false">$V39*B$45+$W39*B$46+$X39*B$47+$Y39*B$48+$Z39*B$49+$AA39*B$50</f>
        <v>-656250</v>
      </c>
      <c r="W22" s="26" t="n">
        <f aca="false">$V39*C$45+$W39*C$46+$X39*C$47+$Y39*C$48+$Z39*C$49+$AA39*C$50</f>
        <v>4.01837230970225E-011</v>
      </c>
      <c r="X22" s="26" t="n">
        <f aca="false">$V39*D$45+$W39*D$46+$X39*D$47+$Y39*D$48+$Z39*D$49+$AA39*D$50</f>
        <v>1750000000</v>
      </c>
      <c r="Y22" s="26" t="n">
        <f aca="false">$V39*E$45+$W39*E$46+$X39*E$47+$Y39*E$48+$Z39*E$49+$AA39*E$50</f>
        <v>656250</v>
      </c>
      <c r="Z22" s="26" t="n">
        <f aca="false">$V39*F$45+$W39*F$46+$X39*F$47+$Y39*F$48+$Z39*F$49+$AA39*F$50</f>
        <v>-4.01837230970225E-011</v>
      </c>
      <c r="AA22" s="26" t="n">
        <f aca="false">-1*$V39*G$45+$W39*G$46+$X39*G$47+$Y39*G$48+$Z39*G$49+$AA39*G$50</f>
        <v>875000000</v>
      </c>
      <c r="AB22" s="7"/>
      <c r="AC22" s="25" t="n">
        <f aca="false">V57*AC28+W57*AC29+X57*AC30+Y57*AC31+Z57*AC32+AA57*AC33</f>
        <v>6666666.66666667</v>
      </c>
      <c r="AD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</row>
    <row r="23" customFormat="false" ht="12" hidden="false" customHeight="false" outlineLevel="0" collapsed="false">
      <c r="A23" s="7"/>
      <c r="B23" s="22" t="n">
        <f aca="false">$B39*B$45+$C39*B$46+$D39*B$47+$E39*B$48+$F39*B$49+$G39*B$50</f>
        <v>-328.125</v>
      </c>
      <c r="C23" s="22" t="n">
        <f aca="false">$B39*C$45+$C39*C$46+$D39*C$47+$E39*C$48+$F39*C$49+$G39*C$50</f>
        <v>-3.21268866160695E-011</v>
      </c>
      <c r="D23" s="22" t="n">
        <f aca="false">$B39*D$45+$C39*D$46+$D39*D$47+$E39*D$48+$F39*D$49+$G39*D$50</f>
        <v>656250</v>
      </c>
      <c r="E23" s="22" t="n">
        <f aca="false">$B39*E$45+$C39*E$46+$D39*E$47+$E39*E$48+$F39*E$49+$G39*E$50</f>
        <v>328.125</v>
      </c>
      <c r="F23" s="22" t="n">
        <f aca="false">$B39*F$45+$C39*F$46+$D39*F$47+$E39*F$48+$F39*F$49+$G39*F$50</f>
        <v>3.21268866160695E-011</v>
      </c>
      <c r="G23" s="22" t="n">
        <f aca="false">$B39*G$45+$C39*G$46+$D39*G$47+$E39*G$48+$F39*G$49+$G39*G$50</f>
        <v>656250</v>
      </c>
      <c r="H23" s="7"/>
      <c r="I23" s="25" t="n">
        <f aca="false">B57*I28+C57*I29+D57*I30+E57*I31+F57*I32+G57*I33</f>
        <v>20000</v>
      </c>
      <c r="J23" s="7"/>
      <c r="K23" s="7"/>
      <c r="L23" s="24" t="n">
        <f aca="false">$L40*L$46+$M40*L$47+$N40*L$48+$O40*L$49+$P40*L$50+$Q40*L$51</f>
        <v>-700000</v>
      </c>
      <c r="M23" s="24" t="n">
        <f aca="false">$L40*M$46+$M40*M$47+$N40*M$48+$O40*M$49+$P40*M$50+$Q40*M$51</f>
        <v>0</v>
      </c>
      <c r="N23" s="24" t="n">
        <f aca="false">$L40*N$46+$M40*N$47+$N40*N$48+$O40*N$49+$P40*N$50+$Q40*N$51</f>
        <v>0</v>
      </c>
      <c r="O23" s="24" t="n">
        <f aca="false">$L40*O$46+$M40*O$47+$N40*O$48+$O40*O$49+$P40*O$50+$Q40*O$51</f>
        <v>700000</v>
      </c>
      <c r="P23" s="24" t="n">
        <f aca="false">$L40*P$46+$M40*P$47+$N40*P$48+$O40*P$49+$P40*P$50+$Q40*P$51</f>
        <v>0</v>
      </c>
      <c r="Q23" s="24" t="n">
        <f aca="false">$L40*Q$46+$M40*Q$47+$N40*Q$48+$O40*Q$49+$P40*Q$50+$Q40*Q$51</f>
        <v>0</v>
      </c>
      <c r="R23" s="7"/>
      <c r="S23" s="25" t="n">
        <f aca="false">L58*S28+M58*S29+N58*S30+O58*S31+P58*S32+Q58*S33</f>
        <v>0</v>
      </c>
      <c r="T23" s="7"/>
      <c r="U23" s="7"/>
      <c r="V23" s="26" t="n">
        <f aca="false">$V40*B$45+$W40*B$46+$X40*B$47+$Y40*B$48+$Z40*B$49+$AA40*B$50</f>
        <v>-328.125</v>
      </c>
      <c r="W23" s="26" t="n">
        <f aca="false">$V40*C$45+$W40*C$46+$X40*C$47+$Y40*C$48+$Z40*C$49+$AA40*C$50</f>
        <v>-3.21268866160695E-011</v>
      </c>
      <c r="X23" s="26" t="n">
        <f aca="false">$V40*D$45+$W40*D$46+$X40*D$47+$Y40*D$48+$Z40*D$49+$AA40*D$50</f>
        <v>656250</v>
      </c>
      <c r="Y23" s="26" t="n">
        <f aca="false">$V40*E$45+$W40*E$46+$X40*E$47+$Y40*E$48+$Z40*E$49+$AA40*E$50</f>
        <v>328.125</v>
      </c>
      <c r="Z23" s="26" t="n">
        <f aca="false">$V40*F$45+$W40*F$46+$X40*F$47+$Y40*F$48+$Z40*F$49+$AA40*F$50</f>
        <v>3.21268866160695E-011</v>
      </c>
      <c r="AA23" s="26" t="n">
        <f aca="false">$V40*G$45+$W40*G$46+$X40*G$47+$Y40*G$48+$Z40*G$49+$AA40*G$50</f>
        <v>656250</v>
      </c>
      <c r="AB23" s="7"/>
      <c r="AC23" s="25" t="n">
        <f aca="false">V58*AC28+W58*AC29+X58*AC30+Y58*AC31+Z58*AC32+AA58*AC33</f>
        <v>-10000</v>
      </c>
      <c r="AD23" s="7"/>
      <c r="AJ23" s="87" t="s">
        <v>32</v>
      </c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</row>
    <row r="24" customFormat="false" ht="12" hidden="false" customHeight="false" outlineLevel="0" collapsed="false">
      <c r="A24" s="7"/>
      <c r="B24" s="22" t="n">
        <f aca="false">$B40*B$45+$C40*B$46+$D40*B$47+$E40*B$48+$F40*B$49+$G40*B$50</f>
        <v>-3.21268866160695E-011</v>
      </c>
      <c r="C24" s="22" t="n">
        <f aca="false">$B40*C$45+$C40*C$46+$D40*C$47+$E40*C$48+$F40*C$49+$G40*C$50</f>
        <v>-525000</v>
      </c>
      <c r="D24" s="22" t="n">
        <f aca="false">$B40*D$45+$C40*D$46+$D40*D$47+$E40*D$48+$F40*D$49+$G40*D$50</f>
        <v>-4.01837230970225E-011</v>
      </c>
      <c r="E24" s="22" t="n">
        <f aca="false">$B40*E$45+$C40*E$46+$D40*E$47+$E40*E$48+$F40*E$49+$G40*E$50</f>
        <v>3.21268866160695E-011</v>
      </c>
      <c r="F24" s="22" t="n">
        <f aca="false">$B40*F$45+$C40*F$46+$D40*F$47+$E40*F$48+$F40*F$49+$G40*F$50</f>
        <v>525000</v>
      </c>
      <c r="G24" s="22" t="n">
        <f aca="false">$B40*G$45+$C40*G$46+$D40*G$47+$E40*G$48+$F40*G$49+$G40*G$50</f>
        <v>-4.01837230970225E-011</v>
      </c>
      <c r="H24" s="7"/>
      <c r="I24" s="25" t="n">
        <f aca="false">B58*I28+C58*I29+D58*I30+E58*I31+F58*I32+G58*I33</f>
        <v>-1.22464679914735E-012</v>
      </c>
      <c r="J24" s="7"/>
      <c r="K24" s="7"/>
      <c r="L24" s="24" t="n">
        <f aca="false">$L41*L$46+$M41*L$47+$N41*L$48+$O41*L$49+$P41*L$50+$Q41*L$51</f>
        <v>0</v>
      </c>
      <c r="M24" s="24" t="n">
        <f aca="false">$L41*M$46+$M41*M$47+$N41*M$48+$O41*M$49+$P41*M$50+$Q41*M$51</f>
        <v>-777.777777777778</v>
      </c>
      <c r="N24" s="24" t="n">
        <f aca="false">$L41*N$46+$M41*N$47+$N41*N$48+$O41*N$49+$P41*N$50+$Q41*N$51</f>
        <v>-2333333.33333333</v>
      </c>
      <c r="O24" s="24" t="n">
        <f aca="false">$L41*O$46+$M41*O$47+$N41*O$48+$O41*O$49+$P41*O$50+$Q41*O$51</f>
        <v>0</v>
      </c>
      <c r="P24" s="24" t="n">
        <f aca="false">$L41*P$46+$M41*P$47+$N41*P$48+$O41*P$49+$P41*P$50+$Q41*P$51</f>
        <v>777.777777777778</v>
      </c>
      <c r="Q24" s="24" t="n">
        <f aca="false">$L41*Q$46+$M41*Q$47+$N41*Q$48+$O41*Q$49+$P41*Q$50+$Q41*Q$51</f>
        <v>-2333333.33333333</v>
      </c>
      <c r="R24" s="7"/>
      <c r="S24" s="25" t="n">
        <f aca="false">L59*S28+M59*S29+N59*S30+O59*S31+P59*S32+Q59*S33</f>
        <v>-30000</v>
      </c>
      <c r="T24" s="7"/>
      <c r="U24" s="7"/>
      <c r="V24" s="26" t="n">
        <f aca="false">$V41*B$45+$W41*B$46+$X41*B$47+$Y41*B$48+$Z41*B$49+$AA41*B$50</f>
        <v>-3.21268866160695E-011</v>
      </c>
      <c r="W24" s="26" t="n">
        <f aca="false">$V41*C$45+$W41*C$46+$X41*C$47+$Y41*C$48+$Z41*C$49+$AA41*C$50</f>
        <v>-525000</v>
      </c>
      <c r="X24" s="26" t="n">
        <f aca="false">$V41*D$45+$W41*D$46+$X41*D$47+$Y41*D$48+$Z41*D$49+$AA41*D$50</f>
        <v>-4.01837230970225E-011</v>
      </c>
      <c r="Y24" s="26" t="n">
        <f aca="false">$V41*E$45+$W41*E$46+$X41*E$47+$Y41*E$48+$Z41*E$49+$AA41*E$50</f>
        <v>3.21268866160695E-011</v>
      </c>
      <c r="Z24" s="26" t="n">
        <f aca="false">$V41*F$45+$W41*F$46+$X41*F$47+$Y41*F$48+$Z41*F$49+$AA41*F$50</f>
        <v>525000</v>
      </c>
      <c r="AA24" s="26" t="n">
        <f aca="false">$V41*G$45+$W41*G$46+$X41*G$47+$Y41*G$48+$Z41*G$49+$AA41*G$50</f>
        <v>-4.01837230970225E-011</v>
      </c>
      <c r="AB24" s="7"/>
      <c r="AC24" s="25" t="n">
        <f aca="false">V59*AC28+W59*AC29+X59*AC30+Y59*AC31+Z59*AC32+AA59*AC33</f>
        <v>6.12323399573677E-013</v>
      </c>
      <c r="AD24" s="7"/>
      <c r="AJ24" s="11"/>
      <c r="AK24" s="11" t="n">
        <v>1</v>
      </c>
      <c r="AL24" s="11" t="n">
        <v>2</v>
      </c>
      <c r="AM24" s="11" t="n">
        <v>3</v>
      </c>
      <c r="AN24" s="11" t="n">
        <v>4</v>
      </c>
      <c r="AO24" s="11" t="n">
        <v>5</v>
      </c>
      <c r="AP24" s="11" t="n">
        <v>6</v>
      </c>
      <c r="AQ24" s="11" t="n">
        <v>7</v>
      </c>
      <c r="AR24" s="11" t="n">
        <v>8</v>
      </c>
      <c r="AS24" s="11" t="n">
        <v>9</v>
      </c>
      <c r="AT24" s="11" t="n">
        <v>10</v>
      </c>
      <c r="AU24" s="11" t="n">
        <v>11</v>
      </c>
      <c r="AV24" s="11" t="n">
        <v>12</v>
      </c>
      <c r="AW24" s="11" t="n">
        <v>13</v>
      </c>
      <c r="AX24" s="11" t="n">
        <v>14</v>
      </c>
      <c r="AY24" s="7"/>
    </row>
    <row r="25" customFormat="false" ht="12" hidden="false" customHeight="false" outlineLevel="0" collapsed="false">
      <c r="A25" s="7"/>
      <c r="B25" s="22" t="n">
        <f aca="false">$B41*B$45+$C41*B$46+$D41*B$47+$E41*B$48+$F41*B$49+$G41*B$50</f>
        <v>-656250</v>
      </c>
      <c r="C25" s="22" t="n">
        <f aca="false">$B41*C$45+$C41*C$46+$D41*C$47+$E41*C$48+$F41*C$49+$G41*C$50</f>
        <v>4.01837230970225E-011</v>
      </c>
      <c r="D25" s="22" t="n">
        <f aca="false">$B41*D$45+$C41*D$46+$D41*D$47+$E41*D$48+$F41*D$49+$G41*D$50</f>
        <v>875000000</v>
      </c>
      <c r="E25" s="22" t="n">
        <f aca="false">$B41*E$45+$C41*E$46+$D41*E$47+$E41*E$48+$F41*E$49+$G41*E$50</f>
        <v>656250</v>
      </c>
      <c r="F25" s="22" t="n">
        <f aca="false">$B41*F$45+$C41*F$46+$D41*F$47+$E41*F$48+$F41*F$49+$G41*F$50</f>
        <v>-4.01837230970225E-011</v>
      </c>
      <c r="G25" s="22" t="n">
        <f aca="false">$B41*G$45+$C41*G$46+$D41*G$47+$E41*G$48+$F41*G$49+$G41*G$50</f>
        <v>1750000000</v>
      </c>
      <c r="H25" s="7"/>
      <c r="I25" s="25" t="n">
        <f aca="false">B59*I28+C59*I29+D59*I30+E59*I31+F59*I32+G59*I33</f>
        <v>13333333.3333333</v>
      </c>
      <c r="J25" s="7"/>
      <c r="K25" s="88"/>
      <c r="L25" s="24" t="n">
        <f aca="false">$L42*L$46+$M42*L$47+$N42*L$48+$O42*L$49+$P42*L$50+$Q42*L$51</f>
        <v>0</v>
      </c>
      <c r="M25" s="24" t="n">
        <f aca="false">$L42*M$46+$M42*M$47+$N42*M$48+$O42*M$49+$P42*M$50+$Q42*M$51</f>
        <v>2333333.33333333</v>
      </c>
      <c r="N25" s="24" t="n">
        <f aca="false">$L42*N$46+$M42*N$47+$N42*N$48+$O42*N$49+$P42*N$50+$Q42*N$51</f>
        <v>4666666666.66667</v>
      </c>
      <c r="O25" s="24" t="n">
        <f aca="false">$L42*O$46+$M42*O$47+$N42*O$48+$O42*O$49+$P42*O$50+$Q42*O$51</f>
        <v>0</v>
      </c>
      <c r="P25" s="24" t="n">
        <f aca="false">$L42*P$46+$M42*P$47+$N42*P$48+$O42*P$49+$P42*P$50+$Q42*P$51</f>
        <v>-2333333.33333333</v>
      </c>
      <c r="Q25" s="24" t="n">
        <f aca="false">$L42*Q$46+$M42*Q$47+$N42*Q$48+$O42*Q$49+$P42*Q$50+$Q42*Q$51</f>
        <v>9333333333.33333</v>
      </c>
      <c r="R25" s="7"/>
      <c r="S25" s="25" t="n">
        <f aca="false">L60*S28+M60*S29+N60*S30+O60*S31+P60*S32+Q60*S33</f>
        <v>30000000</v>
      </c>
      <c r="T25" s="7"/>
      <c r="U25" s="88"/>
      <c r="V25" s="26" t="n">
        <f aca="false">$V42*B$45+$W42*B$46+$X42*B$47+$Y42*B$48+$Z42*B$49+$AA42*B$50</f>
        <v>-656250</v>
      </c>
      <c r="W25" s="26" t="n">
        <f aca="false">$V42*C$45+$W42*C$46+$X42*C$47+$Y42*C$48+$Z42*C$49+$AA42*C$50</f>
        <v>4.01837230970225E-011</v>
      </c>
      <c r="X25" s="26" t="n">
        <f aca="false">$V42*D$45+$W42*D$46+$X42*D$47+$Y42*D$48+$Z42*D$49+$AA42*D$50</f>
        <v>875000000</v>
      </c>
      <c r="Y25" s="26" t="n">
        <f aca="false">$V42*E$45+$W42*E$46+$X42*E$47+$Y42*E$48+$Z42*E$49+$AA42*E$50</f>
        <v>656250</v>
      </c>
      <c r="Z25" s="26" t="n">
        <f aca="false">$V42*F$45+$W42*F$46+$X42*F$47+$Y42*F$48+$Z42*F$49+$AA42*F$50</f>
        <v>-4.01837230970225E-011</v>
      </c>
      <c r="AA25" s="26" t="n">
        <f aca="false">$V42*G$45+$W42*G$46+$X42*G$47+$Y42*G$48+$Z42*G$49+$AA42*G$50</f>
        <v>1750000000</v>
      </c>
      <c r="AB25" s="7"/>
      <c r="AC25" s="25" t="n">
        <f aca="false">V60*AC28+W60*AC29+X60*AC30+Y60*AC31+Z60*AC32+AA60*AC33</f>
        <v>-6666666.66666667</v>
      </c>
      <c r="AD25" s="7"/>
      <c r="AE25" s="100"/>
      <c r="AJ25" s="11" t="n">
        <v>1</v>
      </c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92"/>
      <c r="AY25" s="7"/>
    </row>
    <row r="26" customFormat="false" ht="12" hidden="false" customHeight="false" outlineLevel="0" collapsed="false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88"/>
      <c r="T26" s="7"/>
      <c r="U26" s="88"/>
      <c r="V26" s="7"/>
      <c r="W26" s="7"/>
      <c r="X26" s="7"/>
      <c r="Y26" s="7"/>
      <c r="Z26" s="7"/>
      <c r="AA26" s="7"/>
      <c r="AB26" s="7"/>
      <c r="AC26" s="88"/>
      <c r="AD26" s="7"/>
      <c r="AE26" s="100"/>
      <c r="AJ26" s="11" t="n">
        <v>2</v>
      </c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92"/>
      <c r="AY26" s="7"/>
    </row>
    <row r="27" customFormat="false" ht="12" hidden="false" customHeight="false" outlineLevel="0" collapsed="false">
      <c r="A27" s="7"/>
      <c r="B27" s="87" t="s">
        <v>33</v>
      </c>
      <c r="C27" s="7"/>
      <c r="D27" s="7"/>
      <c r="E27" s="7"/>
      <c r="F27" s="7"/>
      <c r="G27" s="7"/>
      <c r="H27" s="7"/>
      <c r="I27" s="88" t="s">
        <v>34</v>
      </c>
      <c r="J27" s="7"/>
      <c r="K27" s="7"/>
      <c r="L27" s="87" t="s">
        <v>33</v>
      </c>
      <c r="M27" s="7"/>
      <c r="N27" s="7"/>
      <c r="O27" s="7"/>
      <c r="P27" s="7"/>
      <c r="Q27" s="7"/>
      <c r="R27" s="7"/>
      <c r="S27" s="88" t="s">
        <v>34</v>
      </c>
      <c r="T27" s="7"/>
      <c r="U27" s="7"/>
      <c r="V27" s="87" t="s">
        <v>33</v>
      </c>
      <c r="W27" s="7"/>
      <c r="X27" s="7"/>
      <c r="Y27" s="7"/>
      <c r="Z27" s="7"/>
      <c r="AA27" s="7"/>
      <c r="AB27" s="7"/>
      <c r="AC27" s="88" t="s">
        <v>34</v>
      </c>
      <c r="AD27" s="7"/>
      <c r="AJ27" s="11" t="n">
        <v>3</v>
      </c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92"/>
      <c r="AY27" s="7"/>
    </row>
    <row r="28" customFormat="false" ht="12" hidden="false" customHeight="false" outlineLevel="0" collapsed="false">
      <c r="A28" s="7"/>
      <c r="B28" s="28" t="n">
        <f aca="false">$E$10/E6</f>
        <v>525000</v>
      </c>
      <c r="C28" s="29" t="n">
        <v>0</v>
      </c>
      <c r="D28" s="29" t="n">
        <v>0</v>
      </c>
      <c r="E28" s="28" t="n">
        <f aca="false">-$E$10/E6</f>
        <v>-525000</v>
      </c>
      <c r="F28" s="29" t="n">
        <v>0</v>
      </c>
      <c r="G28" s="29" t="n">
        <v>0</v>
      </c>
      <c r="H28" s="7"/>
      <c r="I28" s="28" t="n">
        <f aca="false">E6/2*E14</f>
        <v>0</v>
      </c>
      <c r="J28" s="7"/>
      <c r="K28" s="7"/>
      <c r="L28" s="28" t="n">
        <f aca="false">$O$10/O6</f>
        <v>700000</v>
      </c>
      <c r="M28" s="29" t="n">
        <v>0</v>
      </c>
      <c r="N28" s="29" t="n">
        <v>0</v>
      </c>
      <c r="O28" s="28" t="n">
        <f aca="false">-$O$10/O6</f>
        <v>-700000</v>
      </c>
      <c r="P28" s="29" t="n">
        <v>0</v>
      </c>
      <c r="Q28" s="29" t="n">
        <v>0</v>
      </c>
      <c r="R28" s="7"/>
      <c r="S28" s="30" t="n">
        <v>0</v>
      </c>
      <c r="T28" s="7"/>
      <c r="U28" s="7"/>
      <c r="V28" s="28" t="n">
        <f aca="false">$E$10/Y6</f>
        <v>525000</v>
      </c>
      <c r="W28" s="29" t="n">
        <v>0</v>
      </c>
      <c r="X28" s="29" t="n">
        <v>0</v>
      </c>
      <c r="Y28" s="28" t="n">
        <f aca="false">-$E$10/Y6</f>
        <v>-525000</v>
      </c>
      <c r="Z28" s="29" t="n">
        <v>0</v>
      </c>
      <c r="AA28" s="29" t="n">
        <v>0</v>
      </c>
      <c r="AB28" s="7"/>
      <c r="AC28" s="28" t="n">
        <f aca="false">-Y6/2*Y14</f>
        <v>-0</v>
      </c>
      <c r="AD28" s="7"/>
      <c r="AJ28" s="11" t="n">
        <v>4</v>
      </c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92"/>
      <c r="AY28" s="7"/>
    </row>
    <row r="29" customFormat="false" ht="12" hidden="false" customHeight="false" outlineLevel="0" collapsed="false">
      <c r="A29" s="7"/>
      <c r="B29" s="29" t="n">
        <v>0</v>
      </c>
      <c r="C29" s="28" t="n">
        <f aca="false">(12*$E$11)/$E$6^3</f>
        <v>328.125</v>
      </c>
      <c r="D29" s="28" t="n">
        <f aca="false">(6*$E$11)/$E$6^2</f>
        <v>656250</v>
      </c>
      <c r="E29" s="29" t="n">
        <v>0</v>
      </c>
      <c r="F29" s="28" t="n">
        <f aca="false">-(12*$E$11)/$E$6^3</f>
        <v>-328.125</v>
      </c>
      <c r="G29" s="28" t="n">
        <f aca="false">(6*$E$11)/$E$6^2</f>
        <v>656250</v>
      </c>
      <c r="H29" s="7"/>
      <c r="I29" s="28" t="n">
        <f aca="false">-E6/2*E15</f>
        <v>-20000</v>
      </c>
      <c r="J29" s="7"/>
      <c r="K29" s="7"/>
      <c r="L29" s="29" t="n">
        <v>0</v>
      </c>
      <c r="M29" s="28" t="n">
        <f aca="false">(12*$O$11)/$O$6^3</f>
        <v>777.777777777778</v>
      </c>
      <c r="N29" s="28" t="n">
        <f aca="false">(6*$O$11)/$O$6^2</f>
        <v>2333333.33333333</v>
      </c>
      <c r="O29" s="29" t="n">
        <v>0</v>
      </c>
      <c r="P29" s="28" t="n">
        <f aca="false">-(12*$O$11)/$O$6^3</f>
        <v>-777.777777777778</v>
      </c>
      <c r="Q29" s="28" t="n">
        <f aca="false">(6*$O$11)/$O$6^2</f>
        <v>2333333.33333333</v>
      </c>
      <c r="R29" s="7"/>
      <c r="S29" s="28" t="n">
        <f aca="false">-O6/2*(O14+O15)</f>
        <v>-30000</v>
      </c>
      <c r="T29" s="7"/>
      <c r="U29" s="7"/>
      <c r="V29" s="29" t="n">
        <v>0</v>
      </c>
      <c r="W29" s="28" t="n">
        <f aca="false">(12*$E$11)/$E$6^3</f>
        <v>328.125</v>
      </c>
      <c r="X29" s="28" t="n">
        <f aca="false">(6*$E$11)/$E$6^2</f>
        <v>656250</v>
      </c>
      <c r="Y29" s="29" t="n">
        <v>0</v>
      </c>
      <c r="Z29" s="28" t="n">
        <f aca="false">-(12*$E$11)/$E$6^3</f>
        <v>-328.125</v>
      </c>
      <c r="AA29" s="28" t="n">
        <f aca="false">(6*$E$11)/$E$6^2</f>
        <v>656250</v>
      </c>
      <c r="AB29" s="7"/>
      <c r="AC29" s="28" t="n">
        <f aca="false">-Y6/2*Y15</f>
        <v>10000</v>
      </c>
      <c r="AD29" s="7"/>
      <c r="AJ29" s="11" t="n">
        <v>5</v>
      </c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92"/>
      <c r="AY29" s="88"/>
    </row>
    <row r="30" customFormat="false" ht="12" hidden="false" customHeight="false" outlineLevel="0" collapsed="false">
      <c r="A30" s="7"/>
      <c r="B30" s="29" t="n">
        <v>0</v>
      </c>
      <c r="C30" s="28" t="n">
        <f aca="false">(6*$E$11)/$E$6^2</f>
        <v>656250</v>
      </c>
      <c r="D30" s="28" t="n">
        <f aca="false">4*$E$11/$E$6</f>
        <v>1750000000</v>
      </c>
      <c r="E30" s="29" t="n">
        <v>0</v>
      </c>
      <c r="F30" s="28" t="n">
        <f aca="false">-(6*$E$11)/$E$6^2</f>
        <v>-656250</v>
      </c>
      <c r="G30" s="28" t="n">
        <f aca="false">2*$E$11/$E$6</f>
        <v>875000000</v>
      </c>
      <c r="H30" s="7"/>
      <c r="I30" s="28" t="n">
        <f aca="false">-1*(E15*E6^2)/12</f>
        <v>-13333333.3333333</v>
      </c>
      <c r="J30" s="7"/>
      <c r="K30" s="7"/>
      <c r="L30" s="29" t="n">
        <v>0</v>
      </c>
      <c r="M30" s="28" t="n">
        <f aca="false">(6*$O$11)/$O$6^2</f>
        <v>2333333.33333333</v>
      </c>
      <c r="N30" s="28" t="n">
        <f aca="false">4*$O$11/$O$6</f>
        <v>9333333333.33333</v>
      </c>
      <c r="O30" s="29" t="n">
        <v>0</v>
      </c>
      <c r="P30" s="28" t="n">
        <f aca="false">-(6*$O$11)/$O$6^2</f>
        <v>-2333333.33333333</v>
      </c>
      <c r="Q30" s="28" t="n">
        <f aca="false">2*$O$11/$O$6</f>
        <v>4666666666.66667</v>
      </c>
      <c r="R30" s="7"/>
      <c r="S30" s="28" t="n">
        <f aca="false">-1*((O14+O15)*O6^2)/12</f>
        <v>-30000000</v>
      </c>
      <c r="T30" s="7"/>
      <c r="U30" s="7"/>
      <c r="V30" s="29" t="n">
        <v>0</v>
      </c>
      <c r="W30" s="28" t="n">
        <f aca="false">(6*$E$11)/$E$6^2</f>
        <v>656250</v>
      </c>
      <c r="X30" s="28" t="n">
        <f aca="false">4*$E$11/$E$6</f>
        <v>1750000000</v>
      </c>
      <c r="Y30" s="29" t="n">
        <v>0</v>
      </c>
      <c r="Z30" s="28" t="n">
        <f aca="false">-(6*$E$11)/$E$6^2</f>
        <v>-656250</v>
      </c>
      <c r="AA30" s="28" t="n">
        <f aca="false">2*$E$11/$E$6</f>
        <v>875000000</v>
      </c>
      <c r="AB30" s="7"/>
      <c r="AC30" s="28" t="n">
        <f aca="false">-1*(Y15*Y6^2)/12</f>
        <v>6666666.66666667</v>
      </c>
      <c r="AD30" s="7"/>
      <c r="AJ30" s="11" t="n">
        <v>6</v>
      </c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92"/>
      <c r="AY30" s="88"/>
    </row>
    <row r="31" customFormat="false" ht="12" hidden="false" customHeight="false" outlineLevel="0" collapsed="false">
      <c r="A31" s="7"/>
      <c r="B31" s="28" t="n">
        <f aca="false">-$E$10/E6</f>
        <v>-525000</v>
      </c>
      <c r="C31" s="29" t="n">
        <v>0</v>
      </c>
      <c r="D31" s="29" t="n">
        <v>0</v>
      </c>
      <c r="E31" s="28" t="n">
        <f aca="false">$E$10/E6</f>
        <v>525000</v>
      </c>
      <c r="F31" s="29" t="n">
        <v>0</v>
      </c>
      <c r="G31" s="29" t="n">
        <v>0</v>
      </c>
      <c r="H31" s="7"/>
      <c r="I31" s="28" t="n">
        <f aca="false">E6/2*E14</f>
        <v>0</v>
      </c>
      <c r="J31" s="7"/>
      <c r="K31" s="7"/>
      <c r="L31" s="28" t="n">
        <f aca="false">-$O$10/O6</f>
        <v>-700000</v>
      </c>
      <c r="M31" s="29" t="n">
        <v>0</v>
      </c>
      <c r="N31" s="29" t="n">
        <v>0</v>
      </c>
      <c r="O31" s="28" t="n">
        <f aca="false">$O$10/O6</f>
        <v>700000</v>
      </c>
      <c r="P31" s="29" t="n">
        <v>0</v>
      </c>
      <c r="Q31" s="29" t="n">
        <v>0</v>
      </c>
      <c r="R31" s="7"/>
      <c r="S31" s="30" t="n">
        <v>0</v>
      </c>
      <c r="T31" s="7"/>
      <c r="U31" s="7"/>
      <c r="V31" s="28" t="n">
        <f aca="false">-$E$10/Y6</f>
        <v>-525000</v>
      </c>
      <c r="W31" s="29" t="n">
        <v>0</v>
      </c>
      <c r="X31" s="29" t="n">
        <v>0</v>
      </c>
      <c r="Y31" s="28" t="n">
        <f aca="false">$E$10/Y6</f>
        <v>525000</v>
      </c>
      <c r="Z31" s="29" t="n">
        <v>0</v>
      </c>
      <c r="AA31" s="29" t="n">
        <v>0</v>
      </c>
      <c r="AB31" s="7"/>
      <c r="AC31" s="28" t="n">
        <f aca="false">-Y6/2*Y14</f>
        <v>-0</v>
      </c>
      <c r="AD31" s="7"/>
      <c r="AJ31" s="11" t="n">
        <v>7</v>
      </c>
      <c r="AK31" s="7"/>
      <c r="AL31" s="7"/>
      <c r="AM31" s="7"/>
      <c r="AN31" s="7"/>
      <c r="AO31" s="7"/>
      <c r="AP31" s="7"/>
      <c r="AQ31" s="31" t="n">
        <f aca="false">IF(ABS(V20)&lt;0.1,"",V20)</f>
        <v>328.125</v>
      </c>
      <c r="AR31" s="31" t="n">
        <f aca="false">W20</f>
        <v>3.21268866160695E-011</v>
      </c>
      <c r="AS31" s="31" t="n">
        <f aca="false">X20</f>
        <v>-656250</v>
      </c>
      <c r="AT31" s="31" t="n">
        <f aca="false">Y20</f>
        <v>-328.125</v>
      </c>
      <c r="AU31" s="31" t="n">
        <f aca="false">Z20</f>
        <v>-3.21268866160695E-011</v>
      </c>
      <c r="AV31" s="7"/>
      <c r="AW31" s="7"/>
      <c r="AX31" s="101" t="n">
        <f aca="false">AA20</f>
        <v>-656250</v>
      </c>
      <c r="AY31" s="32" t="n">
        <f aca="false" t="array" ref="AY31:AY35">AC20:AC24</f>
        <v>-10000</v>
      </c>
    </row>
    <row r="32" customFormat="false" ht="12" hidden="false" customHeight="false" outlineLevel="0" collapsed="false">
      <c r="A32" s="7"/>
      <c r="B32" s="29" t="n">
        <v>0</v>
      </c>
      <c r="C32" s="28" t="n">
        <f aca="false">-(12*$E$11)/$E$6^3</f>
        <v>-328.125</v>
      </c>
      <c r="D32" s="28" t="n">
        <f aca="false">-(6*$E$11)/$E$6^2</f>
        <v>-656250</v>
      </c>
      <c r="E32" s="29" t="n">
        <v>0</v>
      </c>
      <c r="F32" s="28" t="n">
        <f aca="false">(12*$E$11)/$E$6^3</f>
        <v>328.125</v>
      </c>
      <c r="G32" s="28" t="n">
        <f aca="false">-(6*$E$11)/$E$6^2</f>
        <v>-656250</v>
      </c>
      <c r="H32" s="7"/>
      <c r="I32" s="28" t="n">
        <f aca="false">-E6/2*E15</f>
        <v>-20000</v>
      </c>
      <c r="J32" s="7"/>
      <c r="K32" s="7"/>
      <c r="L32" s="29" t="n">
        <v>0</v>
      </c>
      <c r="M32" s="28" t="n">
        <f aca="false">-(12*$O$11)/$O$6^3</f>
        <v>-777.777777777778</v>
      </c>
      <c r="N32" s="28" t="n">
        <f aca="false">-(6*$O$11)/$O$6^2</f>
        <v>-2333333.33333333</v>
      </c>
      <c r="O32" s="29" t="n">
        <v>0</v>
      </c>
      <c r="P32" s="28" t="n">
        <f aca="false">(12*$O$11)/$O$6^3</f>
        <v>777.777777777778</v>
      </c>
      <c r="Q32" s="28" t="n">
        <f aca="false">-(6*$O$11)/$O$6^2</f>
        <v>-2333333.33333333</v>
      </c>
      <c r="R32" s="88"/>
      <c r="S32" s="28" t="n">
        <f aca="false">-O6/2*(O14+O15)</f>
        <v>-30000</v>
      </c>
      <c r="T32" s="7"/>
      <c r="U32" s="7"/>
      <c r="V32" s="29" t="n">
        <v>0</v>
      </c>
      <c r="W32" s="28" t="n">
        <f aca="false">-(12*$E$11)/$E$6^3</f>
        <v>-328.125</v>
      </c>
      <c r="X32" s="28" t="n">
        <f aca="false">-(6*$E$11)/$E$6^2</f>
        <v>-656250</v>
      </c>
      <c r="Y32" s="29" t="n">
        <v>0</v>
      </c>
      <c r="Z32" s="28" t="n">
        <f aca="false">(12*$E$11)/$E$6^3</f>
        <v>328.125</v>
      </c>
      <c r="AA32" s="28" t="n">
        <f aca="false">-(6*$E$11)/$E$6^2</f>
        <v>-656250</v>
      </c>
      <c r="AB32" s="7"/>
      <c r="AC32" s="28" t="n">
        <f aca="false">-Y6/2*Y15</f>
        <v>10000</v>
      </c>
      <c r="AD32" s="7"/>
      <c r="AJ32" s="11" t="n">
        <v>8</v>
      </c>
      <c r="AK32" s="7"/>
      <c r="AL32" s="7"/>
      <c r="AM32" s="7"/>
      <c r="AN32" s="7"/>
      <c r="AO32" s="7"/>
      <c r="AP32" s="7"/>
      <c r="AQ32" s="31" t="n">
        <f aca="false">V21</f>
        <v>3.21268866160695E-011</v>
      </c>
      <c r="AR32" s="31" t="n">
        <f aca="false">W21</f>
        <v>525000</v>
      </c>
      <c r="AS32" s="31" t="n">
        <f aca="false">X21</f>
        <v>4.01837230970225E-011</v>
      </c>
      <c r="AT32" s="31" t="n">
        <f aca="false">Y21</f>
        <v>-3.21268866160695E-011</v>
      </c>
      <c r="AU32" s="31" t="n">
        <f aca="false">Z21</f>
        <v>-525000</v>
      </c>
      <c r="AV32" s="7"/>
      <c r="AW32" s="7"/>
      <c r="AX32" s="101" t="n">
        <f aca="false">AA21</f>
        <v>4.01837230970225E-011</v>
      </c>
      <c r="AY32" s="33" t="n">
        <v>6.12323399573677E-013</v>
      </c>
    </row>
    <row r="33" customFormat="false" ht="12" hidden="false" customHeight="false" outlineLevel="0" collapsed="false">
      <c r="A33" s="7"/>
      <c r="B33" s="29" t="n">
        <v>0</v>
      </c>
      <c r="C33" s="28" t="n">
        <f aca="false">(6*$E$11)/$E$6^2</f>
        <v>656250</v>
      </c>
      <c r="D33" s="28" t="n">
        <f aca="false">2*$E$11/$E$6</f>
        <v>875000000</v>
      </c>
      <c r="E33" s="29" t="n">
        <v>0</v>
      </c>
      <c r="F33" s="28" t="n">
        <f aca="false">-(6*$E$11)/$E$6^2</f>
        <v>-656250</v>
      </c>
      <c r="G33" s="28" t="n">
        <f aca="false">4*$E$11/$E$6</f>
        <v>1750000000</v>
      </c>
      <c r="H33" s="7"/>
      <c r="I33" s="28" t="n">
        <f aca="false">1*(E15*E6^2)/12</f>
        <v>13333333.3333333</v>
      </c>
      <c r="J33" s="7"/>
      <c r="K33" s="7"/>
      <c r="L33" s="29" t="n">
        <v>0</v>
      </c>
      <c r="M33" s="28" t="n">
        <f aca="false">(6*$O$11)/$O$6^2</f>
        <v>2333333.33333333</v>
      </c>
      <c r="N33" s="28" t="n">
        <f aca="false">2*$O$11/$O$6</f>
        <v>4666666666.66667</v>
      </c>
      <c r="O33" s="29" t="n">
        <v>0</v>
      </c>
      <c r="P33" s="28" t="n">
        <f aca="false">-(6*$O$11)/$O$6^2</f>
        <v>-2333333.33333333</v>
      </c>
      <c r="Q33" s="28" t="n">
        <f aca="false">4*$O$11/$O$6</f>
        <v>9333333333.33333</v>
      </c>
      <c r="R33" s="7"/>
      <c r="S33" s="28" t="n">
        <f aca="false">1*((O14+O15)*O6^2)/12</f>
        <v>30000000</v>
      </c>
      <c r="T33" s="7"/>
      <c r="U33" s="7"/>
      <c r="V33" s="29" t="n">
        <v>0</v>
      </c>
      <c r="W33" s="28" t="n">
        <f aca="false">(6*$E$11)/$E$6^2</f>
        <v>656250</v>
      </c>
      <c r="X33" s="28" t="n">
        <f aca="false">2*$E$11/$E$6</f>
        <v>875000000</v>
      </c>
      <c r="Y33" s="29" t="n">
        <v>0</v>
      </c>
      <c r="Z33" s="28" t="n">
        <f aca="false">-(6*$E$11)/$E$6^2</f>
        <v>-656250</v>
      </c>
      <c r="AA33" s="28" t="n">
        <f aca="false">4*$E$11/$E$6</f>
        <v>1750000000</v>
      </c>
      <c r="AB33" s="7"/>
      <c r="AC33" s="28" t="n">
        <f aca="false">1*(Y15*Y6^2)/12</f>
        <v>-6666666.66666667</v>
      </c>
      <c r="AD33" s="7"/>
      <c r="AJ33" s="11" t="n">
        <v>9</v>
      </c>
      <c r="AK33" s="7"/>
      <c r="AL33" s="7"/>
      <c r="AM33" s="7"/>
      <c r="AN33" s="7"/>
      <c r="AO33" s="7"/>
      <c r="AP33" s="7"/>
      <c r="AQ33" s="31" t="n">
        <f aca="false">V22</f>
        <v>-656250</v>
      </c>
      <c r="AR33" s="31" t="n">
        <f aca="false">W22</f>
        <v>4.01837230970225E-011</v>
      </c>
      <c r="AS33" s="31" t="n">
        <f aca="false">X22</f>
        <v>1750000000</v>
      </c>
      <c r="AT33" s="31" t="n">
        <f aca="false">Y22</f>
        <v>656250</v>
      </c>
      <c r="AU33" s="31" t="n">
        <f aca="false">Z22</f>
        <v>-4.01837230970225E-011</v>
      </c>
      <c r="AV33" s="7"/>
      <c r="AW33" s="7"/>
      <c r="AX33" s="101" t="n">
        <f aca="false">AA22</f>
        <v>875000000</v>
      </c>
      <c r="AY33" s="32" t="n">
        <v>6666666.66666667</v>
      </c>
    </row>
    <row r="34" customFormat="false" ht="12" hidden="false" customHeight="false" outlineLevel="0" collapsed="false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J34" s="11" t="n">
        <v>10</v>
      </c>
      <c r="AK34" s="7"/>
      <c r="AL34" s="7"/>
      <c r="AM34" s="7"/>
      <c r="AN34" s="7"/>
      <c r="AO34" s="7"/>
      <c r="AP34" s="7"/>
      <c r="AQ34" s="31" t="n">
        <f aca="false">V23</f>
        <v>-328.125</v>
      </c>
      <c r="AR34" s="31" t="n">
        <f aca="false">W23</f>
        <v>-3.21268866160695E-011</v>
      </c>
      <c r="AS34" s="31" t="n">
        <f aca="false">X23</f>
        <v>656250</v>
      </c>
      <c r="AT34" s="31" t="n">
        <f aca="false">Y23</f>
        <v>328.125</v>
      </c>
      <c r="AU34" s="31" t="n">
        <f aca="false">Z23</f>
        <v>3.21268866160695E-011</v>
      </c>
      <c r="AV34" s="7"/>
      <c r="AW34" s="7"/>
      <c r="AX34" s="101" t="n">
        <f aca="false">AA23</f>
        <v>656250</v>
      </c>
      <c r="AY34" s="32" t="n">
        <v>-10000</v>
      </c>
    </row>
    <row r="35" customFormat="false" ht="12" hidden="false" customHeight="false" outlineLevel="0" collapsed="false">
      <c r="A35" s="7"/>
      <c r="B35" s="87" t="s">
        <v>35</v>
      </c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J35" s="11" t="n">
        <v>11</v>
      </c>
      <c r="AK35" s="7"/>
      <c r="AL35" s="7"/>
      <c r="AM35" s="7"/>
      <c r="AN35" s="7"/>
      <c r="AO35" s="7"/>
      <c r="AP35" s="7"/>
      <c r="AQ35" s="31" t="n">
        <f aca="false">V24</f>
        <v>-3.21268866160695E-011</v>
      </c>
      <c r="AR35" s="31" t="n">
        <f aca="false">W24</f>
        <v>-525000</v>
      </c>
      <c r="AS35" s="31" t="n">
        <f aca="false">X24</f>
        <v>-4.01837230970225E-011</v>
      </c>
      <c r="AT35" s="31" t="n">
        <f aca="false">Y24</f>
        <v>3.21268866160695E-011</v>
      </c>
      <c r="AU35" s="31" t="n">
        <f aca="false">Z24</f>
        <v>525000</v>
      </c>
      <c r="AV35" s="7"/>
      <c r="AW35" s="7"/>
      <c r="AX35" s="101" t="n">
        <f aca="false">AA24</f>
        <v>-4.01837230970225E-011</v>
      </c>
      <c r="AY35" s="33" t="n">
        <v>6.12323399573677E-013</v>
      </c>
    </row>
    <row r="36" customFormat="false" ht="12" hidden="false" customHeight="false" outlineLevel="0" collapsed="false">
      <c r="A36" s="7"/>
      <c r="B36" s="28" t="n">
        <f aca="false">$B54*B28+$C54*B29+$D54*B30+$E54*B31+$F54*B32+$G54*B33</f>
        <v>3.2146978477618E-011</v>
      </c>
      <c r="C36" s="28" t="n">
        <f aca="false">$B54*C28+$C54*C29+$D54*C30+$E54*C31+$F54*C32+$G54*C33</f>
        <v>-328.125</v>
      </c>
      <c r="D36" s="28" t="n">
        <f aca="false">$B54*D28+$C54*D29+$D54*D30+$E54*D31+$F54*D32+$G54*D33</f>
        <v>-656250</v>
      </c>
      <c r="E36" s="28" t="n">
        <f aca="false">$B54*E28+$C54*E29+$D54*E30+$E54*E31+$F54*E32+$G54*E33</f>
        <v>-3.2146978477618E-011</v>
      </c>
      <c r="F36" s="28" t="n">
        <f aca="false">$B54*F28+$C54*F29+$D54*F30+$E54*F31+$F54*F32+$G54*F33</f>
        <v>328.125</v>
      </c>
      <c r="G36" s="28" t="n">
        <f aca="false">$B54*G28+$C54*G29+$D54*G30+$E54*G31+$F54*G32+$G54*G33</f>
        <v>-656250</v>
      </c>
      <c r="H36" s="7"/>
      <c r="I36" s="7"/>
      <c r="J36" s="7"/>
      <c r="K36" s="7"/>
      <c r="L36" s="87" t="s">
        <v>35</v>
      </c>
      <c r="M36" s="7"/>
      <c r="N36" s="7"/>
      <c r="O36" s="7"/>
      <c r="P36" s="7"/>
      <c r="Q36" s="7"/>
      <c r="R36" s="7"/>
      <c r="S36" s="7"/>
      <c r="T36" s="7"/>
      <c r="U36" s="7"/>
      <c r="V36" s="87" t="s">
        <v>35</v>
      </c>
      <c r="W36" s="7"/>
      <c r="X36" s="7"/>
      <c r="Y36" s="7"/>
      <c r="Z36" s="7"/>
      <c r="AA36" s="7"/>
      <c r="AB36" s="7"/>
      <c r="AC36" s="7"/>
      <c r="AD36" s="7"/>
      <c r="AJ36" s="11" t="n">
        <v>12</v>
      </c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92"/>
      <c r="AY36" s="32"/>
    </row>
    <row r="37" customFormat="false" ht="12" hidden="false" customHeight="false" outlineLevel="0" collapsed="false">
      <c r="A37" s="7"/>
      <c r="B37" s="28" t="n">
        <f aca="false">$B55*B28+$C55*B29+$D55*B30+$E55*B31+$F55*B32+$G55*B33</f>
        <v>525000</v>
      </c>
      <c r="C37" s="28" t="n">
        <f aca="false">$B55*C28+$C55*C29+$D55*C30+$E55*C31+$F55*C32+$G55*C33</f>
        <v>2.00918615485113E-014</v>
      </c>
      <c r="D37" s="28" t="n">
        <f aca="false">$B55*D28+$C55*D29+$D55*D30+$E55*D31+$F55*D32+$G55*D33</f>
        <v>4.01837230970225E-011</v>
      </c>
      <c r="E37" s="28" t="n">
        <f aca="false">$B55*E28+$C55*E29+$D55*E30+$E55*E31+$F55*E32+$G55*E33</f>
        <v>-525000</v>
      </c>
      <c r="F37" s="28" t="n">
        <f aca="false">$B55*F28+$C55*F29+$D55*F30+$E55*F31+$F55*F32+$G55*F33</f>
        <v>-2.00918615485113E-014</v>
      </c>
      <c r="G37" s="28" t="n">
        <f aca="false">$B55*G28+$C55*G29+$D55*G30+$E55*G31+$F55*G32+$G55*G33</f>
        <v>4.01837230970225E-011</v>
      </c>
      <c r="H37" s="7"/>
      <c r="I37" s="7"/>
      <c r="J37" s="7"/>
      <c r="K37" s="7"/>
      <c r="L37" s="28" t="n">
        <f aca="false">$L55*L$28+$M55*L$29+$N55*L$30+$O55*L$31+$P55*L$32+$Q55*L$33</f>
        <v>700000</v>
      </c>
      <c r="M37" s="28" t="n">
        <f aca="false">$L55*M$28+$M55*M$29+$N55*M$30+$O55*M$31+$P55*M$32+$Q55*M$33</f>
        <v>0</v>
      </c>
      <c r="N37" s="28" t="n">
        <f aca="false">$L55*N$28+$M55*N$29+$N55*N$30+$O55*N$31+$P55*N$32+$Q55*N$33</f>
        <v>0</v>
      </c>
      <c r="O37" s="28" t="n">
        <f aca="false">$L55*O$28+$M55*O$29+$N55*O$30+$O55*O$31+$P55*O$32+$Q55*O$33</f>
        <v>-700000</v>
      </c>
      <c r="P37" s="28" t="n">
        <f aca="false">$L55*P$28+$M55*P$29+$N55*P$30+$O55*P$31+$P55*P$32+$Q55*P$33</f>
        <v>0</v>
      </c>
      <c r="Q37" s="28" t="n">
        <f aca="false">$L55*Q$28+$M55*Q$29+$N55*Q$30+$O55*Q$31+$P55*Q$32+$Q55*Q$33</f>
        <v>0</v>
      </c>
      <c r="R37" s="7"/>
      <c r="S37" s="7"/>
      <c r="T37" s="7"/>
      <c r="U37" s="7"/>
      <c r="V37" s="28" t="n">
        <f aca="false">$V55*V28+$W55*V29+$X55*V30+$Y55*V31+$Z55*V32+$AA55*V33</f>
        <v>3.2146978477618E-011</v>
      </c>
      <c r="W37" s="28" t="n">
        <f aca="false">$V55*W28+$W55*W29+$X55*W30+$Y55*W31+$Z55*W32+$AA55*W33</f>
        <v>-328.125</v>
      </c>
      <c r="X37" s="28" t="n">
        <f aca="false">$V55*X28+$W55*X29+$X55*X30+$Y55*X31+$Z55*X32+$AA55*X33</f>
        <v>-656250</v>
      </c>
      <c r="Y37" s="28" t="n">
        <f aca="false">$V55*Y28+$W55*Y29+$X55*Y30+$Y55*Y31+$Z55*Y32+$AA55*Y33</f>
        <v>-3.2146978477618E-011</v>
      </c>
      <c r="Z37" s="28" t="n">
        <f aca="false">$V55*Z28+$W55*Z29+$X55*Z30+$Y55*Z31+$Z55*Z32+$AA55*Z33</f>
        <v>328.125</v>
      </c>
      <c r="AA37" s="28" t="n">
        <f aca="false">$V55*AA28+$W55*AA29+$X55*AA30+$Y55*AA31+$Z55*AA32+$AA55*AA33</f>
        <v>-656250</v>
      </c>
      <c r="AB37" s="7"/>
      <c r="AC37" s="7"/>
      <c r="AD37" s="7"/>
      <c r="AJ37" s="11" t="n">
        <v>13</v>
      </c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92"/>
      <c r="AY37" s="7"/>
    </row>
    <row r="38" customFormat="false" ht="12" hidden="false" customHeight="false" outlineLevel="0" collapsed="false">
      <c r="A38" s="7"/>
      <c r="B38" s="28" t="n">
        <f aca="false">$B56*B28+$C56*B29+$D56*B30+$E56*B31+$F56*B32+$G56*B33</f>
        <v>0</v>
      </c>
      <c r="C38" s="28" t="n">
        <f aca="false">$B56*C28+$C56*C29+$D56*C30+$E56*C31+$F56*C32+$G56*C33</f>
        <v>656250</v>
      </c>
      <c r="D38" s="28" t="n">
        <f aca="false">$B56*D28+$C56*D29+$D56*D30+$E56*D31+$F56*D32+$G56*D33</f>
        <v>1750000000</v>
      </c>
      <c r="E38" s="28" t="n">
        <f aca="false">$B56*E28+$C56*E29+$D56*E30+$E56*E31+$F56*E32+$G56*E33</f>
        <v>0</v>
      </c>
      <c r="F38" s="28" t="n">
        <f aca="false">$B56*F28+$C56*F29+$D56*F30+$E56*F31+$F56*F32+$G56*F33</f>
        <v>-656250</v>
      </c>
      <c r="G38" s="28" t="n">
        <f aca="false">$B56*G28+$C56*G29+$D56*G30+$E56*G31+$F56*G32+$G56*G33</f>
        <v>875000000</v>
      </c>
      <c r="H38" s="7"/>
      <c r="I38" s="7"/>
      <c r="J38" s="7"/>
      <c r="K38" s="7"/>
      <c r="L38" s="28" t="n">
        <f aca="false">$L56*L$28+$M56*L$29+$N56*L$30+$O56*L$31+$P56*L$32+$Q56*L$33</f>
        <v>0</v>
      </c>
      <c r="M38" s="28" t="n">
        <f aca="false">$L56*M$28+$M56*M$29+$N56*M$30+$O56*M$31+$P56*M$32+$Q56*M$33</f>
        <v>777.777777777778</v>
      </c>
      <c r="N38" s="28" t="n">
        <f aca="false">$L56*N$28+$M56*N$29+$N56*N$30+$O56*N$31+$P56*N$32+$Q56*N$33</f>
        <v>2333333.33333333</v>
      </c>
      <c r="O38" s="28" t="n">
        <f aca="false">$L56*O$28+$M56*O$29+$N56*O$30+$O56*O$31+$P56*O$32+$Q56*O$33</f>
        <v>0</v>
      </c>
      <c r="P38" s="28" t="n">
        <f aca="false">$L56*P$28+$M56*P$29+$N56*P$30+$O56*P$31+$P56*P$32+$Q56*P$33</f>
        <v>-777.777777777778</v>
      </c>
      <c r="Q38" s="28" t="n">
        <f aca="false">$L56*Q$28+$M56*Q$29+$N56*Q$30+$O56*Q$31+$P56*Q$32+$Q56*Q$33</f>
        <v>2333333.33333333</v>
      </c>
      <c r="R38" s="7"/>
      <c r="S38" s="7"/>
      <c r="T38" s="7"/>
      <c r="U38" s="7"/>
      <c r="V38" s="28" t="n">
        <f aca="false">$V56*V28+$W56*V29+$X56*V30+$Y56*V31+$Z56*V32+$AA56*V33</f>
        <v>525000</v>
      </c>
      <c r="W38" s="28" t="n">
        <f aca="false">$V56*W28+$W56*W29+$X56*W30+$Y56*W31+$Z56*W32+$AA56*W33</f>
        <v>2.00918615485113E-014</v>
      </c>
      <c r="X38" s="28" t="n">
        <f aca="false">$V56*X28+$W56*X29+$X56*X30+$Y56*X31+$Z56*X32+$AA56*X33</f>
        <v>4.01837230970225E-011</v>
      </c>
      <c r="Y38" s="28" t="n">
        <f aca="false">$V56*Y28+$W56*Y29+$X56*Y30+$Y56*Y31+$Z56*Y32+$AA56*Y33</f>
        <v>-525000</v>
      </c>
      <c r="Z38" s="28" t="n">
        <f aca="false">$V56*Z28+$W56*Z29+$X56*Z30+$Y56*Z31+$Z56*Z32+$AA56*Z33</f>
        <v>-2.00918615485113E-014</v>
      </c>
      <c r="AA38" s="28" t="n">
        <f aca="false">$V56*AA28+$W56*AA29+$X56*AA30+$Y56*AA31+$Z56*AA32+$AA56*AA33</f>
        <v>4.01837230970225E-011</v>
      </c>
      <c r="AB38" s="7"/>
      <c r="AC38" s="7"/>
      <c r="AD38" s="7"/>
      <c r="AJ38" s="11" t="n">
        <v>14</v>
      </c>
      <c r="AK38" s="96"/>
      <c r="AL38" s="96"/>
      <c r="AM38" s="96"/>
      <c r="AN38" s="96"/>
      <c r="AO38" s="96"/>
      <c r="AP38" s="96"/>
      <c r="AQ38" s="102" t="n">
        <f aca="false">V25</f>
        <v>-656250</v>
      </c>
      <c r="AR38" s="102" t="n">
        <f aca="false">W25</f>
        <v>4.01837230970225E-011</v>
      </c>
      <c r="AS38" s="102" t="n">
        <f aca="false">X25</f>
        <v>875000000</v>
      </c>
      <c r="AT38" s="102" t="n">
        <f aca="false">Y25</f>
        <v>656250</v>
      </c>
      <c r="AU38" s="102" t="n">
        <f aca="false">Z25</f>
        <v>-4.01837230970225E-011</v>
      </c>
      <c r="AV38" s="96"/>
      <c r="AW38" s="96"/>
      <c r="AX38" s="103" t="n">
        <f aca="false">AA25</f>
        <v>1750000000</v>
      </c>
      <c r="AY38" s="21" t="n">
        <f aca="false">AC25</f>
        <v>-6666666.66666667</v>
      </c>
    </row>
    <row r="39" customFormat="false" ht="12" hidden="false" customHeight="false" outlineLevel="0" collapsed="false">
      <c r="A39" s="7"/>
      <c r="B39" s="28" t="n">
        <f aca="false">$B57*B$28+$C57*B$29+$D57*B$30+$E57*B$31+$F57*B$32+$G57*B$33</f>
        <v>-3.2146978477618E-011</v>
      </c>
      <c r="C39" s="28" t="n">
        <f aca="false">$B57*C$28+$C57*C$29+$D57*C$30+$E57*C$31+$F57*C$32+$G57*C$33</f>
        <v>328.125</v>
      </c>
      <c r="D39" s="28" t="n">
        <f aca="false">$B57*D$28+$C57*D$29+$D57*D$30+$E57*D$31+$F57*D$32+$G57*D$33</f>
        <v>656250</v>
      </c>
      <c r="E39" s="28" t="n">
        <f aca="false">$B57*E$28+$C57*E$29+$D57*E$30+$E57*E$31+$F57*E$32+$G57*E$33</f>
        <v>3.2146978477618E-011</v>
      </c>
      <c r="F39" s="28" t="n">
        <f aca="false">$B57*F$28+$C57*F$29+$D57*F$30+$E57*F$31+$F57*F$32+$G57*F$33</f>
        <v>-328.125</v>
      </c>
      <c r="G39" s="28" t="n">
        <f aca="false">$B57*G$28+$C57*G$29+$D57*G$30+$E57*G$31+$F57*G$32+$G57*G$33</f>
        <v>656250</v>
      </c>
      <c r="H39" s="7"/>
      <c r="I39" s="7"/>
      <c r="J39" s="7"/>
      <c r="K39" s="7"/>
      <c r="L39" s="28" t="n">
        <f aca="false">$L57*L$28+$M57*L$29+$N57*L$30+$O57*L$31+$P57*L$32+$Q57*L$33</f>
        <v>0</v>
      </c>
      <c r="M39" s="28" t="n">
        <f aca="false">$L57*M$28+$M57*M$29+$N57*M$30+$O57*M$31+$P57*M$32+$Q57*M$33</f>
        <v>2333333.33333333</v>
      </c>
      <c r="N39" s="28" t="n">
        <f aca="false">$L57*N$28+$M57*N$29+$N57*N$30+$O57*N$31+$P57*N$32+$Q57*N$33</f>
        <v>9333333333.33333</v>
      </c>
      <c r="O39" s="28" t="n">
        <f aca="false">$L57*O$28+$M57*O$29+$N57*O$30+$O57*O$31+$P57*O$32+$Q57*O$33</f>
        <v>0</v>
      </c>
      <c r="P39" s="28" t="n">
        <f aca="false">$L57*P$28+$M57*P$29+$N57*P$30+$O57*P$31+$P57*P$32+$Q57*P$33</f>
        <v>-2333333.33333333</v>
      </c>
      <c r="Q39" s="28" t="n">
        <f aca="false">$L57*Q$28+$M57*Q$29+$N57*Q$30+$O57*Q$31+$P57*Q$32+$Q57*Q$33</f>
        <v>4666666666.66667</v>
      </c>
      <c r="R39" s="7"/>
      <c r="S39" s="7"/>
      <c r="T39" s="7"/>
      <c r="U39" s="7"/>
      <c r="V39" s="28" t="n">
        <f aca="false">$V57*V28+$W57*V29+$X57*V30+$Y57*V31+$Z57*V32+$AA57*V33</f>
        <v>0</v>
      </c>
      <c r="W39" s="28" t="n">
        <f aca="false">$V57*W28+$W57*W29+$X57*W30+$Y57*W31+$Z57*W32+$AA57*W33</f>
        <v>656250</v>
      </c>
      <c r="X39" s="28" t="n">
        <f aca="false">$V57*X28+$W57*X29+$X57*X30+$Y57*X31+$Z57*X32+$AA57*X33</f>
        <v>1750000000</v>
      </c>
      <c r="Y39" s="28" t="n">
        <f aca="false">$V57*Y28+$W57*Y29+$X57*Y30+$Y57*Y31+$Z57*Y32+$AA57*Y33</f>
        <v>0</v>
      </c>
      <c r="Z39" s="28" t="n">
        <f aca="false">$V57*Z28+$W57*Z29+$X57*Z30+$Y57*Z31+$Z57*Z32+$AA57*Z33</f>
        <v>-656250</v>
      </c>
      <c r="AA39" s="28" t="n">
        <f aca="false">$V57*AA28+$W57*AA29+$X57*AA30+$Y57*AA31+$Z57*AA32+$AA57*AA33</f>
        <v>875000000</v>
      </c>
      <c r="AB39" s="7"/>
      <c r="AC39" s="7"/>
      <c r="AD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</row>
    <row r="40" customFormat="false" ht="12" hidden="false" customHeight="false" outlineLevel="0" collapsed="false">
      <c r="A40" s="7"/>
      <c r="B40" s="28" t="n">
        <f aca="false">$B58*B$28+$C58*B$29+$D58*B$30+$E58*B$31+$F58*B$32+$G58*B$33</f>
        <v>-525000</v>
      </c>
      <c r="C40" s="28" t="n">
        <f aca="false">$B58*C$28+$C58*C$29+$D58*C$30+$E58*C$31+$F58*C$32+$G58*C$33</f>
        <v>-2.00918615485113E-014</v>
      </c>
      <c r="D40" s="28" t="n">
        <f aca="false">$B58*D$28+$C58*D$29+$D58*D$30+$E58*D$31+$F58*D$32+$G58*D$33</f>
        <v>-4.01837230970225E-011</v>
      </c>
      <c r="E40" s="28" t="n">
        <f aca="false">$B58*E$28+$C58*E$29+$D58*E$30+$E58*E$31+$F58*E$32+$G58*E$33</f>
        <v>525000</v>
      </c>
      <c r="F40" s="28" t="n">
        <f aca="false">$B58*F$28+$C58*F$29+$D58*F$30+$E58*F$31+$F58*F$32+$G58*F$33</f>
        <v>2.00918615485113E-014</v>
      </c>
      <c r="G40" s="28" t="n">
        <f aca="false">$B58*G$28+$C58*G$29+$D58*G$30+$E58*G$31+$F58*G$32+$G58*G$33</f>
        <v>-4.01837230970225E-011</v>
      </c>
      <c r="H40" s="7"/>
      <c r="I40" s="7"/>
      <c r="J40" s="7"/>
      <c r="K40" s="7"/>
      <c r="L40" s="28" t="n">
        <f aca="false">$L58*L$28+$M58*L$29+$N58*L$30+$O58*L$31+$P58*L$32+$Q58*L$33</f>
        <v>-700000</v>
      </c>
      <c r="M40" s="28" t="n">
        <f aca="false">$L58*M$28+$M58*M$29+$N58*M$30+$O58*M$31+$P58*M$32+$Q58*M$33</f>
        <v>0</v>
      </c>
      <c r="N40" s="28" t="n">
        <f aca="false">$L58*N$28+$M58*N$29+$N58*N$30+$O58*N$31+$P58*N$32+$Q58*N$33</f>
        <v>0</v>
      </c>
      <c r="O40" s="28" t="n">
        <f aca="false">$L58*O$28+$M58*O$29+$N58*O$30+$O58*O$31+$P58*O$32+$Q58*O$33</f>
        <v>700000</v>
      </c>
      <c r="P40" s="28" t="n">
        <f aca="false">$L58*P$28+$M58*P$29+$N58*P$30+$O58*P$31+$P58*P$32+$Q58*P$33</f>
        <v>0</v>
      </c>
      <c r="Q40" s="28" t="n">
        <f aca="false">$L58*Q$28+$M58*Q$29+$N58*Q$30+$O58*Q$31+$P58*Q$32+$Q58*Q$33</f>
        <v>0</v>
      </c>
      <c r="R40" s="7"/>
      <c r="S40" s="88"/>
      <c r="T40" s="7"/>
      <c r="U40" s="7"/>
      <c r="V40" s="28" t="n">
        <f aca="false">$V58*B$28+$W58*B$29+$X58*B$30+$Y58*B$31+$Z58*B$32+$AA58*B$33</f>
        <v>-3.2146978477618E-011</v>
      </c>
      <c r="W40" s="28" t="n">
        <f aca="false">$V58*C$28+$W58*C$29+$X58*C$30+$Y58*C$31+$Z58*C$32+$AA58*C$33</f>
        <v>328.125</v>
      </c>
      <c r="X40" s="28" t="n">
        <f aca="false">$V58*D$28+$W58*D$29+$X58*D$30+$Y58*D$31+$Z58*D$32+$AA58*D$33</f>
        <v>656250</v>
      </c>
      <c r="Y40" s="28" t="n">
        <f aca="false">$V58*E$28+$W58*E$29+$X58*E$30+$Y58*E$31+$Z58*E$32+$AA58*E$33</f>
        <v>3.2146978477618E-011</v>
      </c>
      <c r="Z40" s="28" t="n">
        <f aca="false">$V58*F$28+$W58*F$29+$X58*F$30+$Y58*F$31+$Z58*F$32+$AA58*F$33</f>
        <v>-328.125</v>
      </c>
      <c r="AA40" s="28" t="n">
        <f aca="false">$V58*G$28+$W58*G$29+$X58*G$30+$Y58*G$31+$Z58*G$32+$AA58*G$33</f>
        <v>656250</v>
      </c>
      <c r="AB40" s="7"/>
      <c r="AC40" s="7"/>
      <c r="AD40" s="7"/>
      <c r="AJ40" s="7"/>
      <c r="AK40" s="7"/>
      <c r="AL40" s="7"/>
      <c r="AM40" s="7"/>
      <c r="AN40" s="7"/>
      <c r="AP40" s="7"/>
      <c r="AQ40" s="7"/>
      <c r="AR40" s="7"/>
      <c r="AS40" s="7"/>
      <c r="AT40" s="7"/>
      <c r="AU40" s="7" t="s">
        <v>97</v>
      </c>
      <c r="AV40" s="7" t="s">
        <v>98</v>
      </c>
      <c r="AW40" s="7"/>
      <c r="AX40" s="34" t="s">
        <v>99</v>
      </c>
      <c r="AY40" s="7"/>
    </row>
    <row r="41" customFormat="false" ht="12" hidden="false" customHeight="false" outlineLevel="0" collapsed="false">
      <c r="A41" s="7"/>
      <c r="B41" s="28" t="n">
        <f aca="false">$B59*B$28+$C59*B$29+$D59*B$30+$E59*B$31+$F59*B$32+$G59*B$33</f>
        <v>0</v>
      </c>
      <c r="C41" s="28" t="n">
        <f aca="false">$B59*C$28+$C59*C$29+$D59*C$30+$E59*C$31+$F59*C$32+$G59*C$33</f>
        <v>656250</v>
      </c>
      <c r="D41" s="28" t="n">
        <f aca="false">$B59*D$28+$C59*D$29+$D59*D$30+$E59*D$31+$F59*D$32+$G59*D$33</f>
        <v>875000000</v>
      </c>
      <c r="E41" s="28" t="n">
        <f aca="false">$B59*E$28+$C59*E$29+$D59*E$30+$E59*E$31+$F59*E$32+$G59*E$33</f>
        <v>0</v>
      </c>
      <c r="F41" s="28" t="n">
        <f aca="false">$B59*F$28+$C59*F$29+$D59*F$30+$E59*F$31+$F59*F$32+$G59*F$33</f>
        <v>-656250</v>
      </c>
      <c r="G41" s="28" t="n">
        <f aca="false">$B59*G$28+$C59*G$29+$D59*G$30+$E59*G$31+$F59*G$32+$G59*G$33</f>
        <v>1750000000</v>
      </c>
      <c r="H41" s="7"/>
      <c r="I41" s="7"/>
      <c r="J41" s="7"/>
      <c r="K41" s="7"/>
      <c r="L41" s="28" t="n">
        <f aca="false">$L59*L$28+$M59*L$29+$N59*L$30+$O59*L$31+$P59*L$32+$Q59*L$33</f>
        <v>0</v>
      </c>
      <c r="M41" s="28" t="n">
        <f aca="false">$L59*M$28+$M59*M$29+$N59*M$30+$O59*M$31+$P59*M$32+$Q59*M$33</f>
        <v>-777.777777777778</v>
      </c>
      <c r="N41" s="28" t="n">
        <f aca="false">$L59*N$28+$M59*N$29+$N59*N$30+$O59*N$31+$P59*N$32+$Q59*N$33</f>
        <v>-2333333.33333333</v>
      </c>
      <c r="O41" s="28" t="n">
        <f aca="false">$L59*O$28+$M59*O$29+$N59*O$30+$O59*O$31+$P59*O$32+$Q59*O$33</f>
        <v>0</v>
      </c>
      <c r="P41" s="28" t="n">
        <f aca="false">$L59*P$28+$M59*P$29+$N59*P$30+$O59*P$31+$P59*P$32+$Q59*P$33</f>
        <v>777.777777777778</v>
      </c>
      <c r="Q41" s="28" t="n">
        <f aca="false">$L59*Q$28+$M59*Q$29+$N59*Q$30+$O59*Q$31+$P59*Q$32+$Q59*Q$33</f>
        <v>-2333333.33333333</v>
      </c>
      <c r="R41" s="7"/>
      <c r="S41" s="7"/>
      <c r="T41" s="7"/>
      <c r="U41" s="7"/>
      <c r="V41" s="28" t="n">
        <f aca="false">$V59*B$28+$W59*B$29+$X59*B$30+$Y59*B$31+$Z59*B$32+$AA59*B$33</f>
        <v>-525000</v>
      </c>
      <c r="W41" s="28" t="n">
        <f aca="false">$V59*C$28+$W59*C$29+$X59*C$30+$Y59*C$31+$Z59*C$32+$AA59*C$33</f>
        <v>-2.00918615485113E-014</v>
      </c>
      <c r="X41" s="28" t="n">
        <f aca="false">$V59*D$28+$W59*D$29+$X59*D$30+$Y59*D$31+$Z59*D$32+$AA59*D$33</f>
        <v>-4.01837230970225E-011</v>
      </c>
      <c r="Y41" s="28" t="n">
        <f aca="false">$V59*E$28+$W59*E$29+$X59*E$30+$Y59*E$31+$Z59*E$32+$AA59*E$33</f>
        <v>525000</v>
      </c>
      <c r="Z41" s="28" t="n">
        <f aca="false">$V59*F$28+$W59*F$29+$X59*F$30+$Y59*F$31+$Z59*F$32+$AA59*F$33</f>
        <v>2.00918615485113E-014</v>
      </c>
      <c r="AA41" s="28" t="n">
        <f aca="false">$V59*G$28+$W59*G$29+$X59*G$30+$Y59*G$31+$Z59*G$32+$AA59*G$33</f>
        <v>-4.01837230970225E-011</v>
      </c>
      <c r="AB41" s="7"/>
      <c r="AC41" s="7"/>
      <c r="AD41" s="7"/>
      <c r="AJ41" s="7"/>
      <c r="AK41" s="7"/>
      <c r="AL41" s="7"/>
      <c r="AM41" s="7" t="s">
        <v>100</v>
      </c>
      <c r="AN41" s="7"/>
      <c r="AO41" s="7"/>
      <c r="AP41" s="7"/>
      <c r="AQ41" s="7"/>
      <c r="AR41" s="7"/>
      <c r="AS41" s="7" t="s">
        <v>100</v>
      </c>
      <c r="AT41" s="7"/>
      <c r="AU41" s="21" t="n">
        <v>1000000000000</v>
      </c>
      <c r="AV41" s="21" t="n">
        <v>1000000</v>
      </c>
      <c r="AW41" s="7"/>
      <c r="AX41" s="21" t="n">
        <v>1000000000</v>
      </c>
      <c r="AY41" s="7"/>
    </row>
    <row r="42" customFormat="false" ht="12" hidden="false" customHeight="false" outlineLevel="0" collapsed="false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28" t="n">
        <f aca="false">$L60*L$28+$M60*L$29+$N60*L$30+$O60*L$31+$P60*L$32+$Q60*L$33</f>
        <v>0</v>
      </c>
      <c r="M42" s="28" t="n">
        <f aca="false">$L60*M$28+$M60*M$29+$N60*M$30+$O60*M$31+$P60*M$32+$Q60*M$33</f>
        <v>2333333.33333333</v>
      </c>
      <c r="N42" s="28" t="n">
        <f aca="false">$L60*N$28+$M60*N$29+$N60*N$30+$O60*N$31+$P60*N$32+$Q60*N$33</f>
        <v>4666666666.66667</v>
      </c>
      <c r="O42" s="28" t="n">
        <f aca="false">$L60*O$28+$M60*O$29+$N60*O$30+$O60*O$31+$P60*O$32+$Q60*O$33</f>
        <v>0</v>
      </c>
      <c r="P42" s="28" t="n">
        <f aca="false">$L60*P$28+$M60*P$29+$N60*P$30+$O60*P$31+$P60*P$32+$Q60*P$33</f>
        <v>-2333333.33333333</v>
      </c>
      <c r="Q42" s="28" t="n">
        <f aca="false">$L60*Q$28+$M60*Q$29+$N60*Q$30+$O60*Q$31+$P60*Q$32+$Q60*Q$33</f>
        <v>9333333333.33333</v>
      </c>
      <c r="R42" s="7"/>
      <c r="S42" s="7"/>
      <c r="T42" s="7"/>
      <c r="U42" s="7"/>
      <c r="V42" s="28" t="n">
        <f aca="false">$V60*B$28+$W60*B$29+$X60*B$30+$Y60*B$31+$Z60*B$32+$AA60*B$33</f>
        <v>0</v>
      </c>
      <c r="W42" s="28" t="n">
        <f aca="false">$V60*C$28+$W60*C$29+$X60*C$30+$Y60*C$31+$Z60*C$32+$AA60*C$33</f>
        <v>656250</v>
      </c>
      <c r="X42" s="28" t="n">
        <f aca="false">$V60*D$28+$W60*D$29+$X60*D$30+$Y60*D$31+$Z60*D$32+$AA60*D$33</f>
        <v>875000000</v>
      </c>
      <c r="Y42" s="28" t="n">
        <f aca="false">$V60*E$28+$W60*E$29+$X60*E$30+$Y60*E$31+$Z60*E$32+$AA60*E$33</f>
        <v>0</v>
      </c>
      <c r="Z42" s="28" t="n">
        <f aca="false">$V60*F$28+$W60*F$29+$X60*F$30+$Y60*F$31+$Z60*F$32+$AA60*F$33</f>
        <v>-656250</v>
      </c>
      <c r="AA42" s="28" t="n">
        <f aca="false">$V60*G$28+$W60*G$29+$X60*G$30+$Y60*G$31+$Z60*G$32+$AA60*G$33</f>
        <v>1750000000</v>
      </c>
      <c r="AB42" s="7"/>
      <c r="AC42" s="7"/>
      <c r="AD42" s="7"/>
      <c r="AJ42" s="7"/>
      <c r="AK42" s="7"/>
      <c r="AL42" s="7"/>
      <c r="AM42" s="21" t="n">
        <f aca="false">AX41</f>
        <v>1000000000</v>
      </c>
      <c r="AN42" s="7"/>
      <c r="AO42" s="7"/>
      <c r="AP42" s="7"/>
      <c r="AQ42" s="7"/>
      <c r="AR42" s="7"/>
      <c r="AS42" s="21" t="n">
        <f aca="false">AX41</f>
        <v>1000000000</v>
      </c>
      <c r="AT42" s="7"/>
      <c r="AU42" s="7"/>
      <c r="AV42" s="7"/>
      <c r="AW42" s="7"/>
      <c r="AX42" s="7"/>
      <c r="AY42" s="7"/>
    </row>
    <row r="43" customFormat="false" ht="12" hidden="false" customHeight="false" outlineLevel="0" collapsed="false">
      <c r="A43" s="7"/>
      <c r="B43" s="7"/>
      <c r="C43" s="7"/>
      <c r="D43" s="7"/>
      <c r="E43" s="7"/>
      <c r="F43" s="7"/>
      <c r="G43" s="7"/>
      <c r="H43" s="104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100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</row>
    <row r="44" customFormat="false" ht="12" hidden="false" customHeight="false" outlineLevel="0" collapsed="false">
      <c r="A44" s="7"/>
      <c r="B44" s="87" t="s">
        <v>42</v>
      </c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100"/>
      <c r="AJ44" s="87" t="s">
        <v>101</v>
      </c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</row>
    <row r="45" customFormat="false" ht="12" hidden="false" customHeight="false" outlineLevel="0" collapsed="false">
      <c r="A45" s="7"/>
      <c r="B45" s="30" t="n">
        <f aca="false">$C$5</f>
        <v>6.12323399573677E-017</v>
      </c>
      <c r="C45" s="30" t="n">
        <f aca="false">$E$5</f>
        <v>1</v>
      </c>
      <c r="D45" s="30" t="n">
        <v>0</v>
      </c>
      <c r="E45" s="30" t="n">
        <v>0</v>
      </c>
      <c r="F45" s="30" t="n">
        <v>0</v>
      </c>
      <c r="G45" s="30" t="n">
        <v>0</v>
      </c>
      <c r="H45" s="7"/>
      <c r="I45" s="7"/>
      <c r="J45" s="7"/>
      <c r="K45" s="7"/>
      <c r="L45" s="87" t="s">
        <v>42</v>
      </c>
      <c r="M45" s="7"/>
      <c r="N45" s="7"/>
      <c r="O45" s="7"/>
      <c r="P45" s="7"/>
      <c r="Q45" s="7"/>
      <c r="R45" s="7"/>
      <c r="S45" s="7"/>
      <c r="T45" s="7"/>
      <c r="U45" s="7"/>
      <c r="V45" s="87" t="s">
        <v>42</v>
      </c>
      <c r="W45" s="7"/>
      <c r="X45" s="7"/>
      <c r="Y45" s="7"/>
      <c r="Z45" s="7"/>
      <c r="AA45" s="7"/>
      <c r="AB45" s="7"/>
      <c r="AC45" s="7"/>
      <c r="AD45" s="7"/>
      <c r="AE45" s="105"/>
      <c r="AJ45" s="11"/>
      <c r="AK45" s="11" t="n">
        <v>1</v>
      </c>
      <c r="AL45" s="11" t="n">
        <v>2</v>
      </c>
      <c r="AM45" s="11" t="n">
        <v>3</v>
      </c>
      <c r="AN45" s="11" t="n">
        <v>4</v>
      </c>
      <c r="AO45" s="11" t="n">
        <v>5</v>
      </c>
      <c r="AP45" s="11" t="n">
        <v>6</v>
      </c>
      <c r="AQ45" s="11" t="n">
        <v>7</v>
      </c>
      <c r="AR45" s="11" t="n">
        <v>8</v>
      </c>
      <c r="AS45" s="11" t="n">
        <v>9</v>
      </c>
      <c r="AT45" s="11" t="n">
        <v>10</v>
      </c>
      <c r="AU45" s="11" t="n">
        <v>11</v>
      </c>
      <c r="AV45" s="11" t="n">
        <v>12</v>
      </c>
      <c r="AW45" s="11" t="n">
        <v>13</v>
      </c>
      <c r="AX45" s="11" t="n">
        <v>14</v>
      </c>
      <c r="AY45" s="7" t="s">
        <v>37</v>
      </c>
      <c r="AZ45" s="10" t="s">
        <v>38</v>
      </c>
      <c r="BA45" s="7" t="s">
        <v>39</v>
      </c>
      <c r="BB45" s="10" t="s">
        <v>10</v>
      </c>
      <c r="BC45" s="7"/>
    </row>
    <row r="46" customFormat="false" ht="12" hidden="false" customHeight="false" outlineLevel="0" collapsed="false">
      <c r="A46" s="7"/>
      <c r="B46" s="30" t="n">
        <f aca="false">-$E$5</f>
        <v>-1</v>
      </c>
      <c r="C46" s="30" t="n">
        <f aca="false">$C$5</f>
        <v>6.12323399573677E-017</v>
      </c>
      <c r="D46" s="30" t="n">
        <v>0</v>
      </c>
      <c r="E46" s="30" t="n">
        <v>0</v>
      </c>
      <c r="F46" s="30" t="n">
        <v>0</v>
      </c>
      <c r="G46" s="30" t="n">
        <v>0</v>
      </c>
      <c r="H46" s="7"/>
      <c r="I46" s="7"/>
      <c r="J46" s="7"/>
      <c r="K46" s="7"/>
      <c r="L46" s="30" t="n">
        <f aca="false">$M$5</f>
        <v>1</v>
      </c>
      <c r="M46" s="30" t="n">
        <f aca="false">$O$5</f>
        <v>0</v>
      </c>
      <c r="N46" s="30" t="n">
        <v>0</v>
      </c>
      <c r="O46" s="30" t="n">
        <v>0</v>
      </c>
      <c r="P46" s="30" t="n">
        <v>0</v>
      </c>
      <c r="Q46" s="30" t="n">
        <v>0</v>
      </c>
      <c r="R46" s="7"/>
      <c r="S46" s="7"/>
      <c r="T46" s="7"/>
      <c r="U46" s="7"/>
      <c r="V46" s="30" t="n">
        <f aca="false">$C$5</f>
        <v>6.12323399573677E-017</v>
      </c>
      <c r="W46" s="30" t="n">
        <f aca="false">$E$5</f>
        <v>1</v>
      </c>
      <c r="X46" s="30" t="n">
        <v>0</v>
      </c>
      <c r="Y46" s="30" t="n">
        <v>0</v>
      </c>
      <c r="Z46" s="30" t="n">
        <v>0</v>
      </c>
      <c r="AA46" s="30" t="n">
        <v>0</v>
      </c>
      <c r="AB46" s="7"/>
      <c r="AC46" s="7"/>
      <c r="AD46" s="7"/>
      <c r="AE46" s="106"/>
      <c r="AJ46" s="11" t="n">
        <v>1</v>
      </c>
      <c r="AK46" s="107" t="n">
        <f aca="false">AK6+BA6+AK25</f>
        <v>328.125</v>
      </c>
      <c r="AL46" s="108" t="n">
        <f aca="false">AL6+BB6+AL25</f>
        <v>3.21268866160695E-011</v>
      </c>
      <c r="AM46" s="108" t="n">
        <f aca="false">AM6+BC6+AM25</f>
        <v>-656250</v>
      </c>
      <c r="AN46" s="108" t="n">
        <f aca="false">AN6+BD6+AN25</f>
        <v>-328.125</v>
      </c>
      <c r="AO46" s="108" t="n">
        <f aca="false">AO6+BE6+AO25</f>
        <v>-3.21268866160695E-011</v>
      </c>
      <c r="AP46" s="109" t="n">
        <f aca="false">AP6+BF6+AP25</f>
        <v>0</v>
      </c>
      <c r="AQ46" s="110" t="n">
        <f aca="false">AQ6+BG6+AQ25</f>
        <v>0</v>
      </c>
      <c r="AR46" s="110" t="n">
        <f aca="false">AR6+BH6+AR25</f>
        <v>0</v>
      </c>
      <c r="AS46" s="110" t="n">
        <f aca="false">AS6+BI6+AS25</f>
        <v>0</v>
      </c>
      <c r="AT46" s="110" t="n">
        <f aca="false">AT6+BJ6+AT25</f>
        <v>0</v>
      </c>
      <c r="AU46" s="110" t="n">
        <f aca="false">AU6+BK6+AU25</f>
        <v>0</v>
      </c>
      <c r="AV46" s="110" t="n">
        <f aca="false">AV6+BL6+AV25</f>
        <v>0</v>
      </c>
      <c r="AW46" s="111" t="n">
        <f aca="false">AW6+BM6+AW25</f>
        <v>-656250</v>
      </c>
      <c r="AX46" s="112" t="n">
        <f aca="false">AX6+BN6+AX25</f>
        <v>0</v>
      </c>
      <c r="AY46" s="1"/>
      <c r="AZ46" s="7" t="n">
        <v>0</v>
      </c>
      <c r="BA46" s="1"/>
      <c r="BB46" s="13" t="n">
        <f aca="false">AY6+BO6+AY25</f>
        <v>20000</v>
      </c>
      <c r="BC46" s="1" t="s">
        <v>41</v>
      </c>
      <c r="BE46" s="7"/>
      <c r="BG46" s="7"/>
      <c r="BH46" s="7"/>
      <c r="BI46" s="7"/>
      <c r="BJ46" s="7"/>
      <c r="BK46" s="7"/>
      <c r="BL46" s="7"/>
      <c r="BM46" s="7"/>
      <c r="BN46" s="7"/>
      <c r="CE46" s="100"/>
    </row>
    <row r="47" customFormat="false" ht="12" hidden="false" customHeight="false" outlineLevel="0" collapsed="false">
      <c r="A47" s="7"/>
      <c r="B47" s="30" t="n">
        <v>0</v>
      </c>
      <c r="C47" s="30" t="n">
        <v>0</v>
      </c>
      <c r="D47" s="30" t="n">
        <v>1</v>
      </c>
      <c r="E47" s="30" t="n">
        <v>0</v>
      </c>
      <c r="F47" s="30" t="n">
        <v>0</v>
      </c>
      <c r="G47" s="30" t="n">
        <v>0</v>
      </c>
      <c r="H47" s="7"/>
      <c r="I47" s="7"/>
      <c r="J47" s="7"/>
      <c r="K47" s="7"/>
      <c r="L47" s="30" t="n">
        <f aca="false">-$O$5</f>
        <v>-0</v>
      </c>
      <c r="M47" s="30" t="n">
        <f aca="false">$M$5</f>
        <v>1</v>
      </c>
      <c r="N47" s="30" t="n">
        <v>0</v>
      </c>
      <c r="O47" s="30" t="n">
        <v>0</v>
      </c>
      <c r="P47" s="30" t="n">
        <v>0</v>
      </c>
      <c r="Q47" s="30" t="n">
        <v>0</v>
      </c>
      <c r="R47" s="7"/>
      <c r="S47" s="7"/>
      <c r="T47" s="7"/>
      <c r="U47" s="7"/>
      <c r="V47" s="30" t="n">
        <f aca="false">-$E$5</f>
        <v>-1</v>
      </c>
      <c r="W47" s="30" t="n">
        <f aca="false">$C$5</f>
        <v>6.12323399573677E-017</v>
      </c>
      <c r="X47" s="30" t="n">
        <v>0</v>
      </c>
      <c r="Y47" s="30" t="n">
        <v>0</v>
      </c>
      <c r="Z47" s="30" t="n">
        <v>0</v>
      </c>
      <c r="AA47" s="30" t="n">
        <v>0</v>
      </c>
      <c r="AB47" s="7"/>
      <c r="AC47" s="7"/>
      <c r="AD47" s="7"/>
      <c r="AE47" s="105"/>
      <c r="AJ47" s="11" t="n">
        <v>2</v>
      </c>
      <c r="AK47" s="113" t="n">
        <f aca="false">AK7+BA7+AK26</f>
        <v>3.21268866160695E-011</v>
      </c>
      <c r="AL47" s="114" t="n">
        <f aca="false">AL7+BB7+AL26</f>
        <v>525000</v>
      </c>
      <c r="AM47" s="114" t="n">
        <f aca="false">AM7+BC7+AM26</f>
        <v>4.01837230970225E-011</v>
      </c>
      <c r="AN47" s="114" t="n">
        <f aca="false">AN7+BD7+AN26</f>
        <v>-3.21268866160695E-011</v>
      </c>
      <c r="AO47" s="114" t="n">
        <f aca="false">AO7+BE7+AO26</f>
        <v>-525000</v>
      </c>
      <c r="AP47" s="115" t="n">
        <f aca="false">AP7+BF7+AP26</f>
        <v>0</v>
      </c>
      <c r="AQ47" s="116" t="n">
        <f aca="false">AQ7+BG7+AQ26</f>
        <v>0</v>
      </c>
      <c r="AR47" s="116" t="n">
        <f aca="false">AR7+BH7+AR26</f>
        <v>0</v>
      </c>
      <c r="AS47" s="116" t="n">
        <f aca="false">AS7+BI7+AS26</f>
        <v>0</v>
      </c>
      <c r="AT47" s="116" t="n">
        <f aca="false">AT7+BJ7+AT26</f>
        <v>0</v>
      </c>
      <c r="AU47" s="116" t="n">
        <f aca="false">AU7+BK7+AU26</f>
        <v>0</v>
      </c>
      <c r="AV47" s="116" t="n">
        <f aca="false">AV7+BL7+AV26</f>
        <v>0</v>
      </c>
      <c r="AW47" s="117" t="n">
        <f aca="false">AW7+BM7+AW26</f>
        <v>4.01837230970225E-011</v>
      </c>
      <c r="AX47" s="118" t="n">
        <f aca="false">AX7+BN7+AX26</f>
        <v>0</v>
      </c>
      <c r="AY47" s="1"/>
      <c r="AZ47" s="7" t="n">
        <v>0</v>
      </c>
      <c r="BA47" s="1"/>
      <c r="BB47" s="13" t="n">
        <f aca="false">AY7+BO7+AY26</f>
        <v>-1.22464679914735E-012</v>
      </c>
      <c r="BC47" s="1" t="s">
        <v>43</v>
      </c>
      <c r="BE47" s="37"/>
      <c r="BG47" s="41"/>
      <c r="BH47" s="41"/>
      <c r="BI47" s="41"/>
      <c r="BJ47" s="41"/>
      <c r="BK47" s="41"/>
      <c r="BL47" s="41"/>
      <c r="BM47" s="41"/>
      <c r="BN47" s="41"/>
      <c r="BS47" s="95"/>
      <c r="CE47" s="100"/>
    </row>
    <row r="48" customFormat="false" ht="12" hidden="false" customHeight="false" outlineLevel="0" collapsed="false">
      <c r="A48" s="7"/>
      <c r="B48" s="30" t="n">
        <v>0</v>
      </c>
      <c r="C48" s="30" t="n">
        <v>0</v>
      </c>
      <c r="D48" s="30" t="n">
        <v>0</v>
      </c>
      <c r="E48" s="30" t="n">
        <f aca="false">$C$5</f>
        <v>6.12323399573677E-017</v>
      </c>
      <c r="F48" s="30" t="n">
        <f aca="false">$E$5</f>
        <v>1</v>
      </c>
      <c r="G48" s="30" t="n">
        <v>0</v>
      </c>
      <c r="H48" s="7"/>
      <c r="I48" s="7"/>
      <c r="J48" s="7"/>
      <c r="K48" s="7"/>
      <c r="L48" s="30" t="n">
        <v>0</v>
      </c>
      <c r="M48" s="30" t="n">
        <v>0</v>
      </c>
      <c r="N48" s="30" t="n">
        <v>1</v>
      </c>
      <c r="O48" s="30" t="n">
        <v>0</v>
      </c>
      <c r="P48" s="30" t="n">
        <v>0</v>
      </c>
      <c r="Q48" s="30" t="n">
        <v>0</v>
      </c>
      <c r="R48" s="7"/>
      <c r="S48" s="7"/>
      <c r="T48" s="7"/>
      <c r="U48" s="7"/>
      <c r="V48" s="30" t="n">
        <v>0</v>
      </c>
      <c r="W48" s="30" t="n">
        <v>0</v>
      </c>
      <c r="X48" s="30" t="n">
        <v>1</v>
      </c>
      <c r="Y48" s="30" t="n">
        <v>0</v>
      </c>
      <c r="Z48" s="30" t="n">
        <v>0</v>
      </c>
      <c r="AA48" s="30" t="n">
        <v>0</v>
      </c>
      <c r="AB48" s="7"/>
      <c r="AC48" s="7"/>
      <c r="AD48" s="7"/>
      <c r="AE48" s="105"/>
      <c r="AJ48" s="11" t="n">
        <v>3</v>
      </c>
      <c r="AK48" s="113" t="n">
        <f aca="false">AK8+BA8+AK27</f>
        <v>-656250</v>
      </c>
      <c r="AL48" s="114" t="n">
        <f aca="false">AL8+BB8+AL27</f>
        <v>4.01837230970225E-011</v>
      </c>
      <c r="AM48" s="114" t="n">
        <f aca="false">AM8+BC8+AM27+AM42</f>
        <v>2750000000</v>
      </c>
      <c r="AN48" s="114" t="n">
        <f aca="false">AN8+BD8+AN27</f>
        <v>656250</v>
      </c>
      <c r="AO48" s="114" t="n">
        <f aca="false">AO8+BE8+AO27</f>
        <v>-4.01837230970225E-011</v>
      </c>
      <c r="AP48" s="115" t="n">
        <f aca="false">AP8+BF8+AP27</f>
        <v>0</v>
      </c>
      <c r="AQ48" s="116" t="n">
        <f aca="false">AQ8+BG8+AQ27</f>
        <v>0</v>
      </c>
      <c r="AR48" s="116" t="n">
        <f aca="false">AR8+BH8+AR27</f>
        <v>0</v>
      </c>
      <c r="AS48" s="116" t="n">
        <f aca="false">AS8+BI8+AS27</f>
        <v>0</v>
      </c>
      <c r="AT48" s="116" t="n">
        <f aca="false">AT8+BJ8+AT27</f>
        <v>0</v>
      </c>
      <c r="AU48" s="116" t="n">
        <f aca="false">AU8+BK8+AU27</f>
        <v>0</v>
      </c>
      <c r="AV48" s="116" t="n">
        <f aca="false">AV8+BL8+AV27</f>
        <v>0</v>
      </c>
      <c r="AW48" s="117" t="n">
        <f aca="false">AW8+BM8+AW27</f>
        <v>875000000</v>
      </c>
      <c r="AX48" s="118" t="n">
        <f aca="false">AX8+BN8+AX27</f>
        <v>0</v>
      </c>
      <c r="AY48" s="1"/>
      <c r="AZ48" s="7" t="s">
        <v>44</v>
      </c>
      <c r="BA48" s="1"/>
      <c r="BB48" s="13" t="n">
        <f aca="false">AY8+BO8+AY27</f>
        <v>-13333333.3333333</v>
      </c>
      <c r="BC48" s="1" t="s">
        <v>91</v>
      </c>
      <c r="BE48" s="37"/>
      <c r="BG48" s="41"/>
      <c r="BH48" s="37"/>
      <c r="BI48" s="41"/>
      <c r="BJ48" s="41"/>
      <c r="BK48" s="41"/>
      <c r="BL48" s="41"/>
      <c r="BM48" s="41"/>
      <c r="BN48" s="41"/>
    </row>
    <row r="49" customFormat="false" ht="12" hidden="false" customHeight="false" outlineLevel="0" collapsed="false">
      <c r="A49" s="7"/>
      <c r="B49" s="30" t="n">
        <v>0</v>
      </c>
      <c r="C49" s="30" t="n">
        <v>0</v>
      </c>
      <c r="D49" s="30" t="n">
        <v>0</v>
      </c>
      <c r="E49" s="30" t="n">
        <f aca="false">-$E$5</f>
        <v>-1</v>
      </c>
      <c r="F49" s="30" t="n">
        <f aca="false">$C$5</f>
        <v>6.12323399573677E-017</v>
      </c>
      <c r="G49" s="30" t="n">
        <v>0</v>
      </c>
      <c r="H49" s="7"/>
      <c r="I49" s="7"/>
      <c r="J49" s="7"/>
      <c r="K49" s="7"/>
      <c r="L49" s="30" t="n">
        <v>0</v>
      </c>
      <c r="M49" s="30" t="n">
        <v>0</v>
      </c>
      <c r="N49" s="30" t="n">
        <v>0</v>
      </c>
      <c r="O49" s="30" t="n">
        <f aca="false">$M$5</f>
        <v>1</v>
      </c>
      <c r="P49" s="30" t="n">
        <f aca="false">$O$5</f>
        <v>0</v>
      </c>
      <c r="Q49" s="30" t="n">
        <v>0</v>
      </c>
      <c r="R49" s="7"/>
      <c r="S49" s="7"/>
      <c r="T49" s="7"/>
      <c r="U49" s="7"/>
      <c r="V49" s="30" t="n">
        <v>0</v>
      </c>
      <c r="W49" s="30" t="n">
        <v>0</v>
      </c>
      <c r="X49" s="30" t="n">
        <v>0</v>
      </c>
      <c r="Y49" s="30" t="n">
        <f aca="false">$C$5</f>
        <v>6.12323399573677E-017</v>
      </c>
      <c r="Z49" s="30" t="n">
        <f aca="false">$E$5</f>
        <v>1</v>
      </c>
      <c r="AA49" s="30" t="n">
        <v>0</v>
      </c>
      <c r="AB49" s="7"/>
      <c r="AC49" s="7"/>
      <c r="AD49" s="7"/>
      <c r="AE49" s="106"/>
      <c r="AH49" s="100"/>
      <c r="AI49" s="100"/>
      <c r="AJ49" s="11" t="n">
        <v>4</v>
      </c>
      <c r="AK49" s="113" t="n">
        <f aca="false">AK9+BA9+AK28</f>
        <v>-328.125</v>
      </c>
      <c r="AL49" s="114" t="n">
        <f aca="false">AL9+BB9+AL28</f>
        <v>-3.21268866160695E-011</v>
      </c>
      <c r="AM49" s="114" t="n">
        <f aca="false">AM9+BC9+AM28</f>
        <v>656250</v>
      </c>
      <c r="AN49" s="119" t="n">
        <f aca="false">AN9+BD9+AN28</f>
        <v>700328.125</v>
      </c>
      <c r="AO49" s="119" t="n">
        <f aca="false">AO9+BE9+AO28</f>
        <v>3.21268866160695E-011</v>
      </c>
      <c r="AP49" s="120" t="n">
        <f aca="false">AP9+BF9+AP28</f>
        <v>0</v>
      </c>
      <c r="AQ49" s="115" t="n">
        <f aca="false">AQ9+BG9+AQ28</f>
        <v>0</v>
      </c>
      <c r="AR49" s="116" t="n">
        <f aca="false">AR9+BH9+AR28</f>
        <v>0</v>
      </c>
      <c r="AS49" s="116" t="n">
        <f aca="false">AS9+BI9+AS28</f>
        <v>0</v>
      </c>
      <c r="AT49" s="121" t="n">
        <f aca="false">AT9+BJ9+AT28</f>
        <v>-700000</v>
      </c>
      <c r="AU49" s="120" t="n">
        <f aca="false">AU9+BK9+AU28</f>
        <v>0</v>
      </c>
      <c r="AV49" s="120" t="n">
        <f aca="false">AV9+BL9+AV28</f>
        <v>0</v>
      </c>
      <c r="AW49" s="117" t="n">
        <f aca="false">AW9+BM9+AW28</f>
        <v>656250</v>
      </c>
      <c r="AX49" s="118" t="n">
        <f aca="false">AX9+BN9+AX28</f>
        <v>0</v>
      </c>
      <c r="AY49" s="1"/>
      <c r="AZ49" s="7" t="s">
        <v>45</v>
      </c>
      <c r="BA49" s="1"/>
      <c r="BB49" s="13" t="n">
        <f aca="false">AY9+BO9+AY28</f>
        <v>20000</v>
      </c>
      <c r="BC49" s="1"/>
      <c r="BE49" s="37"/>
      <c r="BG49" s="41"/>
      <c r="BH49" s="37"/>
      <c r="BI49" s="41"/>
      <c r="BJ49" s="41"/>
      <c r="BK49" s="41"/>
      <c r="BL49" s="41"/>
      <c r="CW49" s="100"/>
    </row>
    <row r="50" customFormat="false" ht="12" hidden="false" customHeight="false" outlineLevel="0" collapsed="false">
      <c r="A50" s="7"/>
      <c r="B50" s="30" t="n">
        <v>0</v>
      </c>
      <c r="C50" s="30" t="n">
        <v>0</v>
      </c>
      <c r="D50" s="30" t="n">
        <v>0</v>
      </c>
      <c r="E50" s="30" t="n">
        <v>0</v>
      </c>
      <c r="F50" s="30" t="n">
        <v>0</v>
      </c>
      <c r="G50" s="30" t="n">
        <f aca="false">D47</f>
        <v>1</v>
      </c>
      <c r="H50" s="7"/>
      <c r="I50" s="7"/>
      <c r="J50" s="7"/>
      <c r="K50" s="7"/>
      <c r="L50" s="30" t="n">
        <v>0</v>
      </c>
      <c r="M50" s="30" t="n">
        <v>0</v>
      </c>
      <c r="N50" s="30" t="n">
        <v>0</v>
      </c>
      <c r="O50" s="30" t="n">
        <f aca="false">-$O$5</f>
        <v>-0</v>
      </c>
      <c r="P50" s="30" t="n">
        <f aca="false">$M$5</f>
        <v>1</v>
      </c>
      <c r="Q50" s="30" t="n">
        <v>0</v>
      </c>
      <c r="R50" s="7"/>
      <c r="S50" s="7"/>
      <c r="T50" s="7"/>
      <c r="U50" s="7"/>
      <c r="V50" s="30" t="n">
        <v>0</v>
      </c>
      <c r="W50" s="30" t="n">
        <v>0</v>
      </c>
      <c r="X50" s="30" t="n">
        <v>0</v>
      </c>
      <c r="Y50" s="30" t="n">
        <f aca="false">-$E$5</f>
        <v>-1</v>
      </c>
      <c r="Z50" s="30" t="n">
        <f aca="false">$C$5</f>
        <v>6.12323399573677E-017</v>
      </c>
      <c r="AA50" s="30" t="n">
        <v>0</v>
      </c>
      <c r="AB50" s="7"/>
      <c r="AC50" s="7"/>
      <c r="AD50" s="7"/>
      <c r="AE50" s="105"/>
      <c r="AH50" s="100"/>
      <c r="AI50" s="100"/>
      <c r="AJ50" s="11" t="n">
        <v>5</v>
      </c>
      <c r="AK50" s="113" t="n">
        <f aca="false">AK10+BA10+AK29</f>
        <v>-3.21268866160695E-011</v>
      </c>
      <c r="AL50" s="114" t="n">
        <f aca="false">AL10+BB10+AL29</f>
        <v>-525000</v>
      </c>
      <c r="AM50" s="114" t="n">
        <f aca="false">AM10+BC10+AM29</f>
        <v>-4.01837230970225E-011</v>
      </c>
      <c r="AN50" s="119" t="n">
        <f aca="false">AN10+BD10+AN29</f>
        <v>3.21268866160695E-011</v>
      </c>
      <c r="AO50" s="119" t="n">
        <f aca="false">AO10+BE10+AO29</f>
        <v>525777.777777778</v>
      </c>
      <c r="AP50" s="120" t="n">
        <f aca="false">AP10+BF10+AP29</f>
        <v>2333333.33333333</v>
      </c>
      <c r="AQ50" s="115" t="n">
        <f aca="false">AQ10+BG10+AQ29</f>
        <v>0</v>
      </c>
      <c r="AR50" s="116" t="n">
        <f aca="false">AR10+BH10+AR29</f>
        <v>0</v>
      </c>
      <c r="AS50" s="116" t="n">
        <f aca="false">AS10+BI10+AS29</f>
        <v>0</v>
      </c>
      <c r="AT50" s="121" t="n">
        <f aca="false">AT10+BJ10+AT29</f>
        <v>0</v>
      </c>
      <c r="AU50" s="120" t="n">
        <f aca="false">AU10+BK10+AU29</f>
        <v>-777.777777777778</v>
      </c>
      <c r="AV50" s="120" t="n">
        <f aca="false">AV10+BL10+AV29</f>
        <v>2333333.33333333</v>
      </c>
      <c r="AW50" s="117" t="n">
        <f aca="false">AW10+BM10+AW29</f>
        <v>-4.01837230970225E-011</v>
      </c>
      <c r="AX50" s="118" t="n">
        <f aca="false">AX10+BN10+AX29</f>
        <v>0</v>
      </c>
      <c r="AY50" s="1"/>
      <c r="AZ50" s="7" t="s">
        <v>46</v>
      </c>
      <c r="BA50" s="1"/>
      <c r="BB50" s="13" t="n">
        <f aca="false">AY10+BO10+AY29</f>
        <v>-30000</v>
      </c>
      <c r="BC50" s="1"/>
      <c r="BG50" s="41"/>
      <c r="BH50" s="37"/>
      <c r="BI50" s="41"/>
      <c r="BJ50" s="41"/>
      <c r="BK50" s="41"/>
      <c r="BL50" s="41"/>
      <c r="CW50" s="100"/>
    </row>
    <row r="51" customFormat="false" ht="12" hidden="false" customHeight="false" outlineLevel="0" collapsed="false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30" t="n">
        <v>0</v>
      </c>
      <c r="M51" s="30" t="n">
        <v>0</v>
      </c>
      <c r="N51" s="30" t="n">
        <v>0</v>
      </c>
      <c r="O51" s="30" t="n">
        <v>0</v>
      </c>
      <c r="P51" s="30" t="n">
        <v>0</v>
      </c>
      <c r="Q51" s="30" t="n">
        <f aca="false">N48</f>
        <v>1</v>
      </c>
      <c r="R51" s="7"/>
      <c r="S51" s="7"/>
      <c r="T51" s="7"/>
      <c r="U51" s="7"/>
      <c r="V51" s="30" t="n">
        <v>0</v>
      </c>
      <c r="W51" s="30" t="n">
        <v>0</v>
      </c>
      <c r="X51" s="30" t="n">
        <v>0</v>
      </c>
      <c r="Y51" s="30" t="n">
        <v>0</v>
      </c>
      <c r="Z51" s="30" t="n">
        <v>0</v>
      </c>
      <c r="AA51" s="30" t="n">
        <f aca="false">X48</f>
        <v>1</v>
      </c>
      <c r="AB51" s="7"/>
      <c r="AC51" s="7"/>
      <c r="AD51" s="7"/>
      <c r="AH51" s="105"/>
      <c r="AI51" s="105"/>
      <c r="AJ51" s="11" t="n">
        <v>6</v>
      </c>
      <c r="AK51" s="122" t="n">
        <f aca="false">AK11+BA11+AK30</f>
        <v>0</v>
      </c>
      <c r="AL51" s="115" t="n">
        <f aca="false">AL11+BB11+AL30</f>
        <v>0</v>
      </c>
      <c r="AM51" s="115" t="n">
        <f aca="false">AM11+BC11+AM30</f>
        <v>0</v>
      </c>
      <c r="AN51" s="120" t="n">
        <f aca="false">AN11+BD11+AN30</f>
        <v>0</v>
      </c>
      <c r="AO51" s="120" t="n">
        <f aca="false">AO11+BE11+AO30</f>
        <v>2333333.33333333</v>
      </c>
      <c r="AP51" s="120" t="n">
        <f aca="false">AP11+BF11+AP30</f>
        <v>9333333333.33333</v>
      </c>
      <c r="AQ51" s="116" t="n">
        <f aca="false">AQ11+BG11+AQ30</f>
        <v>0</v>
      </c>
      <c r="AR51" s="116" t="n">
        <f aca="false">AR11+BH11+AR30</f>
        <v>0</v>
      </c>
      <c r="AS51" s="116" t="n">
        <f aca="false">AS11+BI11+AS30</f>
        <v>0</v>
      </c>
      <c r="AT51" s="121" t="n">
        <f aca="false">AT11+BJ11+AT30</f>
        <v>0</v>
      </c>
      <c r="AU51" s="121" t="n">
        <f aca="false">AU11+BK11+AU30</f>
        <v>-2333333.33333333</v>
      </c>
      <c r="AV51" s="121" t="n">
        <f aca="false">AV11+BL11+AV30</f>
        <v>4666666666.66667</v>
      </c>
      <c r="AW51" s="116" t="n">
        <f aca="false">AW11+BM11+AW30</f>
        <v>0</v>
      </c>
      <c r="AX51" s="118" t="n">
        <f aca="false">AX11+BN11+AX30</f>
        <v>0</v>
      </c>
      <c r="AY51" s="1"/>
      <c r="AZ51" s="7" t="s">
        <v>47</v>
      </c>
      <c r="BA51" s="1"/>
      <c r="BB51" s="13" t="n">
        <f aca="false">AY11+BO11+AY30</f>
        <v>-30000000</v>
      </c>
      <c r="BC51" s="1"/>
      <c r="BE51" s="37"/>
      <c r="BG51" s="41"/>
      <c r="BH51" s="37"/>
      <c r="BI51" s="41"/>
      <c r="BJ51" s="41"/>
      <c r="BK51" s="41"/>
      <c r="BL51" s="41"/>
      <c r="BO51" s="123"/>
      <c r="BP51" s="123"/>
    </row>
    <row r="52" customFormat="false" ht="12" hidden="false" customHeight="false" outlineLevel="0" collapsed="false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H52" s="106"/>
      <c r="AI52" s="106"/>
      <c r="AJ52" s="11" t="n">
        <v>7</v>
      </c>
      <c r="AK52" s="124" t="n">
        <f aca="false">AK12+BA12+AK31</f>
        <v>0</v>
      </c>
      <c r="AL52" s="116" t="n">
        <f aca="false">AL12+BB12+AL31</f>
        <v>0</v>
      </c>
      <c r="AM52" s="116" t="n">
        <f aca="false">AM12+BC12+AM31</f>
        <v>0</v>
      </c>
      <c r="AN52" s="115" t="n">
        <f aca="false">AN12+BD12+AN31</f>
        <v>0</v>
      </c>
      <c r="AO52" s="115" t="n">
        <f aca="false">AO12+BE12+AO31</f>
        <v>0</v>
      </c>
      <c r="AP52" s="116" t="n">
        <f aca="false">AP12+BF12+AP31</f>
        <v>0</v>
      </c>
      <c r="AQ52" s="125" t="n">
        <f aca="false">AQ12+BG12+AQ31</f>
        <v>328.125</v>
      </c>
      <c r="AR52" s="126" t="n">
        <f aca="false">AR12+BH12+AR31</f>
        <v>3.21268866160695E-011</v>
      </c>
      <c r="AS52" s="126" t="n">
        <f aca="false">AS12+BI12+AS31</f>
        <v>-656250</v>
      </c>
      <c r="AT52" s="126" t="n">
        <f aca="false">AT12+BJ12+AT31</f>
        <v>-328.125</v>
      </c>
      <c r="AU52" s="125" t="n">
        <f aca="false">AU12+BK12+AU31</f>
        <v>-3.21268866160695E-011</v>
      </c>
      <c r="AV52" s="115" t="n">
        <f aca="false">AV12+BL12+AV31</f>
        <v>0</v>
      </c>
      <c r="AW52" s="116" t="n">
        <f aca="false">AW12+BM12+AW31</f>
        <v>0</v>
      </c>
      <c r="AX52" s="127" t="n">
        <f aca="false">AX12+BN12+AX31</f>
        <v>-656250</v>
      </c>
      <c r="AY52" s="1"/>
      <c r="AZ52" s="7" t="n">
        <v>0</v>
      </c>
      <c r="BA52" s="1"/>
      <c r="BB52" s="13" t="n">
        <f aca="false">AY12+BO12+AY31</f>
        <v>-10000</v>
      </c>
      <c r="BC52" s="1" t="s">
        <v>48</v>
      </c>
      <c r="BE52" s="37"/>
      <c r="BG52" s="41"/>
      <c r="BH52" s="37"/>
      <c r="BI52" s="41"/>
      <c r="BJ52" s="41"/>
      <c r="BK52" s="41"/>
      <c r="BL52" s="41"/>
      <c r="BO52" s="123"/>
      <c r="BP52" s="123"/>
    </row>
    <row r="53" customFormat="false" ht="12" hidden="false" customHeight="false" outlineLevel="0" collapsed="false">
      <c r="A53" s="7"/>
      <c r="B53" s="87" t="s">
        <v>52</v>
      </c>
      <c r="C53" s="7"/>
      <c r="D53" s="7"/>
      <c r="E53" s="7"/>
      <c r="F53" s="7"/>
      <c r="G53" s="7"/>
      <c r="H53" s="7"/>
      <c r="I53" s="21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H53" s="105"/>
      <c r="AI53" s="105"/>
      <c r="AJ53" s="11" t="n">
        <v>8</v>
      </c>
      <c r="AK53" s="124" t="n">
        <f aca="false">AK13+BA13+AK32</f>
        <v>0</v>
      </c>
      <c r="AL53" s="116" t="n">
        <f aca="false">AL13+BB13+AL32</f>
        <v>0</v>
      </c>
      <c r="AM53" s="116" t="n">
        <f aca="false">AM13+BC13+AM32</f>
        <v>0</v>
      </c>
      <c r="AN53" s="116" t="n">
        <f aca="false">AN13+BD13+AN32</f>
        <v>0</v>
      </c>
      <c r="AO53" s="116" t="n">
        <f aca="false">AO13+BE13+AO32</f>
        <v>0</v>
      </c>
      <c r="AP53" s="116" t="n">
        <f aca="false">AP13+BF13+AP32</f>
        <v>0</v>
      </c>
      <c r="AQ53" s="126" t="n">
        <f aca="false">AQ13+BG13+AQ32</f>
        <v>3.21268866160695E-011</v>
      </c>
      <c r="AR53" s="125" t="n">
        <f aca="false">AR13+BH13+AR32</f>
        <v>525000</v>
      </c>
      <c r="AS53" s="125" t="n">
        <f aca="false">AS13+BI13+AS32</f>
        <v>4.01837230970225E-011</v>
      </c>
      <c r="AT53" s="125" t="n">
        <f aca="false">AT13+BJ13+AT32</f>
        <v>-3.21268866160695E-011</v>
      </c>
      <c r="AU53" s="125" t="n">
        <f aca="false">AU13+BK13+AU32</f>
        <v>-525000</v>
      </c>
      <c r="AV53" s="115" t="n">
        <f aca="false">AV13+BL13+AV32</f>
        <v>0</v>
      </c>
      <c r="AW53" s="116" t="n">
        <f aca="false">AW13+BM13+AW32</f>
        <v>0</v>
      </c>
      <c r="AX53" s="127" t="n">
        <f aca="false">AX13+BN13+AX32</f>
        <v>4.01837230970225E-011</v>
      </c>
      <c r="AY53" s="1"/>
      <c r="AZ53" s="7" t="n">
        <v>0</v>
      </c>
      <c r="BA53" s="1"/>
      <c r="BB53" s="13" t="n">
        <f aca="false">AY13+BO13+AY32</f>
        <v>6.12323399573677E-013</v>
      </c>
      <c r="BC53" s="1" t="s">
        <v>49</v>
      </c>
      <c r="BE53" s="41"/>
      <c r="BG53" s="41"/>
      <c r="BH53" s="41"/>
      <c r="BI53" s="41"/>
      <c r="BJ53" s="41"/>
      <c r="BK53" s="41"/>
      <c r="BL53" s="41"/>
      <c r="BM53" s="41"/>
      <c r="BN53" s="41"/>
      <c r="BO53" s="123"/>
      <c r="BP53" s="123"/>
    </row>
    <row r="54" customFormat="false" ht="12" hidden="false" customHeight="false" outlineLevel="0" collapsed="false">
      <c r="A54" s="7"/>
      <c r="B54" s="30" t="n">
        <f aca="false">$C$5</f>
        <v>6.12323399573677E-017</v>
      </c>
      <c r="C54" s="30" t="n">
        <f aca="false">-$E$5</f>
        <v>-1</v>
      </c>
      <c r="D54" s="30" t="n">
        <v>0</v>
      </c>
      <c r="E54" s="30" t="n">
        <v>0</v>
      </c>
      <c r="F54" s="30" t="n">
        <v>0</v>
      </c>
      <c r="G54" s="30" t="n">
        <v>0</v>
      </c>
      <c r="H54" s="7"/>
      <c r="I54" s="7"/>
      <c r="J54" s="7"/>
      <c r="K54" s="7"/>
      <c r="L54" s="87" t="s">
        <v>52</v>
      </c>
      <c r="M54" s="7"/>
      <c r="N54" s="7"/>
      <c r="O54" s="7"/>
      <c r="P54" s="7"/>
      <c r="Q54" s="7"/>
      <c r="R54" s="7"/>
      <c r="S54" s="7"/>
      <c r="T54" s="7"/>
      <c r="U54" s="7"/>
      <c r="V54" s="87" t="s">
        <v>52</v>
      </c>
      <c r="W54" s="7"/>
      <c r="X54" s="7"/>
      <c r="Y54" s="7"/>
      <c r="Z54" s="7"/>
      <c r="AA54" s="7"/>
      <c r="AB54" s="7"/>
      <c r="AC54" s="7"/>
      <c r="AH54" s="105"/>
      <c r="AI54" s="105"/>
      <c r="AJ54" s="11" t="n">
        <v>9</v>
      </c>
      <c r="AK54" s="124" t="n">
        <f aca="false">AK14+BA14+AK33</f>
        <v>0</v>
      </c>
      <c r="AL54" s="116" t="n">
        <f aca="false">AL14+BB14+AL33</f>
        <v>0</v>
      </c>
      <c r="AM54" s="116" t="n">
        <f aca="false">AM14+BC14+AM33</f>
        <v>0</v>
      </c>
      <c r="AN54" s="116" t="n">
        <f aca="false">AN14+BD14+AN33</f>
        <v>0</v>
      </c>
      <c r="AO54" s="116" t="n">
        <f aca="false">AO14+BE14+AO33</f>
        <v>0</v>
      </c>
      <c r="AP54" s="116" t="n">
        <f aca="false">AP14+BF14+AP33</f>
        <v>0</v>
      </c>
      <c r="AQ54" s="126" t="n">
        <f aca="false">AQ14+BG14+AQ33</f>
        <v>-656250</v>
      </c>
      <c r="AR54" s="125" t="n">
        <f aca="false">AR14+BH14+AR33</f>
        <v>4.01837230970225E-011</v>
      </c>
      <c r="AS54" s="125" t="n">
        <f aca="false">AS14+BI14+AS33+AS42</f>
        <v>2750000000</v>
      </c>
      <c r="AT54" s="125" t="n">
        <f aca="false">AT14+BJ14+AT33</f>
        <v>656250</v>
      </c>
      <c r="AU54" s="125" t="n">
        <f aca="false">AU14+BK14+AU33</f>
        <v>-4.01837230970225E-011</v>
      </c>
      <c r="AV54" s="115" t="n">
        <f aca="false">AV14+BL14+AV33</f>
        <v>0</v>
      </c>
      <c r="AW54" s="116" t="n">
        <f aca="false">AW14+BM14+AW33</f>
        <v>0</v>
      </c>
      <c r="AX54" s="127" t="n">
        <f aca="false">AX14+BN14+AX33</f>
        <v>875000000</v>
      </c>
      <c r="AY54" s="1"/>
      <c r="AZ54" s="7" t="s">
        <v>102</v>
      </c>
      <c r="BA54" s="1"/>
      <c r="BB54" s="13" t="n">
        <f aca="false">AY14+BO14+AY33</f>
        <v>6666666.66666667</v>
      </c>
      <c r="BC54" s="1" t="s">
        <v>92</v>
      </c>
      <c r="BE54" s="37"/>
      <c r="BG54" s="41"/>
      <c r="BH54" s="37"/>
      <c r="BI54" s="41"/>
      <c r="BJ54" s="41"/>
      <c r="BK54" s="41"/>
      <c r="BL54" s="41"/>
      <c r="BM54" s="41"/>
      <c r="BN54" s="41"/>
      <c r="BO54" s="123"/>
      <c r="BP54" s="123"/>
      <c r="BR54" s="128"/>
    </row>
    <row r="55" customFormat="false" ht="12" hidden="false" customHeight="false" outlineLevel="0" collapsed="false">
      <c r="A55" s="7"/>
      <c r="B55" s="30" t="n">
        <f aca="false">$E$5</f>
        <v>1</v>
      </c>
      <c r="C55" s="30" t="n">
        <f aca="false">$C$5</f>
        <v>6.12323399573677E-017</v>
      </c>
      <c r="D55" s="30" t="n">
        <v>0</v>
      </c>
      <c r="E55" s="30" t="n">
        <v>0</v>
      </c>
      <c r="F55" s="30" t="n">
        <v>0</v>
      </c>
      <c r="G55" s="30" t="n">
        <v>0</v>
      </c>
      <c r="H55" s="7"/>
      <c r="I55" s="7"/>
      <c r="J55" s="7"/>
      <c r="K55" s="7"/>
      <c r="L55" s="30" t="n">
        <f aca="false">$M$5</f>
        <v>1</v>
      </c>
      <c r="M55" s="30" t="n">
        <f aca="false">-$O$5</f>
        <v>-0</v>
      </c>
      <c r="N55" s="30" t="n">
        <v>0</v>
      </c>
      <c r="O55" s="30" t="n">
        <v>0</v>
      </c>
      <c r="P55" s="30" t="n">
        <v>0</v>
      </c>
      <c r="Q55" s="30" t="n">
        <v>0</v>
      </c>
      <c r="R55" s="7"/>
      <c r="S55" s="7"/>
      <c r="T55" s="7"/>
      <c r="U55" s="7"/>
      <c r="V55" s="30" t="n">
        <f aca="false">$C$5</f>
        <v>6.12323399573677E-017</v>
      </c>
      <c r="W55" s="30" t="n">
        <f aca="false">-$E$5</f>
        <v>-1</v>
      </c>
      <c r="X55" s="30" t="n">
        <v>0</v>
      </c>
      <c r="Y55" s="30" t="n">
        <v>0</v>
      </c>
      <c r="Z55" s="30" t="n">
        <v>0</v>
      </c>
      <c r="AA55" s="30" t="n">
        <v>0</v>
      </c>
      <c r="AB55" s="7"/>
      <c r="AC55" s="7"/>
      <c r="AH55" s="106"/>
      <c r="AI55" s="106"/>
      <c r="AJ55" s="11" t="n">
        <v>10</v>
      </c>
      <c r="AK55" s="124" t="n">
        <f aca="false">AK15+BA15+AK34</f>
        <v>0</v>
      </c>
      <c r="AL55" s="116" t="n">
        <f aca="false">AL15+BB15+AL34</f>
        <v>0</v>
      </c>
      <c r="AM55" s="116" t="n">
        <f aca="false">AM15+BC15+AM34</f>
        <v>0</v>
      </c>
      <c r="AN55" s="121" t="n">
        <f aca="false">AN15+BD15+AN34</f>
        <v>-700000</v>
      </c>
      <c r="AO55" s="121" t="n">
        <f aca="false">AO15+BE15+AO34</f>
        <v>0</v>
      </c>
      <c r="AP55" s="121" t="n">
        <f aca="false">AP15+BF15+AP34</f>
        <v>0</v>
      </c>
      <c r="AQ55" s="126" t="n">
        <f aca="false">AQ15+BG15+AQ34</f>
        <v>-328.125</v>
      </c>
      <c r="AR55" s="125" t="n">
        <f aca="false">AR15+BH15+AR34</f>
        <v>-3.21268866160695E-011</v>
      </c>
      <c r="AS55" s="125" t="n">
        <f aca="false">AS15+BI15+AS34</f>
        <v>656250</v>
      </c>
      <c r="AT55" s="119" t="n">
        <f aca="false">AT15+BJ15+AT34</f>
        <v>700328.125</v>
      </c>
      <c r="AU55" s="119" t="n">
        <f aca="false">AU15+BK15+AU34</f>
        <v>3.21268866160695E-011</v>
      </c>
      <c r="AV55" s="120" t="n">
        <f aca="false">AV15+BL15+AV34</f>
        <v>0</v>
      </c>
      <c r="AW55" s="116" t="n">
        <f aca="false">AW15+BM15+AW34</f>
        <v>0</v>
      </c>
      <c r="AX55" s="127" t="n">
        <f aca="false">AX15+BN15+AX34</f>
        <v>656250</v>
      </c>
      <c r="AY55" s="1"/>
      <c r="AZ55" s="7" t="s">
        <v>51</v>
      </c>
      <c r="BA55" s="1"/>
      <c r="BB55" s="13" t="n">
        <f aca="false">AY15+BO15+AY34</f>
        <v>-10000</v>
      </c>
      <c r="BC55" s="1"/>
      <c r="BE55" s="41"/>
      <c r="BG55" s="41"/>
      <c r="BH55" s="41"/>
      <c r="BI55" s="41"/>
      <c r="BJ55" s="41"/>
      <c r="BK55" s="41"/>
      <c r="BL55" s="41"/>
      <c r="BM55" s="41"/>
      <c r="BN55" s="41"/>
      <c r="BO55" s="123"/>
      <c r="BP55" s="123"/>
      <c r="BR55" s="128"/>
    </row>
    <row r="56" customFormat="false" ht="12" hidden="false" customHeight="false" outlineLevel="0" collapsed="false">
      <c r="A56" s="7"/>
      <c r="B56" s="30" t="n">
        <v>0</v>
      </c>
      <c r="C56" s="30" t="n">
        <v>0</v>
      </c>
      <c r="D56" s="30" t="n">
        <f aca="false">D47</f>
        <v>1</v>
      </c>
      <c r="E56" s="30" t="n">
        <v>0</v>
      </c>
      <c r="F56" s="30" t="n">
        <v>0</v>
      </c>
      <c r="G56" s="30" t="n">
        <v>0</v>
      </c>
      <c r="H56" s="7"/>
      <c r="I56" s="7"/>
      <c r="J56" s="7"/>
      <c r="K56" s="7"/>
      <c r="L56" s="30" t="n">
        <f aca="false">$O$5</f>
        <v>0</v>
      </c>
      <c r="M56" s="30" t="n">
        <f aca="false">$M$5</f>
        <v>1</v>
      </c>
      <c r="N56" s="30" t="n">
        <v>0</v>
      </c>
      <c r="O56" s="30" t="n">
        <v>0</v>
      </c>
      <c r="P56" s="30" t="n">
        <v>0</v>
      </c>
      <c r="Q56" s="30" t="n">
        <v>0</v>
      </c>
      <c r="R56" s="7"/>
      <c r="S56" s="7"/>
      <c r="T56" s="7"/>
      <c r="U56" s="7"/>
      <c r="V56" s="30" t="n">
        <f aca="false">$E$5</f>
        <v>1</v>
      </c>
      <c r="W56" s="30" t="n">
        <f aca="false">$C$5</f>
        <v>6.12323399573677E-017</v>
      </c>
      <c r="X56" s="30" t="n">
        <v>0</v>
      </c>
      <c r="Y56" s="30" t="n">
        <v>0</v>
      </c>
      <c r="Z56" s="30" t="n">
        <v>0</v>
      </c>
      <c r="AA56" s="30" t="n">
        <v>0</v>
      </c>
      <c r="AB56" s="7"/>
      <c r="AC56" s="7"/>
      <c r="AH56" s="105"/>
      <c r="AI56" s="105"/>
      <c r="AJ56" s="11" t="n">
        <v>11</v>
      </c>
      <c r="AK56" s="124" t="n">
        <f aca="false">AK16+BA16+AK35</f>
        <v>0</v>
      </c>
      <c r="AL56" s="116" t="n">
        <f aca="false">AL16+BB16+AL35</f>
        <v>0</v>
      </c>
      <c r="AM56" s="116" t="n">
        <f aca="false">AM16+BC16+AM35</f>
        <v>0</v>
      </c>
      <c r="AN56" s="120" t="n">
        <f aca="false">AN16+BD16+AN35</f>
        <v>0</v>
      </c>
      <c r="AO56" s="120" t="n">
        <f aca="false">AO16+BE16+AO35</f>
        <v>-777.777777777778</v>
      </c>
      <c r="AP56" s="121" t="n">
        <f aca="false">AP16+BF16+AP35</f>
        <v>-2333333.33333333</v>
      </c>
      <c r="AQ56" s="125" t="n">
        <f aca="false">AQ16+BG16+AQ35</f>
        <v>-3.21268866160695E-011</v>
      </c>
      <c r="AR56" s="125" t="n">
        <f aca="false">AR16+BH16+AR35</f>
        <v>-525000</v>
      </c>
      <c r="AS56" s="125" t="n">
        <f aca="false">AS16+BI16+AS35</f>
        <v>-4.01837230970225E-011</v>
      </c>
      <c r="AT56" s="119" t="n">
        <f aca="false">AT16+BJ16+AT35</f>
        <v>3.21268866160695E-011</v>
      </c>
      <c r="AU56" s="119" t="n">
        <f aca="false">AU16+BK16+AU35</f>
        <v>525777.777777778</v>
      </c>
      <c r="AV56" s="120" t="n">
        <f aca="false">AV16+BL16+AV35</f>
        <v>-2333333.33333333</v>
      </c>
      <c r="AW56" s="116" t="n">
        <f aca="false">AW16+BM16+AW35</f>
        <v>0</v>
      </c>
      <c r="AX56" s="127" t="n">
        <f aca="false">AX16+BN16+AX35</f>
        <v>-4.01837230970225E-011</v>
      </c>
      <c r="AY56" s="1"/>
      <c r="AZ56" s="7" t="s">
        <v>53</v>
      </c>
      <c r="BA56" s="1"/>
      <c r="BB56" s="13" t="n">
        <f aca="false">AY16+BO16+AY35</f>
        <v>-30000</v>
      </c>
      <c r="BC56" s="1"/>
      <c r="BE56" s="41"/>
      <c r="BG56" s="41"/>
      <c r="BH56" s="41"/>
      <c r="BI56" s="41"/>
      <c r="BJ56" s="41"/>
      <c r="BK56" s="41"/>
      <c r="BL56" s="41"/>
      <c r="BM56" s="41"/>
      <c r="BN56" s="41"/>
      <c r="BO56" s="123"/>
      <c r="BP56" s="123"/>
      <c r="BR56" s="128"/>
    </row>
    <row r="57" customFormat="false" ht="12" hidden="false" customHeight="false" outlineLevel="0" collapsed="false">
      <c r="A57" s="7"/>
      <c r="B57" s="30" t="n">
        <v>0</v>
      </c>
      <c r="C57" s="30" t="n">
        <v>0</v>
      </c>
      <c r="D57" s="30" t="n">
        <v>0</v>
      </c>
      <c r="E57" s="30" t="n">
        <f aca="false">$C$5</f>
        <v>6.12323399573677E-017</v>
      </c>
      <c r="F57" s="30" t="n">
        <f aca="false">-$E$5</f>
        <v>-1</v>
      </c>
      <c r="G57" s="30" t="n">
        <v>0</v>
      </c>
      <c r="H57" s="7"/>
      <c r="I57" s="7"/>
      <c r="J57" s="7"/>
      <c r="K57" s="7"/>
      <c r="L57" s="30" t="n">
        <v>0</v>
      </c>
      <c r="M57" s="30" t="n">
        <v>0</v>
      </c>
      <c r="N57" s="30" t="n">
        <f aca="false">N48</f>
        <v>1</v>
      </c>
      <c r="O57" s="30" t="n">
        <v>0</v>
      </c>
      <c r="P57" s="30" t="n">
        <v>0</v>
      </c>
      <c r="Q57" s="30" t="n">
        <v>0</v>
      </c>
      <c r="R57" s="7"/>
      <c r="S57" s="7"/>
      <c r="T57" s="7"/>
      <c r="U57" s="7"/>
      <c r="V57" s="30" t="n">
        <v>0</v>
      </c>
      <c r="W57" s="30" t="n">
        <v>0</v>
      </c>
      <c r="X57" s="30" t="n">
        <f aca="false">X48</f>
        <v>1</v>
      </c>
      <c r="Y57" s="30" t="n">
        <v>0</v>
      </c>
      <c r="Z57" s="30" t="n">
        <v>0</v>
      </c>
      <c r="AA57" s="30" t="n">
        <v>0</v>
      </c>
      <c r="AB57" s="7"/>
      <c r="AC57" s="7"/>
      <c r="AJ57" s="11" t="n">
        <v>12</v>
      </c>
      <c r="AK57" s="124" t="n">
        <f aca="false">AK17+BA17+AK36</f>
        <v>0</v>
      </c>
      <c r="AL57" s="116" t="n">
        <f aca="false">AL17+BB17+AL36</f>
        <v>0</v>
      </c>
      <c r="AM57" s="116" t="n">
        <f aca="false">AM17+BC17+AM36</f>
        <v>0</v>
      </c>
      <c r="AN57" s="120" t="n">
        <f aca="false">AN17+BD17+AN36</f>
        <v>0</v>
      </c>
      <c r="AO57" s="120" t="n">
        <f aca="false">AO17+BE17+AO36</f>
        <v>2333333.33333333</v>
      </c>
      <c r="AP57" s="121" t="n">
        <f aca="false">AP17+BF17+AP36</f>
        <v>4666666666.66667</v>
      </c>
      <c r="AQ57" s="115" t="n">
        <f aca="false">AQ17+BG17+AQ36</f>
        <v>0</v>
      </c>
      <c r="AR57" s="115" t="n">
        <f aca="false">AR17+BH17+AR36</f>
        <v>0</v>
      </c>
      <c r="AS57" s="115" t="n">
        <f aca="false">AS17+BI17+AS36</f>
        <v>0</v>
      </c>
      <c r="AT57" s="120" t="n">
        <f aca="false">AT17+BJ17+AT36</f>
        <v>0</v>
      </c>
      <c r="AU57" s="120" t="n">
        <f aca="false">AU17+BK17+AU36</f>
        <v>-2333333.33333333</v>
      </c>
      <c r="AV57" s="120" t="n">
        <f aca="false">AV17+BL17+AV36</f>
        <v>9333333333.33333</v>
      </c>
      <c r="AW57" s="116" t="n">
        <f aca="false">AW17+BM17+AW36</f>
        <v>0</v>
      </c>
      <c r="AX57" s="118" t="n">
        <f aca="false">AX17+BN17+AX36</f>
        <v>0</v>
      </c>
      <c r="AY57" s="1"/>
      <c r="AZ57" s="7" t="s">
        <v>54</v>
      </c>
      <c r="BA57" s="1"/>
      <c r="BB57" s="13" t="n">
        <f aca="false">AY17+BO17+AY36</f>
        <v>30000000</v>
      </c>
      <c r="BC57" s="1"/>
      <c r="BE57" s="41"/>
      <c r="BG57" s="41"/>
      <c r="BH57" s="41"/>
      <c r="BI57" s="41"/>
      <c r="BJ57" s="41"/>
      <c r="BK57" s="41"/>
      <c r="BL57" s="41"/>
      <c r="BM57" s="41"/>
      <c r="BN57" s="41"/>
    </row>
    <row r="58" customFormat="false" ht="12" hidden="false" customHeight="false" outlineLevel="0" collapsed="false">
      <c r="A58" s="7"/>
      <c r="B58" s="30" t="n">
        <v>0</v>
      </c>
      <c r="C58" s="30" t="n">
        <v>0</v>
      </c>
      <c r="D58" s="30" t="n">
        <v>0</v>
      </c>
      <c r="E58" s="30" t="n">
        <f aca="false">$E$5</f>
        <v>1</v>
      </c>
      <c r="F58" s="30" t="n">
        <f aca="false">$C$5</f>
        <v>6.12323399573677E-017</v>
      </c>
      <c r="G58" s="30" t="n">
        <v>0</v>
      </c>
      <c r="H58" s="7"/>
      <c r="I58" s="7"/>
      <c r="J58" s="7"/>
      <c r="K58" s="7"/>
      <c r="L58" s="30" t="n">
        <v>0</v>
      </c>
      <c r="M58" s="30" t="n">
        <v>0</v>
      </c>
      <c r="N58" s="30" t="n">
        <v>0</v>
      </c>
      <c r="O58" s="30" t="n">
        <f aca="false">$M$5</f>
        <v>1</v>
      </c>
      <c r="P58" s="30" t="n">
        <f aca="false">-$O$5</f>
        <v>-0</v>
      </c>
      <c r="Q58" s="30" t="n">
        <v>0</v>
      </c>
      <c r="R58" s="7"/>
      <c r="S58" s="7"/>
      <c r="T58" s="7"/>
      <c r="U58" s="7"/>
      <c r="V58" s="30" t="n">
        <v>0</v>
      </c>
      <c r="W58" s="30" t="n">
        <v>0</v>
      </c>
      <c r="X58" s="30" t="n">
        <v>0</v>
      </c>
      <c r="Y58" s="30" t="n">
        <f aca="false">$C$5</f>
        <v>6.12323399573677E-017</v>
      </c>
      <c r="Z58" s="30" t="n">
        <f aca="false">-$E$5</f>
        <v>-1</v>
      </c>
      <c r="AA58" s="30" t="n">
        <v>0</v>
      </c>
      <c r="AB58" s="7"/>
      <c r="AC58" s="7"/>
      <c r="AJ58" s="11" t="n">
        <v>13</v>
      </c>
      <c r="AK58" s="129" t="n">
        <f aca="false">AK18+BA18+AK37</f>
        <v>-656250</v>
      </c>
      <c r="AL58" s="117" t="n">
        <f aca="false">AL18+BB18+AL37</f>
        <v>4.01837230970225E-011</v>
      </c>
      <c r="AM58" s="117" t="n">
        <f aca="false">AM18+BC18+AM37</f>
        <v>875000000</v>
      </c>
      <c r="AN58" s="117" t="n">
        <f aca="false">AN18+BD18+AN37</f>
        <v>656250</v>
      </c>
      <c r="AO58" s="117" t="n">
        <f aca="false">AO18+BE18+AO37</f>
        <v>-4.01837230970225E-011</v>
      </c>
      <c r="AP58" s="116" t="n">
        <f aca="false">AP18+BF18+AP37</f>
        <v>0</v>
      </c>
      <c r="AQ58" s="116" t="n">
        <f aca="false">AQ18+BG18+AQ37</f>
        <v>0</v>
      </c>
      <c r="AR58" s="116" t="n">
        <f aca="false">AR18+BH18+AR37</f>
        <v>0</v>
      </c>
      <c r="AS58" s="116" t="n">
        <f aca="false">AS18+BI18+AS37</f>
        <v>0</v>
      </c>
      <c r="AT58" s="116" t="n">
        <f aca="false">AT18+BJ18+AT37</f>
        <v>0</v>
      </c>
      <c r="AU58" s="116" t="n">
        <f aca="false">AU18+BK18+AU37</f>
        <v>0</v>
      </c>
      <c r="AV58" s="116" t="n">
        <f aca="false">AV18+BL18+AV37</f>
        <v>0</v>
      </c>
      <c r="AW58" s="117" t="n">
        <f aca="false">AW18+BM18+AW37</f>
        <v>1750000000</v>
      </c>
      <c r="AX58" s="118" t="n">
        <f aca="false">AX18+BN18+AX37</f>
        <v>0</v>
      </c>
      <c r="AY58" s="7"/>
      <c r="AZ58" s="7" t="s">
        <v>93</v>
      </c>
      <c r="BA58" s="41"/>
      <c r="BB58" s="13" t="n">
        <f aca="false">AY18+BO18+AY37</f>
        <v>13333333.3333333</v>
      </c>
      <c r="BC58" s="41"/>
      <c r="BE58" s="41"/>
      <c r="BG58" s="41"/>
      <c r="BH58" s="41"/>
      <c r="BI58" s="41"/>
      <c r="BJ58" s="41"/>
      <c r="BK58" s="41"/>
      <c r="BL58" s="41"/>
      <c r="BM58" s="41"/>
      <c r="BN58" s="41"/>
    </row>
    <row r="59" customFormat="false" ht="12" hidden="false" customHeight="false" outlineLevel="0" collapsed="false">
      <c r="A59" s="7"/>
      <c r="B59" s="30" t="n">
        <v>0</v>
      </c>
      <c r="C59" s="30" t="n">
        <v>0</v>
      </c>
      <c r="D59" s="30" t="n">
        <v>0</v>
      </c>
      <c r="E59" s="30" t="n">
        <v>0</v>
      </c>
      <c r="F59" s="30" t="n">
        <v>0</v>
      </c>
      <c r="G59" s="30" t="n">
        <f aca="false">D47</f>
        <v>1</v>
      </c>
      <c r="H59" s="7"/>
      <c r="I59" s="7"/>
      <c r="J59" s="7"/>
      <c r="K59" s="7"/>
      <c r="L59" s="30" t="n">
        <v>0</v>
      </c>
      <c r="M59" s="30" t="n">
        <v>0</v>
      </c>
      <c r="N59" s="30" t="n">
        <v>0</v>
      </c>
      <c r="O59" s="30" t="n">
        <f aca="false">$O$5</f>
        <v>0</v>
      </c>
      <c r="P59" s="30" t="n">
        <f aca="false">$M$5</f>
        <v>1</v>
      </c>
      <c r="Q59" s="30" t="n">
        <v>0</v>
      </c>
      <c r="R59" s="7"/>
      <c r="S59" s="7"/>
      <c r="T59" s="7"/>
      <c r="U59" s="7"/>
      <c r="V59" s="30" t="n">
        <v>0</v>
      </c>
      <c r="W59" s="30" t="n">
        <v>0</v>
      </c>
      <c r="X59" s="30" t="n">
        <v>0</v>
      </c>
      <c r="Y59" s="30" t="n">
        <f aca="false">$E$5</f>
        <v>1</v>
      </c>
      <c r="Z59" s="30" t="n">
        <f aca="false">$C$5</f>
        <v>6.12323399573677E-017</v>
      </c>
      <c r="AA59" s="30" t="n">
        <v>0</v>
      </c>
      <c r="AB59" s="7"/>
      <c r="AC59" s="7"/>
      <c r="AJ59" s="11" t="n">
        <v>14</v>
      </c>
      <c r="AK59" s="124" t="n">
        <f aca="false">AK19+BA19+AK38</f>
        <v>0</v>
      </c>
      <c r="AL59" s="116" t="n">
        <f aca="false">AL19+BB19+AL38</f>
        <v>0</v>
      </c>
      <c r="AM59" s="116" t="n">
        <f aca="false">AM19+BC19+AM38</f>
        <v>0</v>
      </c>
      <c r="AN59" s="116" t="n">
        <f aca="false">AN19+BD19+AN38</f>
        <v>0</v>
      </c>
      <c r="AO59" s="116" t="n">
        <f aca="false">AO19+BE19+AO38</f>
        <v>0</v>
      </c>
      <c r="AP59" s="116" t="n">
        <f aca="false">AP19+BF19+AP38</f>
        <v>0</v>
      </c>
      <c r="AQ59" s="126" t="n">
        <f aca="false">AQ19+BG19+AQ38</f>
        <v>-656250</v>
      </c>
      <c r="AR59" s="126" t="n">
        <f aca="false">AR19+BH19+AR38</f>
        <v>4.01837230970225E-011</v>
      </c>
      <c r="AS59" s="126" t="n">
        <f aca="false">AS19+BI19+AS38</f>
        <v>875000000</v>
      </c>
      <c r="AT59" s="126" t="n">
        <f aca="false">AT19+BJ19+AT38</f>
        <v>656250</v>
      </c>
      <c r="AU59" s="126" t="n">
        <f aca="false">AU19+BK19+AU38</f>
        <v>-4.01837230970225E-011</v>
      </c>
      <c r="AV59" s="116" t="n">
        <f aca="false">AV19+BL19+AV38</f>
        <v>0</v>
      </c>
      <c r="AW59" s="116" t="n">
        <f aca="false">AW19+BM19+AW38</f>
        <v>0</v>
      </c>
      <c r="AX59" s="127" t="n">
        <f aca="false">AX19+BN19+AX38</f>
        <v>1750000000</v>
      </c>
      <c r="AY59" s="7"/>
      <c r="AZ59" s="7" t="s">
        <v>94</v>
      </c>
      <c r="BA59" s="41"/>
      <c r="BB59" s="13" t="n">
        <f aca="false">AY19+BO19+AY38</f>
        <v>-6666666.66666667</v>
      </c>
      <c r="BG59" s="41"/>
      <c r="BH59" s="41"/>
      <c r="BI59" s="41"/>
      <c r="BJ59" s="41"/>
      <c r="BK59" s="41"/>
      <c r="BL59" s="41"/>
      <c r="BT59" s="123"/>
      <c r="BY59" s="130"/>
      <c r="CA59" s="131"/>
    </row>
    <row r="60" customFormat="false" ht="12" hidden="false" customHeight="false" outlineLevel="0" collapsed="false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30" t="n">
        <v>0</v>
      </c>
      <c r="M60" s="30" t="n">
        <v>0</v>
      </c>
      <c r="N60" s="30" t="n">
        <v>0</v>
      </c>
      <c r="O60" s="30" t="n">
        <v>0</v>
      </c>
      <c r="P60" s="30" t="n">
        <v>0</v>
      </c>
      <c r="Q60" s="30" t="n">
        <f aca="false">N48</f>
        <v>1</v>
      </c>
      <c r="R60" s="7"/>
      <c r="S60" s="7"/>
      <c r="T60" s="7"/>
      <c r="U60" s="7"/>
      <c r="V60" s="30" t="n">
        <v>0</v>
      </c>
      <c r="W60" s="30" t="n">
        <v>0</v>
      </c>
      <c r="X60" s="30" t="n">
        <v>0</v>
      </c>
      <c r="Y60" s="30" t="n">
        <v>0</v>
      </c>
      <c r="Z60" s="30" t="n">
        <v>0</v>
      </c>
      <c r="AA60" s="30" t="n">
        <f aca="false">X48</f>
        <v>1</v>
      </c>
      <c r="AB60" s="7"/>
      <c r="AC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41"/>
      <c r="BB60" s="41"/>
      <c r="BG60" s="41"/>
      <c r="BH60" s="41"/>
      <c r="BI60" s="41"/>
      <c r="BJ60" s="41"/>
      <c r="BK60" s="41"/>
      <c r="BL60" s="41"/>
      <c r="BT60" s="123"/>
      <c r="BY60" s="130"/>
      <c r="CA60" s="131"/>
    </row>
    <row r="61" customFormat="false" ht="12" hidden="false" customHeight="false" outlineLevel="0" collapsed="false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  <c r="AY61" s="7"/>
      <c r="AZ61" s="132"/>
      <c r="BB61" s="132"/>
      <c r="BE61" s="132"/>
      <c r="BK61" s="95"/>
      <c r="BT61" s="123"/>
      <c r="BY61" s="130"/>
      <c r="CA61" s="131"/>
    </row>
    <row r="62" customFormat="false" ht="12" hidden="false" customHeight="false" outlineLevel="0" collapsed="false">
      <c r="AJ62" s="7"/>
      <c r="AZ62" s="132"/>
      <c r="BB62" s="132"/>
      <c r="BE62" s="132"/>
      <c r="BK62" s="95"/>
      <c r="BT62" s="123"/>
      <c r="BY62" s="130"/>
      <c r="CA62" s="131"/>
    </row>
    <row r="63" customFormat="false" ht="12" hidden="false" customHeight="false" outlineLevel="0" collapsed="false">
      <c r="AZ63" s="132"/>
      <c r="BB63" s="132" t="s">
        <v>95</v>
      </c>
      <c r="BC63" s="34" t="s">
        <v>96</v>
      </c>
      <c r="BE63" s="132"/>
      <c r="BK63" s="95"/>
      <c r="BT63" s="123"/>
      <c r="BY63" s="130"/>
      <c r="CA63" s="131"/>
    </row>
    <row r="64" customFormat="false" ht="12" hidden="false" customHeight="false" outlineLevel="0" collapsed="false">
      <c r="AJ64" s="2" t="s">
        <v>55</v>
      </c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BB64" s="132" t="e">
        <f aca="false" t="array" ref="BB64:BB68">BB93:BB97</f>
        <v>#NAME?</v>
      </c>
      <c r="BC64" s="34" t="e">
        <f aca="false" t="array" ref="BC64:BC69">MMULT(B45:G50,BB64:BB69)</f>
        <v>#NAME?</v>
      </c>
      <c r="BE64" s="132"/>
      <c r="BK64" s="95"/>
      <c r="BT64" s="123"/>
      <c r="BY64" s="130"/>
      <c r="CA64" s="131"/>
    </row>
    <row r="65" customFormat="false" ht="12" hidden="false" customHeight="false" outlineLevel="0" collapsed="false">
      <c r="AJ65" s="10"/>
      <c r="AK65" s="10" t="n">
        <v>3</v>
      </c>
      <c r="AL65" s="10" t="n">
        <v>4</v>
      </c>
      <c r="AM65" s="10" t="n">
        <v>5</v>
      </c>
      <c r="AN65" s="10" t="n">
        <v>6</v>
      </c>
      <c r="AO65" s="10" t="n">
        <v>9</v>
      </c>
      <c r="AP65" s="10" t="n">
        <v>10</v>
      </c>
      <c r="AQ65" s="10" t="n">
        <v>11</v>
      </c>
      <c r="AR65" s="10" t="n">
        <v>12</v>
      </c>
      <c r="AS65" s="10" t="n">
        <v>13</v>
      </c>
      <c r="AT65" s="10" t="n">
        <v>14</v>
      </c>
      <c r="AU65" s="7" t="s">
        <v>37</v>
      </c>
      <c r="AV65" s="10" t="s">
        <v>38</v>
      </c>
      <c r="AW65" s="7" t="s">
        <v>39</v>
      </c>
      <c r="AX65" s="47" t="s">
        <v>10</v>
      </c>
      <c r="AY65" s="1"/>
      <c r="AZ65" s="1"/>
      <c r="BB65" s="132" t="e">
        <v>#NAME?</v>
      </c>
      <c r="BC65" s="34" t="e">
        <v>#NAME?</v>
      </c>
      <c r="BE65" s="132"/>
    </row>
    <row r="66" customFormat="false" ht="12" hidden="false" customHeight="false" outlineLevel="0" collapsed="false">
      <c r="AJ66" s="11" t="n">
        <v>3</v>
      </c>
      <c r="AK66" s="95" t="n">
        <f aca="false" t="array" ref="AK66:AN69">AM48:AP51</f>
        <v>2750000000</v>
      </c>
      <c r="AL66" s="34" t="n">
        <v>656250</v>
      </c>
      <c r="AM66" s="34" t="n">
        <v>-4.01837230970225E-011</v>
      </c>
      <c r="AN66" s="34" t="n">
        <v>0</v>
      </c>
      <c r="AO66" s="95" t="n">
        <f aca="false" t="array" ref="AO66:AT69">AS48:AX51</f>
        <v>0</v>
      </c>
      <c r="AP66" s="34" t="n">
        <v>0</v>
      </c>
      <c r="AQ66" s="34" t="n">
        <v>0</v>
      </c>
      <c r="AR66" s="34" t="n">
        <v>0</v>
      </c>
      <c r="AS66" s="34" t="n">
        <v>875000000</v>
      </c>
      <c r="AT66" s="34" t="n">
        <v>0</v>
      </c>
      <c r="AX66" s="95" t="n">
        <f aca="false" t="array" ref="AX66:AX69">BB48:BB51</f>
        <v>-13333333.3333333</v>
      </c>
      <c r="BB66" s="34" t="e">
        <v>#NAME?</v>
      </c>
      <c r="BC66" s="34" t="e">
        <v>#NAME?</v>
      </c>
    </row>
    <row r="67" customFormat="false" ht="12" hidden="false" customHeight="false" outlineLevel="0" collapsed="false">
      <c r="AJ67" s="11" t="n">
        <v>4</v>
      </c>
      <c r="AK67" s="34" t="n">
        <v>656250</v>
      </c>
      <c r="AL67" s="13" t="n">
        <v>700328.125</v>
      </c>
      <c r="AM67" s="13" t="n">
        <v>3.21268866160695E-011</v>
      </c>
      <c r="AN67" s="13" t="n">
        <v>0</v>
      </c>
      <c r="AO67" s="34" t="n">
        <v>0</v>
      </c>
      <c r="AP67" s="13" t="n">
        <v>-700000</v>
      </c>
      <c r="AQ67" s="13" t="n">
        <v>0</v>
      </c>
      <c r="AR67" s="13" t="n">
        <v>0</v>
      </c>
      <c r="AS67" s="13" t="n">
        <v>656250</v>
      </c>
      <c r="AT67" s="13" t="n">
        <v>0</v>
      </c>
      <c r="AU67" s="13"/>
      <c r="AV67" s="21" t="str">
        <f aca="false" t="array" ref="AV67:AV69">AZ49:AZ51</f>
        <v>r21</v>
      </c>
      <c r="AW67" s="1"/>
      <c r="AX67" s="50" t="n">
        <v>20000</v>
      </c>
      <c r="AY67" s="1"/>
      <c r="AZ67" s="1"/>
      <c r="BB67" s="34" t="e">
        <v>#NAME?</v>
      </c>
      <c r="BC67" s="34" t="e">
        <v>#NAME?</v>
      </c>
    </row>
    <row r="68" customFormat="false" ht="12" hidden="false" customHeight="false" outlineLevel="0" collapsed="false">
      <c r="AJ68" s="11" t="n">
        <v>5</v>
      </c>
      <c r="AK68" s="34" t="n">
        <v>-4.01837230970225E-011</v>
      </c>
      <c r="AL68" s="13" t="n">
        <v>3.21268866160695E-011</v>
      </c>
      <c r="AM68" s="13" t="n">
        <v>525777.777777778</v>
      </c>
      <c r="AN68" s="13" t="n">
        <v>2333333.33333333</v>
      </c>
      <c r="AO68" s="34" t="n">
        <v>0</v>
      </c>
      <c r="AP68" s="13" t="n">
        <v>0</v>
      </c>
      <c r="AQ68" s="13" t="n">
        <v>-777.777777777778</v>
      </c>
      <c r="AR68" s="13" t="n">
        <v>2333333.33333333</v>
      </c>
      <c r="AS68" s="13" t="n">
        <v>-4.01837230970225E-011</v>
      </c>
      <c r="AT68" s="13" t="n">
        <v>0</v>
      </c>
      <c r="AU68" s="13"/>
      <c r="AV68" s="21" t="str">
        <v>r22</v>
      </c>
      <c r="AW68" s="1"/>
      <c r="AX68" s="51" t="n">
        <v>-30000</v>
      </c>
      <c r="AY68" s="1"/>
      <c r="AZ68" s="1"/>
      <c r="BB68" s="34" t="e">
        <v>#NAME?</v>
      </c>
      <c r="BC68" s="34" t="e">
        <v>#NAME?</v>
      </c>
      <c r="BO68" s="100"/>
      <c r="BR68" s="133"/>
    </row>
    <row r="69" customFormat="false" ht="12" hidden="false" customHeight="false" outlineLevel="0" collapsed="false">
      <c r="AJ69" s="11" t="n">
        <v>6</v>
      </c>
      <c r="AK69" s="34" t="n">
        <v>0</v>
      </c>
      <c r="AL69" s="13" t="n">
        <v>0</v>
      </c>
      <c r="AM69" s="13" t="n">
        <v>2333333.33333333</v>
      </c>
      <c r="AN69" s="13" t="n">
        <v>9333333333.33333</v>
      </c>
      <c r="AO69" s="34" t="n">
        <v>0</v>
      </c>
      <c r="AP69" s="13" t="n">
        <v>0</v>
      </c>
      <c r="AQ69" s="13" t="n">
        <v>-2333333.33333333</v>
      </c>
      <c r="AR69" s="13" t="n">
        <v>4666666666.66667</v>
      </c>
      <c r="AS69" s="13" t="n">
        <v>0</v>
      </c>
      <c r="AT69" s="13" t="n">
        <v>0</v>
      </c>
      <c r="AU69" s="13"/>
      <c r="AV69" s="21" t="str">
        <v>r23</v>
      </c>
      <c r="AW69" s="1"/>
      <c r="AX69" s="51" t="n">
        <v>-30000000</v>
      </c>
      <c r="AY69" s="1"/>
      <c r="AZ69" s="1"/>
      <c r="BB69" s="34" t="e">
        <f aca="false">BB106</f>
        <v>#NAME?</v>
      </c>
      <c r="BC69" s="34" t="e">
        <v>#NAME?</v>
      </c>
      <c r="BR69" s="133"/>
    </row>
    <row r="70" customFormat="false" ht="12" hidden="false" customHeight="false" outlineLevel="0" collapsed="false">
      <c r="AJ70" s="11" t="n">
        <v>9</v>
      </c>
      <c r="AK70" s="95" t="n">
        <f aca="false" t="array" ref="AK70:AN75">AM54:AP59</f>
        <v>0</v>
      </c>
      <c r="AL70" s="34" t="n">
        <v>0</v>
      </c>
      <c r="AM70" s="34" t="n">
        <v>0</v>
      </c>
      <c r="AN70" s="34" t="n">
        <v>0</v>
      </c>
      <c r="AO70" s="95" t="n">
        <f aca="false" t="array" ref="AO70:AT75">AS54:AX59</f>
        <v>2750000000</v>
      </c>
      <c r="AP70" s="34" t="n">
        <v>656250</v>
      </c>
      <c r="AQ70" s="34" t="n">
        <v>-4.01837230970225E-011</v>
      </c>
      <c r="AR70" s="34" t="n">
        <v>0</v>
      </c>
      <c r="AS70" s="34" t="n">
        <v>0</v>
      </c>
      <c r="AT70" s="34" t="n">
        <v>875000000</v>
      </c>
      <c r="AX70" s="95" t="n">
        <f aca="false" t="array" ref="AX70:AX75">BB54:BB59</f>
        <v>6666666.66666667</v>
      </c>
      <c r="BR70" s="133"/>
    </row>
    <row r="71" customFormat="false" ht="12" hidden="false" customHeight="false" outlineLevel="0" collapsed="false">
      <c r="AJ71" s="11" t="n">
        <v>10</v>
      </c>
      <c r="AK71" s="34" t="n">
        <v>0</v>
      </c>
      <c r="AL71" s="13" t="n">
        <v>-700000</v>
      </c>
      <c r="AM71" s="13" t="n">
        <v>0</v>
      </c>
      <c r="AN71" s="13" t="n">
        <v>0</v>
      </c>
      <c r="AO71" s="34" t="n">
        <v>656250</v>
      </c>
      <c r="AP71" s="13" t="n">
        <v>700328.125</v>
      </c>
      <c r="AQ71" s="13" t="n">
        <v>3.21268866160695E-011</v>
      </c>
      <c r="AR71" s="13" t="n">
        <v>0</v>
      </c>
      <c r="AS71" s="13" t="n">
        <v>0</v>
      </c>
      <c r="AT71" s="13" t="n">
        <v>656250</v>
      </c>
      <c r="AU71" s="13"/>
      <c r="AV71" s="21" t="str">
        <f aca="false" t="array" ref="AV71:AV75">AZ55:AZ59</f>
        <v>r41</v>
      </c>
      <c r="AW71" s="1"/>
      <c r="AX71" s="50" t="n">
        <v>-10000</v>
      </c>
      <c r="AY71" s="1"/>
      <c r="AZ71" s="1"/>
      <c r="BR71" s="133"/>
    </row>
    <row r="72" customFormat="false" ht="12" hidden="false" customHeight="false" outlineLevel="0" collapsed="false">
      <c r="AJ72" s="11" t="n">
        <v>11</v>
      </c>
      <c r="AK72" s="34" t="n">
        <v>0</v>
      </c>
      <c r="AL72" s="13" t="n">
        <v>0</v>
      </c>
      <c r="AM72" s="1" t="n">
        <v>-777.777777777778</v>
      </c>
      <c r="AN72" s="1" t="n">
        <v>-2333333.33333333</v>
      </c>
      <c r="AO72" s="34" t="n">
        <v>-4.01837230970225E-011</v>
      </c>
      <c r="AP72" s="1" t="n">
        <v>3.21268866160695E-011</v>
      </c>
      <c r="AQ72" s="13" t="n">
        <v>525777.777777778</v>
      </c>
      <c r="AR72" s="1" t="n">
        <v>-2333333.33333333</v>
      </c>
      <c r="AS72" s="1" t="n">
        <v>0</v>
      </c>
      <c r="AT72" s="1" t="n">
        <v>-4.01837230970225E-011</v>
      </c>
      <c r="AU72" s="1" t="s">
        <v>37</v>
      </c>
      <c r="AV72" s="7" t="str">
        <v>r42</v>
      </c>
      <c r="AW72" s="1"/>
      <c r="AX72" s="13" t="n">
        <v>-30000</v>
      </c>
      <c r="AY72" s="1"/>
      <c r="AZ72" s="1"/>
      <c r="BC72" s="123"/>
      <c r="BD72" s="123"/>
      <c r="BR72" s="133"/>
    </row>
    <row r="73" customFormat="false" ht="12" hidden="false" customHeight="false" outlineLevel="0" collapsed="false">
      <c r="AJ73" s="11" t="n">
        <v>12</v>
      </c>
      <c r="AK73" s="34" t="n">
        <v>0</v>
      </c>
      <c r="AL73" s="1" t="n">
        <v>0</v>
      </c>
      <c r="AM73" s="1" t="n">
        <v>2333333.33333333</v>
      </c>
      <c r="AN73" s="1" t="n">
        <v>4666666666.66667</v>
      </c>
      <c r="AO73" s="34" t="n">
        <v>0</v>
      </c>
      <c r="AP73" s="1" t="n">
        <v>0</v>
      </c>
      <c r="AQ73" s="1" t="n">
        <v>-2333333.33333333</v>
      </c>
      <c r="AR73" s="1" t="n">
        <v>9333333333.33333</v>
      </c>
      <c r="AS73" s="1" t="n">
        <v>0</v>
      </c>
      <c r="AT73" s="1" t="n">
        <v>0</v>
      </c>
      <c r="AU73" s="1"/>
      <c r="AV73" s="7" t="str">
        <v>r43</v>
      </c>
      <c r="AW73" s="1"/>
      <c r="AX73" s="1" t="n">
        <v>30000000</v>
      </c>
      <c r="AY73" s="1"/>
      <c r="AZ73" s="1"/>
      <c r="BR73" s="133"/>
    </row>
    <row r="74" customFormat="false" ht="12" hidden="false" customHeight="false" outlineLevel="0" collapsed="false">
      <c r="AJ74" s="11" t="n">
        <v>13</v>
      </c>
      <c r="AK74" s="34" t="n">
        <v>875000000</v>
      </c>
      <c r="AL74" s="1" t="n">
        <v>656250</v>
      </c>
      <c r="AM74" s="1" t="n">
        <v>-4.01837230970225E-011</v>
      </c>
      <c r="AN74" s="1" t="n">
        <v>0</v>
      </c>
      <c r="AO74" s="34" t="n">
        <v>0</v>
      </c>
      <c r="AP74" s="1" t="n">
        <v>0</v>
      </c>
      <c r="AQ74" s="1" t="n">
        <v>0</v>
      </c>
      <c r="AR74" s="1" t="n">
        <v>0</v>
      </c>
      <c r="AS74" s="1" t="n">
        <v>1750000000</v>
      </c>
      <c r="AT74" s="1" t="n">
        <v>0</v>
      </c>
      <c r="AU74" s="1"/>
      <c r="AV74" s="7" t="str">
        <v>r24</v>
      </c>
      <c r="AW74" s="1"/>
      <c r="AX74" s="1" t="n">
        <v>13333333.3333333</v>
      </c>
      <c r="AY74" s="1"/>
      <c r="AZ74" s="1"/>
      <c r="BR74" s="133"/>
    </row>
    <row r="75" customFormat="false" ht="12" hidden="false" customHeight="false" outlineLevel="0" collapsed="false">
      <c r="AJ75" s="11" t="n">
        <v>14</v>
      </c>
      <c r="AK75" s="34" t="n">
        <v>0</v>
      </c>
      <c r="AL75" s="1" t="n">
        <v>0</v>
      </c>
      <c r="AM75" s="1" t="n">
        <v>0</v>
      </c>
      <c r="AN75" s="1" t="n">
        <v>0</v>
      </c>
      <c r="AO75" s="34" t="n">
        <v>875000000</v>
      </c>
      <c r="AP75" s="1" t="n">
        <v>656250</v>
      </c>
      <c r="AQ75" s="1" t="n">
        <v>-4.01837230970225E-011</v>
      </c>
      <c r="AR75" s="1" t="n">
        <v>0</v>
      </c>
      <c r="AS75" s="1" t="n">
        <v>0</v>
      </c>
      <c r="AT75" s="1" t="n">
        <v>1750000000</v>
      </c>
      <c r="AU75" s="1"/>
      <c r="AV75" s="7" t="str">
        <v>r44</v>
      </c>
      <c r="AW75" s="1"/>
      <c r="AX75" s="1" t="n">
        <v>-6666666.66666667</v>
      </c>
      <c r="AY75" s="1"/>
      <c r="AZ75" s="1"/>
      <c r="BR75" s="133"/>
    </row>
    <row r="76" customFormat="false" ht="12" hidden="false" customHeight="false" outlineLevel="0" collapsed="false">
      <c r="E76" s="134"/>
      <c r="F76" s="135"/>
      <c r="AG76" s="100"/>
      <c r="AH76" s="100"/>
      <c r="AJ76" s="10"/>
      <c r="AK76" s="10"/>
      <c r="AL76" s="10"/>
      <c r="AM76" s="10"/>
      <c r="AN76" s="10"/>
      <c r="AO76" s="10"/>
      <c r="AP76" s="10"/>
      <c r="AQ76" s="10"/>
      <c r="AR76" s="10"/>
      <c r="AS76" s="10"/>
      <c r="AT76" s="10"/>
      <c r="AU76" s="1"/>
      <c r="AV76" s="1"/>
      <c r="AW76" s="1"/>
      <c r="AX76" s="1"/>
      <c r="AY76" s="1"/>
      <c r="AZ76" s="1"/>
    </row>
    <row r="77" customFormat="false" ht="12" hidden="false" customHeight="false" outlineLevel="0" collapsed="false">
      <c r="AG77" s="100"/>
      <c r="AH77" s="100"/>
      <c r="AI77" s="100"/>
      <c r="AJ77" s="1"/>
      <c r="AL77" s="1"/>
      <c r="AM77" s="1"/>
      <c r="AN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</row>
    <row r="78" customFormat="false" ht="12" hidden="false" customHeight="false" outlineLevel="0" collapsed="false">
      <c r="AJ78" s="10"/>
      <c r="AK78" s="10" t="n">
        <v>3</v>
      </c>
      <c r="AL78" s="10" t="n">
        <v>4</v>
      </c>
      <c r="AM78" s="10" t="n">
        <v>5</v>
      </c>
      <c r="AN78" s="10" t="n">
        <v>6</v>
      </c>
      <c r="AO78" s="10" t="n">
        <v>9</v>
      </c>
      <c r="AP78" s="10" t="n">
        <v>10</v>
      </c>
      <c r="AQ78" s="10" t="n">
        <v>11</v>
      </c>
      <c r="AR78" s="10" t="n">
        <v>12</v>
      </c>
      <c r="AS78" s="10" t="n">
        <v>13</v>
      </c>
      <c r="AT78" s="10" t="n">
        <v>14</v>
      </c>
      <c r="AU78" s="7" t="s">
        <v>37</v>
      </c>
      <c r="AV78" s="47" t="s">
        <v>10</v>
      </c>
      <c r="AW78" s="7" t="s">
        <v>39</v>
      </c>
      <c r="AX78" s="10" t="s">
        <v>38</v>
      </c>
      <c r="AY78" s="1"/>
      <c r="AZ78" s="1"/>
    </row>
    <row r="79" customFormat="false" ht="12" hidden="false" customHeight="false" outlineLevel="0" collapsed="false">
      <c r="AJ79" s="11" t="n">
        <v>3</v>
      </c>
      <c r="AK79" s="34" t="n">
        <f aca="false" t="array" ref="AK79:AT88">MINVERSE(AK66:AT75)</f>
        <v>7.16223406501651E-010</v>
      </c>
      <c r="AL79" s="1" t="n">
        <v>-2.00005067439259E-006</v>
      </c>
      <c r="AM79" s="1" t="n">
        <v>1.22476057257248E-022</v>
      </c>
      <c r="AN79" s="1" t="n">
        <v>-3.79244748708235E-030</v>
      </c>
      <c r="AO79" s="34" t="n">
        <v>2.83776593498602E-010</v>
      </c>
      <c r="AP79" s="1" t="n">
        <v>-1.9999493256092E-006</v>
      </c>
      <c r="AQ79" s="1" t="n">
        <v>1.22453302572332E-022</v>
      </c>
      <c r="AR79" s="1" t="n">
        <v>-3.79244748713591E-030</v>
      </c>
      <c r="AS79" s="1" t="n">
        <v>3.91907299646395E-010</v>
      </c>
      <c r="AT79" s="1" t="n">
        <v>6.08092700354147E-010</v>
      </c>
      <c r="AU79" s="1"/>
      <c r="AV79" s="13" t="n">
        <f aca="false" t="array" ref="AV79:AV88">AX66:AX75</f>
        <v>-13333333.3333333</v>
      </c>
      <c r="AW79" s="1"/>
      <c r="AX79" s="36" t="e">
        <f aca="false" t="array" ref="AX79:AX88">MMULT(AK79:AT88,_xlfn.anchorarray(AV79))</f>
        <v>#NAME?</v>
      </c>
      <c r="AY79" s="1" t="s">
        <v>78</v>
      </c>
      <c r="AZ79" s="1" t="e">
        <f aca="false">1000*AX79</f>
        <v>#NAME?</v>
      </c>
      <c r="BK79" s="100"/>
    </row>
    <row r="80" customFormat="false" ht="12" hidden="false" customHeight="false" outlineLevel="0" collapsed="false">
      <c r="AJ80" s="11" t="n">
        <v>4</v>
      </c>
      <c r="AK80" s="34" t="n">
        <v>-2.00005067439259E-006</v>
      </c>
      <c r="AL80" s="1" t="n">
        <v>0.0140955952290525</v>
      </c>
      <c r="AM80" s="13" t="n">
        <v>-8.63047960974973E-019</v>
      </c>
      <c r="AN80" s="13" t="n">
        <v>7.2888870653519E-027</v>
      </c>
      <c r="AO80" s="34" t="n">
        <v>-1.9999493256092E-006</v>
      </c>
      <c r="AP80" s="1" t="n">
        <v>0.0140948809614362</v>
      </c>
      <c r="AQ80" s="1" t="n">
        <v>-8.63004227652625E-019</v>
      </c>
      <c r="AR80" s="1" t="n">
        <v>7.28888706573259E-027</v>
      </c>
      <c r="AS80" s="1" t="n">
        <v>-4.28582287369841E-006</v>
      </c>
      <c r="AT80" s="1" t="n">
        <v>-4.28560569773399E-006</v>
      </c>
      <c r="AU80" s="1"/>
      <c r="AV80" s="34" t="n">
        <v>20000</v>
      </c>
      <c r="AW80" s="1"/>
      <c r="AX80" s="36" t="e">
        <v>#NAME?</v>
      </c>
      <c r="AY80" s="1" t="s">
        <v>12</v>
      </c>
      <c r="AZ80" s="1"/>
      <c r="BB80" s="132"/>
      <c r="BE80" s="132"/>
      <c r="BK80" s="123"/>
      <c r="BL80" s="123"/>
      <c r="BM80" s="123"/>
      <c r="BN80" s="123"/>
      <c r="BO80" s="123"/>
      <c r="BP80" s="123"/>
      <c r="BR80" s="128"/>
      <c r="BV80" s="136"/>
    </row>
    <row r="81" customFormat="false" ht="12" hidden="false" customHeight="false" outlineLevel="0" collapsed="false">
      <c r="AJ81" s="11" t="n">
        <v>5</v>
      </c>
      <c r="AK81" s="34" t="n">
        <v>1.22476057257248E-022</v>
      </c>
      <c r="AL81" s="1" t="n">
        <v>-8.63047960974972E-019</v>
      </c>
      <c r="AM81" s="13" t="n">
        <v>1.9047619047619E-006</v>
      </c>
      <c r="AN81" s="13" t="n">
        <v>-3.17460317460314E-010</v>
      </c>
      <c r="AO81" s="34" t="n">
        <v>1.22453302572332E-022</v>
      </c>
      <c r="AP81" s="1" t="n">
        <v>-8.63004227652625E-019</v>
      </c>
      <c r="AQ81" s="1" t="n">
        <v>0</v>
      </c>
      <c r="AR81" s="1" t="n">
        <v>-3.1746031746029E-010</v>
      </c>
      <c r="AS81" s="1" t="n">
        <v>2.62448694122674E-022</v>
      </c>
      <c r="AT81" s="1" t="n">
        <v>2.62399934083568E-022</v>
      </c>
      <c r="AU81" s="1"/>
      <c r="AV81" s="1" t="n">
        <v>-30000</v>
      </c>
      <c r="AW81" s="1"/>
      <c r="AX81" s="36" t="e">
        <v>#NAME?</v>
      </c>
      <c r="AY81" s="1" t="s">
        <v>12</v>
      </c>
      <c r="AZ81" s="1"/>
      <c r="BB81" s="132"/>
      <c r="BE81" s="132"/>
      <c r="BK81" s="123"/>
      <c r="BL81" s="123"/>
      <c r="BM81" s="123"/>
      <c r="BN81" s="123"/>
      <c r="BO81" s="123"/>
      <c r="BP81" s="123"/>
      <c r="BR81" s="128"/>
      <c r="BV81" s="136"/>
    </row>
    <row r="82" customFormat="false" ht="12" hidden="false" customHeight="false" outlineLevel="0" collapsed="false">
      <c r="AJ82" s="11" t="n">
        <v>6</v>
      </c>
      <c r="AK82" s="34" t="n">
        <v>-3.79244748601887E-030</v>
      </c>
      <c r="AL82" s="1" t="n">
        <v>7.28888705785753E-027</v>
      </c>
      <c r="AM82" s="1" t="n">
        <v>-3.17460317460318E-010</v>
      </c>
      <c r="AN82" s="1" t="n">
        <v>1.42962962962963E-010</v>
      </c>
      <c r="AO82" s="34" t="n">
        <v>3.7924474860221E-030</v>
      </c>
      <c r="AP82" s="1" t="n">
        <v>-7.28888705788977E-027</v>
      </c>
      <c r="AQ82" s="1" t="n">
        <v>3.17460317460318E-010</v>
      </c>
      <c r="AR82" s="1" t="n">
        <v>-7.13227513227513E-011</v>
      </c>
      <c r="AS82" s="1" t="n">
        <v>-8.12667318432615E-030</v>
      </c>
      <c r="AT82" s="1" t="n">
        <v>8.12667318433881E-030</v>
      </c>
      <c r="AU82" s="1"/>
      <c r="AV82" s="1" t="n">
        <v>-30000000</v>
      </c>
      <c r="AW82" s="1"/>
      <c r="AX82" s="36" t="e">
        <v>#NAME?</v>
      </c>
      <c r="AY82" s="1" t="s">
        <v>78</v>
      </c>
      <c r="AZ82" s="1" t="e">
        <f aca="false">1000*AX82</f>
        <v>#NAME?</v>
      </c>
      <c r="BB82" s="132"/>
      <c r="BE82" s="132"/>
      <c r="BK82" s="123"/>
      <c r="BL82" s="123"/>
      <c r="BM82" s="123"/>
      <c r="BN82" s="123"/>
      <c r="BO82" s="123"/>
      <c r="BP82" s="123"/>
      <c r="BR82" s="128"/>
      <c r="BV82" s="136"/>
    </row>
    <row r="83" customFormat="false" ht="12" hidden="false" customHeight="false" outlineLevel="0" collapsed="false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11" t="n">
        <v>9</v>
      </c>
      <c r="AK83" s="34" t="n">
        <v>2.83776593498602E-010</v>
      </c>
      <c r="AL83" s="1" t="n">
        <v>-1.9999493256092E-006</v>
      </c>
      <c r="AM83" s="1" t="n">
        <v>1.22453302572332E-022</v>
      </c>
      <c r="AN83" s="1" t="n">
        <v>3.79244748495997E-030</v>
      </c>
      <c r="AO83" s="34" t="n">
        <v>7.16223406501651E-010</v>
      </c>
      <c r="AP83" s="1" t="n">
        <v>-2.00005067439259E-006</v>
      </c>
      <c r="AQ83" s="1" t="n">
        <v>1.22476057257248E-022</v>
      </c>
      <c r="AR83" s="1" t="n">
        <v>3.7924474849058E-030</v>
      </c>
      <c r="AS83" s="1" t="n">
        <v>6.08092700354148E-010</v>
      </c>
      <c r="AT83" s="1" t="n">
        <v>3.91907299646395E-010</v>
      </c>
      <c r="AU83" s="1"/>
      <c r="AV83" s="13" t="n">
        <v>6666666.66666667</v>
      </c>
      <c r="AW83" s="1"/>
      <c r="AX83" s="36" t="e">
        <v>#NAME?</v>
      </c>
      <c r="AY83" s="1" t="s">
        <v>78</v>
      </c>
      <c r="AZ83" s="1" t="e">
        <f aca="false">1000*AX83</f>
        <v>#NAME?</v>
      </c>
      <c r="BK83" s="123"/>
      <c r="BL83" s="123"/>
      <c r="BM83" s="123"/>
      <c r="BN83" s="123"/>
      <c r="BO83" s="123"/>
      <c r="BP83" s="123"/>
      <c r="BR83" s="128"/>
      <c r="BV83" s="136"/>
    </row>
    <row r="84" customFormat="false" ht="12" hidden="false" customHeight="false" outlineLevel="0" collapsed="false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11" t="n">
        <v>10</v>
      </c>
      <c r="AK84" s="34" t="n">
        <v>-1.9999493256092E-006</v>
      </c>
      <c r="AL84" s="1" t="n">
        <v>0.0140948809614362</v>
      </c>
      <c r="AM84" s="1" t="n">
        <v>-8.63004227652625E-019</v>
      </c>
      <c r="AN84" s="1" t="n">
        <v>-7.28888705039484E-027</v>
      </c>
      <c r="AO84" s="34" t="n">
        <v>-2.00005067439259E-006</v>
      </c>
      <c r="AP84" s="1" t="n">
        <v>0.0140955952290525</v>
      </c>
      <c r="AQ84" s="13" t="n">
        <v>-8.63047960974972E-019</v>
      </c>
      <c r="AR84" s="1" t="n">
        <v>-7.28888705001304E-027</v>
      </c>
      <c r="AS84" s="1" t="n">
        <v>-4.285605697734E-006</v>
      </c>
      <c r="AT84" s="1" t="n">
        <v>-4.2858228736984E-006</v>
      </c>
      <c r="AU84" s="1"/>
      <c r="AV84" s="1" t="n">
        <v>-10000</v>
      </c>
      <c r="AW84" s="1"/>
      <c r="AX84" s="36" t="e">
        <v>#NAME?</v>
      </c>
      <c r="AY84" s="1" t="s">
        <v>12</v>
      </c>
      <c r="AZ84" s="1" t="e">
        <f aca="false">1000*AX84</f>
        <v>#NAME?</v>
      </c>
      <c r="BA84" s="7"/>
      <c r="BB84" s="7"/>
      <c r="BC84" s="7"/>
      <c r="BD84" s="7"/>
      <c r="BE84" s="20"/>
      <c r="BF84" s="7"/>
      <c r="BG84" s="7"/>
      <c r="BH84" s="7"/>
      <c r="BI84" s="7"/>
      <c r="BJ84" s="7"/>
      <c r="BK84" s="42"/>
      <c r="BL84" s="42"/>
      <c r="BM84" s="42"/>
      <c r="BN84" s="42"/>
      <c r="BO84" s="123"/>
      <c r="BP84" s="123"/>
      <c r="BR84" s="128"/>
      <c r="BV84" s="136"/>
    </row>
    <row r="85" customFormat="false" ht="12" hidden="false" customHeight="false" outlineLevel="0" collapsed="false">
      <c r="AJ85" s="11" t="n">
        <v>11</v>
      </c>
      <c r="AK85" s="34" t="n">
        <v>1.22453302572332E-022</v>
      </c>
      <c r="AL85" s="1" t="n">
        <v>-8.63004227652625E-019</v>
      </c>
      <c r="AM85" s="1" t="n">
        <v>-6.47878198845767E-025</v>
      </c>
      <c r="AN85" s="1" t="n">
        <v>3.17460317460317E-010</v>
      </c>
      <c r="AO85" s="34" t="n">
        <v>1.22476057257248E-022</v>
      </c>
      <c r="AP85" s="1" t="n">
        <v>-8.63047960974972E-019</v>
      </c>
      <c r="AQ85" s="13" t="n">
        <v>1.9047619047619E-006</v>
      </c>
      <c r="AR85" s="1" t="n">
        <v>3.17460317460317E-010</v>
      </c>
      <c r="AS85" s="1" t="n">
        <v>2.62399934083568E-022</v>
      </c>
      <c r="AT85" s="1" t="n">
        <v>2.62448694122674E-022</v>
      </c>
      <c r="AU85" s="1"/>
      <c r="AV85" s="1" t="n">
        <v>-30000</v>
      </c>
      <c r="AW85" s="1"/>
      <c r="AX85" s="36" t="e">
        <v>#NAME?</v>
      </c>
      <c r="AY85" s="1" t="s">
        <v>12</v>
      </c>
      <c r="AZ85" s="1" t="e">
        <f aca="false">1000*AX85</f>
        <v>#NAME?</v>
      </c>
      <c r="BC85" s="138"/>
      <c r="BD85" s="138"/>
      <c r="BE85" s="132"/>
      <c r="BK85" s="123"/>
      <c r="BL85" s="123"/>
      <c r="BM85" s="123"/>
      <c r="BN85" s="123"/>
      <c r="BO85" s="123"/>
      <c r="BP85" s="123"/>
      <c r="BR85" s="128"/>
      <c r="BV85" s="136"/>
    </row>
    <row r="86" customFormat="false" ht="12" hidden="false" customHeight="false" outlineLevel="0" collapsed="false">
      <c r="AJ86" s="11" t="n">
        <v>12</v>
      </c>
      <c r="AK86" s="34" t="n">
        <v>-3.79244748601887E-030</v>
      </c>
      <c r="AL86" s="1" t="n">
        <v>7.28888705785753E-027</v>
      </c>
      <c r="AM86" s="1" t="n">
        <v>-3.17460317460318E-010</v>
      </c>
      <c r="AN86" s="1" t="n">
        <v>-7.13227513227513E-011</v>
      </c>
      <c r="AO86" s="34" t="n">
        <v>3.7924474860221E-030</v>
      </c>
      <c r="AP86" s="1" t="n">
        <v>-7.28888705788977E-027</v>
      </c>
      <c r="AQ86" s="1" t="n">
        <v>3.17460317460318E-010</v>
      </c>
      <c r="AR86" s="1" t="n">
        <v>1.42962962962963E-010</v>
      </c>
      <c r="AS86" s="1" t="n">
        <v>-8.12667318432615E-030</v>
      </c>
      <c r="AT86" s="1" t="n">
        <v>8.12667318433881E-030</v>
      </c>
      <c r="AU86" s="1"/>
      <c r="AV86" s="1" t="n">
        <v>30000000</v>
      </c>
      <c r="AW86" s="1"/>
      <c r="AX86" s="36" t="e">
        <v>#NAME?</v>
      </c>
      <c r="AY86" s="1" t="s">
        <v>78</v>
      </c>
      <c r="AZ86" s="1" t="e">
        <f aca="false">1000*AX86</f>
        <v>#NAME?</v>
      </c>
      <c r="BC86" s="138"/>
      <c r="BD86" s="138"/>
      <c r="BE86" s="132"/>
    </row>
    <row r="87" customFormat="false" ht="12" hidden="false" customHeight="false" outlineLevel="0" collapsed="false">
      <c r="AJ87" s="11" t="n">
        <v>13</v>
      </c>
      <c r="AK87" s="34" t="n">
        <v>3.91907299646396E-010</v>
      </c>
      <c r="AL87" s="34" t="n">
        <v>-4.28582287369841E-006</v>
      </c>
      <c r="AM87" s="34" t="n">
        <v>2.62448694122675E-022</v>
      </c>
      <c r="AN87" s="34" t="n">
        <v>-8.12667318660437E-030</v>
      </c>
      <c r="AO87" s="34" t="n">
        <v>6.08092700354148E-010</v>
      </c>
      <c r="AP87" s="34" t="n">
        <v>-4.285605697734E-006</v>
      </c>
      <c r="AQ87" s="34" t="n">
        <v>2.62399934083568E-022</v>
      </c>
      <c r="AR87" s="34" t="n">
        <v>-8.12667318672046E-030</v>
      </c>
      <c r="AS87" s="34" t="n">
        <v>1.98265849924228E-009</v>
      </c>
      <c r="AT87" s="34" t="n">
        <v>1.30305578647317E-009</v>
      </c>
      <c r="AU87" s="1"/>
      <c r="AV87" s="1" t="n">
        <v>13333333.3333333</v>
      </c>
      <c r="AW87" s="1"/>
      <c r="AX87" s="1" t="e">
        <v>#NAME?</v>
      </c>
      <c r="AY87" s="1" t="s">
        <v>78</v>
      </c>
      <c r="AZ87" s="1"/>
      <c r="BB87" s="132"/>
      <c r="BE87" s="132"/>
      <c r="BK87" s="100"/>
    </row>
    <row r="88" customFormat="false" ht="12" hidden="false" customHeight="false" outlineLevel="0" collapsed="false">
      <c r="AJ88" s="11" t="n">
        <v>14</v>
      </c>
      <c r="AK88" s="34" t="n">
        <v>6.08092700354148E-010</v>
      </c>
      <c r="AL88" s="34" t="n">
        <v>-4.28560569773399E-006</v>
      </c>
      <c r="AM88" s="34" t="n">
        <v>2.62399934083568E-022</v>
      </c>
      <c r="AN88" s="34" t="n">
        <v>8.12667318205708E-030</v>
      </c>
      <c r="AO88" s="34" t="n">
        <v>3.91907299646396E-010</v>
      </c>
      <c r="AP88" s="34" t="n">
        <v>-4.28582287369841E-006</v>
      </c>
      <c r="AQ88" s="34" t="n">
        <v>2.62448694122674E-022</v>
      </c>
      <c r="AR88" s="34" t="n">
        <v>8.126673181941E-030</v>
      </c>
      <c r="AS88" s="34" t="n">
        <v>1.30305578647317E-009</v>
      </c>
      <c r="AT88" s="34" t="n">
        <v>1.98265849924227E-009</v>
      </c>
      <c r="AV88" s="34" t="n">
        <v>-6666666.66666667</v>
      </c>
      <c r="AX88" s="34" t="e">
        <v>#NAME?</v>
      </c>
      <c r="AY88" s="34" t="s">
        <v>78</v>
      </c>
      <c r="BB88" s="132"/>
      <c r="BE88" s="132"/>
      <c r="BK88" s="95"/>
      <c r="BL88" s="95"/>
      <c r="BM88" s="95"/>
      <c r="BN88" s="95"/>
      <c r="BO88" s="95"/>
      <c r="BP88" s="95"/>
      <c r="BR88" s="128"/>
      <c r="BT88" s="123"/>
      <c r="BY88" s="130"/>
      <c r="CA88" s="131"/>
    </row>
    <row r="89" customFormat="false" ht="12" hidden="false" customHeight="false" outlineLevel="0" collapsed="false">
      <c r="AJ89" s="10"/>
      <c r="AK89" s="10"/>
      <c r="AL89" s="10"/>
      <c r="AM89" s="10"/>
      <c r="AN89" s="10"/>
      <c r="AO89" s="10"/>
      <c r="AP89" s="10"/>
      <c r="AQ89" s="10"/>
      <c r="AR89" s="10"/>
      <c r="AS89" s="10"/>
      <c r="AT89" s="10"/>
      <c r="AZ89" s="132"/>
      <c r="BB89" s="132"/>
      <c r="BE89" s="132"/>
      <c r="BK89" s="95"/>
      <c r="BL89" s="95"/>
      <c r="BM89" s="95"/>
      <c r="BN89" s="95"/>
      <c r="BO89" s="95"/>
      <c r="BP89" s="95"/>
      <c r="BR89" s="128"/>
      <c r="BT89" s="95"/>
      <c r="BY89" s="130"/>
      <c r="CA89" s="131"/>
    </row>
    <row r="90" customFormat="false" ht="12" hidden="false" customHeight="false" outlineLevel="0" collapsed="false">
      <c r="AK90" s="17"/>
      <c r="AL90" s="17"/>
      <c r="AM90" s="17"/>
      <c r="AN90" s="17"/>
      <c r="AO90" s="17"/>
      <c r="AP90" s="17"/>
      <c r="AQ90" s="21"/>
      <c r="AR90" s="21"/>
      <c r="AS90" s="21"/>
      <c r="AT90" s="21"/>
      <c r="AU90" s="21"/>
      <c r="AV90" s="21"/>
      <c r="AW90" s="21"/>
      <c r="AX90" s="21"/>
      <c r="AZ90" s="132"/>
      <c r="BB90" s="132"/>
      <c r="BE90" s="132"/>
      <c r="BK90" s="95"/>
      <c r="BL90" s="95"/>
      <c r="BM90" s="95"/>
      <c r="BN90" s="95"/>
      <c r="BO90" s="95"/>
      <c r="BP90" s="95"/>
      <c r="BR90" s="128"/>
      <c r="BT90" s="95"/>
      <c r="BY90" s="130"/>
      <c r="CA90" s="131"/>
    </row>
    <row r="91" customFormat="false" ht="12" hidden="false" customHeight="false" outlineLevel="0" collapsed="false">
      <c r="AJ91" s="87" t="s">
        <v>103</v>
      </c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BE91" s="132"/>
      <c r="BK91" s="95"/>
      <c r="BL91" s="95"/>
      <c r="BM91" s="95"/>
      <c r="BN91" s="95"/>
      <c r="BO91" s="95"/>
      <c r="BP91" s="95"/>
      <c r="BR91" s="128"/>
      <c r="BT91" s="123"/>
      <c r="BY91" s="130"/>
      <c r="CA91" s="131"/>
    </row>
    <row r="92" customFormat="false" ht="12" hidden="false" customHeight="false" outlineLevel="0" collapsed="false">
      <c r="AJ92" s="11"/>
      <c r="AK92" s="11" t="n">
        <v>1</v>
      </c>
      <c r="AL92" s="11" t="n">
        <v>2</v>
      </c>
      <c r="AM92" s="11" t="n">
        <v>3</v>
      </c>
      <c r="AN92" s="11" t="n">
        <v>4</v>
      </c>
      <c r="AO92" s="11" t="n">
        <v>5</v>
      </c>
      <c r="AP92" s="11" t="n">
        <v>6</v>
      </c>
      <c r="AQ92" s="11" t="n">
        <v>7</v>
      </c>
      <c r="AR92" s="11" t="n">
        <v>8</v>
      </c>
      <c r="AS92" s="11" t="n">
        <v>9</v>
      </c>
      <c r="AT92" s="11" t="n">
        <v>10</v>
      </c>
      <c r="AU92" s="11" t="n">
        <v>11</v>
      </c>
      <c r="AV92" s="11" t="n">
        <v>12</v>
      </c>
      <c r="AW92" s="11" t="n">
        <v>13</v>
      </c>
      <c r="AX92" s="11" t="n">
        <v>14</v>
      </c>
      <c r="AZ92" s="10" t="s">
        <v>38</v>
      </c>
      <c r="BB92" s="10" t="s">
        <v>40</v>
      </c>
      <c r="BE92" s="132"/>
      <c r="BK92" s="95"/>
      <c r="BL92" s="95"/>
      <c r="BM92" s="95"/>
      <c r="BN92" s="95"/>
      <c r="BO92" s="95"/>
      <c r="BP92" s="95"/>
      <c r="BR92" s="128"/>
      <c r="BT92" s="95"/>
      <c r="BY92" s="130"/>
      <c r="CA92" s="131"/>
    </row>
    <row r="93" customFormat="false" ht="12" hidden="false" customHeight="false" outlineLevel="0" collapsed="false">
      <c r="AJ93" s="11" t="n">
        <v>1</v>
      </c>
      <c r="AK93" s="17" t="n">
        <f aca="false">AK6+BA6+AK25</f>
        <v>328.125</v>
      </c>
      <c r="AL93" s="17" t="n">
        <f aca="false">AL6+BB6+AL25</f>
        <v>3.21268866160695E-011</v>
      </c>
      <c r="AM93" s="17" t="n">
        <f aca="false">AM6+BC6+AM25</f>
        <v>-656250</v>
      </c>
      <c r="AN93" s="17" t="n">
        <f aca="false">AN6+BD6+AN25</f>
        <v>-328.125</v>
      </c>
      <c r="AO93" s="17" t="n">
        <f aca="false">AO6+BE6+AO25</f>
        <v>-3.21268866160695E-011</v>
      </c>
      <c r="AP93" s="17" t="n">
        <f aca="false">AP6+BF6+AP25</f>
        <v>0</v>
      </c>
      <c r="AQ93" s="17" t="n">
        <f aca="false">AQ6+BG6+AQ25</f>
        <v>0</v>
      </c>
      <c r="AR93" s="17" t="n">
        <f aca="false">AR6+BH6+AR25</f>
        <v>0</v>
      </c>
      <c r="AS93" s="17" t="n">
        <f aca="false">AS6+BI6+AS25</f>
        <v>0</v>
      </c>
      <c r="AT93" s="17" t="n">
        <f aca="false">AT6+BJ6+AT25</f>
        <v>0</v>
      </c>
      <c r="AU93" s="17" t="n">
        <f aca="false">AU6+BK6+AU25</f>
        <v>0</v>
      </c>
      <c r="AV93" s="17" t="n">
        <f aca="false">AV6+BL6+AV25</f>
        <v>0</v>
      </c>
      <c r="AW93" s="17" t="n">
        <f aca="false">AW6+BM6+AW25</f>
        <v>-656250</v>
      </c>
      <c r="AX93" s="17" t="n">
        <f aca="false">AX6+BN6+AX25</f>
        <v>0</v>
      </c>
      <c r="AZ93" s="40" t="n">
        <v>0</v>
      </c>
      <c r="BB93" s="7" t="e">
        <f aca="false" t="array" ref="BB93:BB106">MMULT(AK93:AX106,AZ93:AZ106)-BB46:BB59</f>
        <v>#NAME?</v>
      </c>
      <c r="BE93" s="132"/>
      <c r="BK93" s="95"/>
      <c r="BL93" s="95"/>
      <c r="BM93" s="95"/>
      <c r="BN93" s="95"/>
      <c r="BO93" s="95"/>
      <c r="BP93" s="95"/>
      <c r="BR93" s="128"/>
      <c r="BT93" s="95"/>
      <c r="BY93" s="130"/>
      <c r="CA93" s="131"/>
    </row>
    <row r="94" customFormat="false" ht="12" hidden="false" customHeight="false" outlineLevel="0" collapsed="false">
      <c r="AJ94" s="11" t="n">
        <v>2</v>
      </c>
      <c r="AK94" s="17" t="n">
        <f aca="false">AK7+BA7+AK26</f>
        <v>3.21268866160695E-011</v>
      </c>
      <c r="AL94" s="17" t="n">
        <f aca="false">AL7+BB7+AL26</f>
        <v>525000</v>
      </c>
      <c r="AM94" s="17" t="n">
        <f aca="false">AM7+BC7+AM26</f>
        <v>4.01837230970225E-011</v>
      </c>
      <c r="AN94" s="17" t="n">
        <f aca="false">AN7+BD7+AN26</f>
        <v>-3.21268866160695E-011</v>
      </c>
      <c r="AO94" s="17" t="n">
        <f aca="false">AO7+BE7+AO26</f>
        <v>-525000</v>
      </c>
      <c r="AP94" s="17" t="n">
        <f aca="false">AP7+BF7+AP26</f>
        <v>0</v>
      </c>
      <c r="AQ94" s="17" t="n">
        <f aca="false">AQ7+BG7+AQ26</f>
        <v>0</v>
      </c>
      <c r="AR94" s="17" t="n">
        <f aca="false">AR7+BH7+AR26</f>
        <v>0</v>
      </c>
      <c r="AS94" s="17" t="n">
        <f aca="false">AS7+BI7+AS26</f>
        <v>0</v>
      </c>
      <c r="AT94" s="17" t="n">
        <f aca="false">AT7+BJ7+AT26</f>
        <v>0</v>
      </c>
      <c r="AU94" s="17" t="n">
        <f aca="false">AU7+BK7+AU26</f>
        <v>0</v>
      </c>
      <c r="AV94" s="17" t="n">
        <f aca="false">AV7+BL7+AV26</f>
        <v>0</v>
      </c>
      <c r="AW94" s="17" t="n">
        <f aca="false">AW7+BM7+AW26</f>
        <v>4.01837230970225E-011</v>
      </c>
      <c r="AX94" s="17" t="n">
        <f aca="false">AX7+BN7+AX26</f>
        <v>0</v>
      </c>
      <c r="AZ94" s="40" t="n">
        <v>0</v>
      </c>
      <c r="BB94" s="37" t="e">
        <v>#NAME?</v>
      </c>
    </row>
    <row r="95" customFormat="false" ht="12" hidden="false" customHeight="false" outlineLevel="0" collapsed="false">
      <c r="AJ95" s="11" t="n">
        <v>3</v>
      </c>
      <c r="AK95" s="17" t="n">
        <f aca="false">AK8+BA8+AK27</f>
        <v>-656250</v>
      </c>
      <c r="AL95" s="17" t="n">
        <f aca="false">AL8+BB8+AL27</f>
        <v>4.01837230970225E-011</v>
      </c>
      <c r="AM95" s="17" t="n">
        <f aca="false">AM8+BC8+AM27</f>
        <v>1750000000</v>
      </c>
      <c r="AN95" s="17" t="n">
        <f aca="false">AN8+BD8+AN27</f>
        <v>656250</v>
      </c>
      <c r="AO95" s="17" t="n">
        <f aca="false">AO8+BE8+AO27</f>
        <v>-4.01837230970225E-011</v>
      </c>
      <c r="AP95" s="17" t="n">
        <f aca="false">AP8+BF8+AP27</f>
        <v>0</v>
      </c>
      <c r="AQ95" s="17" t="n">
        <f aca="false">AQ8+BG8+AQ27</f>
        <v>0</v>
      </c>
      <c r="AR95" s="17" t="n">
        <f aca="false">AR8+BH8+AR27</f>
        <v>0</v>
      </c>
      <c r="AS95" s="17" t="n">
        <f aca="false">AS8+BI8+AS27</f>
        <v>0</v>
      </c>
      <c r="AT95" s="17" t="n">
        <f aca="false">AT8+BJ8+AT27</f>
        <v>0</v>
      </c>
      <c r="AU95" s="17" t="n">
        <f aca="false">AU8+BK8+AU27</f>
        <v>0</v>
      </c>
      <c r="AV95" s="17" t="n">
        <f aca="false">AV8+BL8+AV27</f>
        <v>0</v>
      </c>
      <c r="AW95" s="17" t="n">
        <f aca="false">AW8+BM8+AW27</f>
        <v>875000000</v>
      </c>
      <c r="AX95" s="17" t="n">
        <f aca="false">AX8+BN8+AX27</f>
        <v>0</v>
      </c>
      <c r="AZ95" s="40" t="e">
        <f aca="false" t="array" ref="AZ95:AZ98">AX79:AX82</f>
        <v>#NAME?</v>
      </c>
      <c r="BB95" s="37" t="e">
        <v>#NAME?</v>
      </c>
    </row>
    <row r="96" customFormat="false" ht="12" hidden="false" customHeight="false" outlineLevel="0" collapsed="false">
      <c r="AJ96" s="11" t="n">
        <v>4</v>
      </c>
      <c r="AK96" s="17" t="n">
        <f aca="false">AK9+BA9+AK28</f>
        <v>-328.125</v>
      </c>
      <c r="AL96" s="17" t="n">
        <f aca="false">AL9+BB9+AL28</f>
        <v>-3.21268866160695E-011</v>
      </c>
      <c r="AM96" s="17" t="n">
        <f aca="false">AM9+BC9+AM28</f>
        <v>656250</v>
      </c>
      <c r="AN96" s="17" t="n">
        <f aca="false">AN9+BD9+AN28</f>
        <v>700328.125</v>
      </c>
      <c r="AO96" s="17" t="n">
        <f aca="false">AO9+BE9+AO28</f>
        <v>3.21268866160695E-011</v>
      </c>
      <c r="AP96" s="17" t="n">
        <f aca="false">AP9+BF9+AP28</f>
        <v>0</v>
      </c>
      <c r="AQ96" s="17" t="n">
        <f aca="false">AQ9+BG9+AQ28</f>
        <v>0</v>
      </c>
      <c r="AR96" s="17" t="n">
        <f aca="false">AR9+BH9+AR28</f>
        <v>0</v>
      </c>
      <c r="AS96" s="17" t="n">
        <f aca="false">AS9+BI9+AS28</f>
        <v>0</v>
      </c>
      <c r="AT96" s="17" t="n">
        <f aca="false">AT9+BJ9+AT28</f>
        <v>-700000</v>
      </c>
      <c r="AU96" s="17" t="n">
        <f aca="false">AU9+BK9+AU28</f>
        <v>0</v>
      </c>
      <c r="AV96" s="17" t="n">
        <f aca="false">AV9+BL9+AV28</f>
        <v>0</v>
      </c>
      <c r="AW96" s="17" t="n">
        <f aca="false">AW9+BM9+AW28</f>
        <v>656250</v>
      </c>
      <c r="AX96" s="17" t="n">
        <f aca="false">AX9+BN9+AX28</f>
        <v>0</v>
      </c>
      <c r="AZ96" s="40" t="e">
        <v>#NAME?</v>
      </c>
      <c r="BB96" s="37" t="e">
        <v>#NAME?</v>
      </c>
    </row>
    <row r="97" customFormat="false" ht="12" hidden="false" customHeight="false" outlineLevel="0" collapsed="false">
      <c r="AJ97" s="11" t="n">
        <v>5</v>
      </c>
      <c r="AK97" s="17" t="n">
        <f aca="false">AK10+BA10+AK29</f>
        <v>-3.21268866160695E-011</v>
      </c>
      <c r="AL97" s="17" t="n">
        <f aca="false">AL10+BB10+AL29</f>
        <v>-525000</v>
      </c>
      <c r="AM97" s="17" t="n">
        <f aca="false">AM10+BC10+AM29</f>
        <v>-4.01837230970225E-011</v>
      </c>
      <c r="AN97" s="17" t="n">
        <f aca="false">AN10+BD10+AN29</f>
        <v>3.21268866160695E-011</v>
      </c>
      <c r="AO97" s="17" t="n">
        <f aca="false">AO10+BE10+AO29</f>
        <v>525777.777777778</v>
      </c>
      <c r="AP97" s="17" t="n">
        <f aca="false">AP10+BF10+AP29</f>
        <v>2333333.33333333</v>
      </c>
      <c r="AQ97" s="17" t="n">
        <f aca="false">AQ10+BG10+AQ29</f>
        <v>0</v>
      </c>
      <c r="AR97" s="17" t="n">
        <f aca="false">AR10+BH10+AR29</f>
        <v>0</v>
      </c>
      <c r="AS97" s="17" t="n">
        <f aca="false">AS10+BI10+AS29</f>
        <v>0</v>
      </c>
      <c r="AT97" s="17" t="n">
        <f aca="false">AT10+BJ10+AT29</f>
        <v>0</v>
      </c>
      <c r="AU97" s="17" t="n">
        <f aca="false">AU10+BK10+AU29</f>
        <v>-777.777777777778</v>
      </c>
      <c r="AV97" s="17" t="n">
        <f aca="false">AV10+BL10+AV29</f>
        <v>2333333.33333333</v>
      </c>
      <c r="AW97" s="17" t="n">
        <f aca="false">AW10+BM10+AW29</f>
        <v>-4.01837230970225E-011</v>
      </c>
      <c r="AX97" s="17" t="n">
        <f aca="false">AX10+BN10+AX29</f>
        <v>0</v>
      </c>
      <c r="AZ97" s="40" t="e">
        <v>#NAME?</v>
      </c>
      <c r="BB97" s="34" t="e">
        <v>#NAME?</v>
      </c>
    </row>
    <row r="98" customFormat="false" ht="12" hidden="false" customHeight="false" outlineLevel="0" collapsed="false">
      <c r="AJ98" s="11" t="n">
        <v>6</v>
      </c>
      <c r="AK98" s="17" t="n">
        <f aca="false">AK11+BA11+AK30</f>
        <v>0</v>
      </c>
      <c r="AL98" s="17" t="n">
        <f aca="false">AL11+BB11+AL30</f>
        <v>0</v>
      </c>
      <c r="AM98" s="17" t="n">
        <f aca="false">AM11+BC11+AM30</f>
        <v>0</v>
      </c>
      <c r="AN98" s="17" t="n">
        <f aca="false">AN11+BD11+AN30</f>
        <v>0</v>
      </c>
      <c r="AO98" s="17" t="n">
        <f aca="false">AO11+BE11+AO30</f>
        <v>2333333.33333333</v>
      </c>
      <c r="AP98" s="17" t="n">
        <f aca="false">AP11+BF11+AP30</f>
        <v>9333333333.33333</v>
      </c>
      <c r="AQ98" s="17" t="n">
        <f aca="false">AQ11+BG11+AQ30</f>
        <v>0</v>
      </c>
      <c r="AR98" s="17" t="n">
        <f aca="false">AR11+BH11+AR30</f>
        <v>0</v>
      </c>
      <c r="AS98" s="17" t="n">
        <f aca="false">AS11+BI11+AS30</f>
        <v>0</v>
      </c>
      <c r="AT98" s="17" t="n">
        <f aca="false">AT11+BJ11+AT30</f>
        <v>0</v>
      </c>
      <c r="AU98" s="17" t="n">
        <f aca="false">AU11+BK11+AU30</f>
        <v>-2333333.33333333</v>
      </c>
      <c r="AV98" s="17" t="n">
        <f aca="false">AV11+BL11+AV30</f>
        <v>4666666666.66667</v>
      </c>
      <c r="AW98" s="17" t="n">
        <f aca="false">AW11+BM11+AW30</f>
        <v>0</v>
      </c>
      <c r="AX98" s="17" t="n">
        <f aca="false">AX11+BN11+AX30</f>
        <v>0</v>
      </c>
      <c r="AZ98" s="40" t="e">
        <v>#NAME?</v>
      </c>
      <c r="BB98" s="37" t="e">
        <v>#NAME?</v>
      </c>
    </row>
    <row r="99" customFormat="false" ht="12" hidden="false" customHeight="false" outlineLevel="0" collapsed="false">
      <c r="AJ99" s="11" t="n">
        <v>7</v>
      </c>
      <c r="AK99" s="17" t="n">
        <f aca="false">AK12+BA12+AK31</f>
        <v>0</v>
      </c>
      <c r="AL99" s="17" t="n">
        <f aca="false">AL12+BB12+AL31</f>
        <v>0</v>
      </c>
      <c r="AM99" s="17" t="n">
        <f aca="false">AM12+BC12+AM31</f>
        <v>0</v>
      </c>
      <c r="AN99" s="17" t="n">
        <f aca="false">AN12+BD12+AN31</f>
        <v>0</v>
      </c>
      <c r="AO99" s="17" t="n">
        <f aca="false">AO12+BE12+AO31</f>
        <v>0</v>
      </c>
      <c r="AP99" s="17" t="n">
        <f aca="false">AP12+BF12+AP31</f>
        <v>0</v>
      </c>
      <c r="AQ99" s="17" t="n">
        <f aca="false">AQ12+BG12+AQ31</f>
        <v>328.125</v>
      </c>
      <c r="AR99" s="17" t="n">
        <f aca="false">AR12+BH12+AR31</f>
        <v>3.21268866160695E-011</v>
      </c>
      <c r="AS99" s="17" t="n">
        <f aca="false">AS12+BI12+AS31</f>
        <v>-656250</v>
      </c>
      <c r="AT99" s="17" t="n">
        <f aca="false">AT12+BJ12+AT31</f>
        <v>-328.125</v>
      </c>
      <c r="AU99" s="17" t="n">
        <f aca="false">AU12+BK12+AU31</f>
        <v>-3.21268866160695E-011</v>
      </c>
      <c r="AV99" s="17" t="n">
        <f aca="false">AV12+BL12+AV31</f>
        <v>0</v>
      </c>
      <c r="AW99" s="17" t="n">
        <f aca="false">AW12+BM12+AW31</f>
        <v>0</v>
      </c>
      <c r="AX99" s="17" t="n">
        <f aca="false">AX12+BN12+AX31</f>
        <v>-656250</v>
      </c>
      <c r="AZ99" s="40" t="n">
        <v>0</v>
      </c>
      <c r="BB99" s="37" t="e">
        <v>#NAME?</v>
      </c>
    </row>
    <row r="100" customFormat="false" ht="12" hidden="false" customHeight="false" outlineLevel="0" collapsed="false">
      <c r="AJ100" s="11" t="n">
        <v>8</v>
      </c>
      <c r="AK100" s="17" t="n">
        <f aca="false">AK13+BA13+AK32</f>
        <v>0</v>
      </c>
      <c r="AL100" s="17" t="n">
        <f aca="false">AL13+BB13+AL32</f>
        <v>0</v>
      </c>
      <c r="AM100" s="17" t="n">
        <f aca="false">AM13+BC13+AM32</f>
        <v>0</v>
      </c>
      <c r="AN100" s="17" t="n">
        <f aca="false">AN13+BD13+AN32</f>
        <v>0</v>
      </c>
      <c r="AO100" s="17" t="n">
        <f aca="false">AO13+BE13+AO32</f>
        <v>0</v>
      </c>
      <c r="AP100" s="17" t="n">
        <f aca="false">AP13+BF13+AP32</f>
        <v>0</v>
      </c>
      <c r="AQ100" s="17" t="n">
        <f aca="false">AQ13+BG13+AQ32</f>
        <v>3.21268866160695E-011</v>
      </c>
      <c r="AR100" s="17" t="n">
        <f aca="false">AR13+BH13+AR32</f>
        <v>525000</v>
      </c>
      <c r="AS100" s="17" t="n">
        <f aca="false">AS13+BI13+AS32</f>
        <v>4.01837230970225E-011</v>
      </c>
      <c r="AT100" s="17" t="n">
        <f aca="false">AT13+BJ13+AT32</f>
        <v>-3.21268866160695E-011</v>
      </c>
      <c r="AU100" s="17" t="n">
        <f aca="false">AU13+BK13+AU32</f>
        <v>-525000</v>
      </c>
      <c r="AV100" s="17" t="n">
        <f aca="false">AV13+BL13+AV32</f>
        <v>0</v>
      </c>
      <c r="AW100" s="17" t="n">
        <f aca="false">AW13+BM13+AW32</f>
        <v>0</v>
      </c>
      <c r="AX100" s="17" t="n">
        <f aca="false">AX13+BN13+AX32</f>
        <v>4.01837230970225E-011</v>
      </c>
      <c r="AZ100" s="40" t="n">
        <v>0</v>
      </c>
      <c r="BB100" s="41" t="e">
        <v>#NAME?</v>
      </c>
      <c r="BC100" s="123"/>
      <c r="BD100" s="123"/>
    </row>
    <row r="101" customFormat="false" ht="12" hidden="false" customHeight="false" outlineLevel="0" collapsed="false">
      <c r="AJ101" s="11" t="n">
        <v>9</v>
      </c>
      <c r="AK101" s="17" t="n">
        <f aca="false">AK14+BA14+AK33</f>
        <v>0</v>
      </c>
      <c r="AL101" s="17" t="n">
        <f aca="false">AL14+BB14+AL33</f>
        <v>0</v>
      </c>
      <c r="AM101" s="17" t="n">
        <f aca="false">AM14+BC14+AM33</f>
        <v>0</v>
      </c>
      <c r="AN101" s="17" t="n">
        <f aca="false">AN14+BD14+AN33</f>
        <v>0</v>
      </c>
      <c r="AO101" s="17" t="n">
        <f aca="false">AO14+BE14+AO33</f>
        <v>0</v>
      </c>
      <c r="AP101" s="17" t="n">
        <f aca="false">AP14+BF14+AP33</f>
        <v>0</v>
      </c>
      <c r="AQ101" s="17" t="n">
        <f aca="false">AQ14+BG14+AQ33</f>
        <v>-656250</v>
      </c>
      <c r="AR101" s="17" t="n">
        <f aca="false">AR14+BH14+AR33</f>
        <v>4.01837230970225E-011</v>
      </c>
      <c r="AS101" s="17" t="n">
        <f aca="false">AS14+BI14+AS33</f>
        <v>1750000000</v>
      </c>
      <c r="AT101" s="17" t="n">
        <f aca="false">AT14+BJ14+AT33</f>
        <v>656250</v>
      </c>
      <c r="AU101" s="17" t="n">
        <f aca="false">AU14+BK14+AU33</f>
        <v>-4.01837230970225E-011</v>
      </c>
      <c r="AV101" s="17" t="n">
        <f aca="false">AV14+BL14+AV33</f>
        <v>0</v>
      </c>
      <c r="AW101" s="17" t="n">
        <f aca="false">AW14+BM14+AW33</f>
        <v>0</v>
      </c>
      <c r="AX101" s="17" t="n">
        <f aca="false">AX14+BN14+AX33</f>
        <v>875000000</v>
      </c>
      <c r="AZ101" s="40" t="e">
        <f aca="false" t="array" ref="AZ101:AZ106">AX83:AX88</f>
        <v>#NAME?</v>
      </c>
      <c r="BB101" s="37" t="e">
        <v>#NAME?</v>
      </c>
    </row>
    <row r="102" customFormat="false" ht="12" hidden="false" customHeight="false" outlineLevel="0" collapsed="false">
      <c r="AJ102" s="11" t="n">
        <v>10</v>
      </c>
      <c r="AK102" s="17" t="n">
        <f aca="false">AK15+BA15+AK34</f>
        <v>0</v>
      </c>
      <c r="AL102" s="17" t="n">
        <f aca="false">AL15+BB15+AL34</f>
        <v>0</v>
      </c>
      <c r="AM102" s="17" t="n">
        <f aca="false">AM15+BC15+AM34</f>
        <v>0</v>
      </c>
      <c r="AN102" s="17" t="n">
        <f aca="false">AN15+BD15+AN34</f>
        <v>-700000</v>
      </c>
      <c r="AO102" s="17" t="n">
        <f aca="false">AO15+BE15+AO34</f>
        <v>0</v>
      </c>
      <c r="AP102" s="17" t="n">
        <f aca="false">AP15+BF15+AP34</f>
        <v>0</v>
      </c>
      <c r="AQ102" s="17" t="n">
        <f aca="false">AQ15+BG15+AQ34</f>
        <v>-328.125</v>
      </c>
      <c r="AR102" s="17" t="n">
        <f aca="false">AR15+BH15+AR34</f>
        <v>-3.21268866160695E-011</v>
      </c>
      <c r="AS102" s="17" t="n">
        <f aca="false">AS15+BI15+AS34</f>
        <v>656250</v>
      </c>
      <c r="AT102" s="17" t="n">
        <f aca="false">AT15+BJ15+AT34</f>
        <v>700328.125</v>
      </c>
      <c r="AU102" s="17" t="n">
        <f aca="false">AU15+BK15+AU34</f>
        <v>3.21268866160695E-011</v>
      </c>
      <c r="AV102" s="17" t="n">
        <f aca="false">AV15+BL15+AV34</f>
        <v>0</v>
      </c>
      <c r="AW102" s="17" t="n">
        <f aca="false">AW15+BM15+AW34</f>
        <v>0</v>
      </c>
      <c r="AX102" s="17" t="n">
        <f aca="false">AX15+BN15+AX34</f>
        <v>656250</v>
      </c>
      <c r="AZ102" s="40" t="e">
        <v>#NAME?</v>
      </c>
      <c r="BB102" s="41" t="e">
        <v>#NAME?</v>
      </c>
    </row>
    <row r="103" customFormat="false" ht="12" hidden="false" customHeight="false" outlineLevel="0" collapsed="false">
      <c r="AJ103" s="11" t="n">
        <v>11</v>
      </c>
      <c r="AK103" s="17" t="n">
        <f aca="false">AK16+BA16+AK35</f>
        <v>0</v>
      </c>
      <c r="AL103" s="17" t="n">
        <f aca="false">AL16+BB16+AL35</f>
        <v>0</v>
      </c>
      <c r="AM103" s="17" t="n">
        <f aca="false">AM16+BC16+AM35</f>
        <v>0</v>
      </c>
      <c r="AN103" s="17" t="n">
        <f aca="false">AN16+BD16+AN35</f>
        <v>0</v>
      </c>
      <c r="AO103" s="17" t="n">
        <f aca="false">AO16+BE16+AO35</f>
        <v>-777.777777777778</v>
      </c>
      <c r="AP103" s="17" t="n">
        <f aca="false">AP16+BF16+AP35</f>
        <v>-2333333.33333333</v>
      </c>
      <c r="AQ103" s="17" t="n">
        <f aca="false">AQ16+BG16+AQ35</f>
        <v>-3.21268866160695E-011</v>
      </c>
      <c r="AR103" s="17" t="n">
        <f aca="false">AR16+BH16+AR35</f>
        <v>-525000</v>
      </c>
      <c r="AS103" s="17" t="n">
        <f aca="false">AS16+BI16+AS35</f>
        <v>-4.01837230970225E-011</v>
      </c>
      <c r="AT103" s="17" t="n">
        <f aca="false">AT16+BJ16+AT35</f>
        <v>3.21268866160695E-011</v>
      </c>
      <c r="AU103" s="17" t="n">
        <f aca="false">AU16+BK16+AU35</f>
        <v>525777.777777778</v>
      </c>
      <c r="AV103" s="17" t="n">
        <f aca="false">AV16+BL16+AV35</f>
        <v>-2333333.33333333</v>
      </c>
      <c r="AW103" s="17" t="n">
        <f aca="false">AW16+BM16+AW35</f>
        <v>0</v>
      </c>
      <c r="AX103" s="17" t="n">
        <f aca="false">AX16+BN16+AX35</f>
        <v>-4.01837230970225E-011</v>
      </c>
      <c r="AZ103" s="40" t="e">
        <v>#NAME?</v>
      </c>
      <c r="BB103" s="41" t="e">
        <v>#NAME?</v>
      </c>
    </row>
    <row r="104" customFormat="false" ht="12" hidden="false" customHeight="false" outlineLevel="0" collapsed="false">
      <c r="AJ104" s="11" t="n">
        <v>12</v>
      </c>
      <c r="AK104" s="17" t="n">
        <f aca="false">AK17+BA17+AK36</f>
        <v>0</v>
      </c>
      <c r="AL104" s="17" t="n">
        <f aca="false">AL17+BB17+AL36</f>
        <v>0</v>
      </c>
      <c r="AM104" s="17" t="n">
        <f aca="false">AM17+BC17+AM36</f>
        <v>0</v>
      </c>
      <c r="AN104" s="17" t="n">
        <f aca="false">AN17+BD17+AN36</f>
        <v>0</v>
      </c>
      <c r="AO104" s="17" t="n">
        <f aca="false">AO17+BE17+AO36</f>
        <v>2333333.33333333</v>
      </c>
      <c r="AP104" s="17" t="n">
        <f aca="false">AP17+BF17+AP36</f>
        <v>4666666666.66667</v>
      </c>
      <c r="AQ104" s="17" t="n">
        <f aca="false">AQ17+BG17+AQ36</f>
        <v>0</v>
      </c>
      <c r="AR104" s="17" t="n">
        <f aca="false">AR17+BH17+AR36</f>
        <v>0</v>
      </c>
      <c r="AS104" s="17" t="n">
        <f aca="false">AS17+BI17+AS36</f>
        <v>0</v>
      </c>
      <c r="AT104" s="17" t="n">
        <f aca="false">AT17+BJ17+AT36</f>
        <v>0</v>
      </c>
      <c r="AU104" s="17" t="n">
        <f aca="false">AU17+BK17+AU36</f>
        <v>-2333333.33333333</v>
      </c>
      <c r="AV104" s="17" t="n">
        <f aca="false">AV17+BL17+AV36</f>
        <v>9333333333.33333</v>
      </c>
      <c r="AW104" s="17" t="n">
        <f aca="false">AW17+BM17+AW36</f>
        <v>0</v>
      </c>
      <c r="AX104" s="17" t="n">
        <f aca="false">AX17+BN17+AX36</f>
        <v>0</v>
      </c>
      <c r="AZ104" s="40" t="e">
        <v>#NAME?</v>
      </c>
      <c r="BB104" s="41" t="e">
        <v>#NAME?</v>
      </c>
    </row>
    <row r="105" customFormat="false" ht="12" hidden="false" customHeight="false" outlineLevel="0" collapsed="false">
      <c r="AJ105" s="11" t="n">
        <v>13</v>
      </c>
      <c r="AK105" s="17" t="n">
        <f aca="false">AK18+BA18+AK37</f>
        <v>-656250</v>
      </c>
      <c r="AL105" s="17" t="n">
        <f aca="false">AL18+BB18+AL37</f>
        <v>4.01837230970225E-011</v>
      </c>
      <c r="AM105" s="17" t="n">
        <f aca="false">AM18+BC18+AM37</f>
        <v>875000000</v>
      </c>
      <c r="AN105" s="17" t="n">
        <f aca="false">AN18+BD18+AN37</f>
        <v>656250</v>
      </c>
      <c r="AO105" s="17" t="n">
        <f aca="false">AO18+BE18+AO37</f>
        <v>-4.01837230970225E-011</v>
      </c>
      <c r="AP105" s="17" t="n">
        <f aca="false">AP18+BF18+AP37</f>
        <v>0</v>
      </c>
      <c r="AQ105" s="17" t="n">
        <f aca="false">AQ18+BG18+AQ37</f>
        <v>0</v>
      </c>
      <c r="AR105" s="17" t="n">
        <f aca="false">AR18+BH18+AR37</f>
        <v>0</v>
      </c>
      <c r="AS105" s="17" t="n">
        <f aca="false">AS18+BI18+AS37</f>
        <v>0</v>
      </c>
      <c r="AT105" s="17" t="n">
        <f aca="false">AT18+BJ18+AT37</f>
        <v>0</v>
      </c>
      <c r="AU105" s="17" t="n">
        <f aca="false">AU18+BK18+AU37</f>
        <v>0</v>
      </c>
      <c r="AV105" s="17" t="n">
        <f aca="false">AV18+BL18+AV37</f>
        <v>0</v>
      </c>
      <c r="AW105" s="17" t="n">
        <f aca="false">AW18+BM18+AW37</f>
        <v>1750000000</v>
      </c>
      <c r="AX105" s="17" t="n">
        <f aca="false">AX18+BN18+AX37</f>
        <v>0</v>
      </c>
      <c r="AZ105" s="40" t="e">
        <v>#NAME?</v>
      </c>
      <c r="BB105" s="41" t="e">
        <v>#NAME?</v>
      </c>
    </row>
    <row r="106" customFormat="false" ht="12" hidden="false" customHeight="false" outlineLevel="0" collapsed="false">
      <c r="AJ106" s="11" t="n">
        <v>14</v>
      </c>
      <c r="AK106" s="17" t="n">
        <f aca="false">AK19+BA19+AK38</f>
        <v>0</v>
      </c>
      <c r="AL106" s="17" t="n">
        <f aca="false">AL19+BB19+AL38</f>
        <v>0</v>
      </c>
      <c r="AM106" s="17" t="n">
        <f aca="false">AM19+BC19+AM38</f>
        <v>0</v>
      </c>
      <c r="AN106" s="17" t="n">
        <f aca="false">AN19+BD19+AN38</f>
        <v>0</v>
      </c>
      <c r="AO106" s="17" t="n">
        <f aca="false">AO19+BE19+AO38</f>
        <v>0</v>
      </c>
      <c r="AP106" s="17" t="n">
        <f aca="false">AP19+BF19+AP38</f>
        <v>0</v>
      </c>
      <c r="AQ106" s="17" t="n">
        <f aca="false">AQ19+BG19+AQ38</f>
        <v>-656250</v>
      </c>
      <c r="AR106" s="17" t="n">
        <f aca="false">AR19+BH19+AR38</f>
        <v>4.01837230970225E-011</v>
      </c>
      <c r="AS106" s="17" t="n">
        <f aca="false">AS19+BI19+AS38</f>
        <v>875000000</v>
      </c>
      <c r="AT106" s="17" t="n">
        <f aca="false">AT19+BJ19+AT38</f>
        <v>656250</v>
      </c>
      <c r="AU106" s="17" t="n">
        <f aca="false">AU19+BK19+AU38</f>
        <v>-4.01837230970225E-011</v>
      </c>
      <c r="AV106" s="17" t="n">
        <f aca="false">AV19+BL19+AV38</f>
        <v>0</v>
      </c>
      <c r="AW106" s="17" t="n">
        <f aca="false">AW19+BM19+AW38</f>
        <v>0</v>
      </c>
      <c r="AX106" s="17" t="n">
        <f aca="false">AX19+BN19+AX38</f>
        <v>1750000000</v>
      </c>
      <c r="AZ106" s="40" t="e">
        <v>#NAME?</v>
      </c>
      <c r="BB106" s="34" t="e">
        <v>#NAME?</v>
      </c>
    </row>
    <row r="108" customFormat="false" ht="12" hidden="false" customHeight="false" outlineLevel="0" collapsed="false">
      <c r="AZ108" s="132"/>
      <c r="BB108" s="132"/>
      <c r="BE108" s="132"/>
      <c r="BK108" s="100"/>
    </row>
    <row r="109" customFormat="false" ht="12" hidden="false" customHeight="false" outlineLevel="0" collapsed="false">
      <c r="AZ109" s="132"/>
      <c r="BB109" s="132"/>
      <c r="BE109" s="132"/>
      <c r="BK109" s="123"/>
      <c r="BL109" s="123"/>
      <c r="BM109" s="123"/>
      <c r="BN109" s="123"/>
      <c r="BO109" s="123"/>
      <c r="BP109" s="123"/>
    </row>
    <row r="110" customFormat="false" ht="12" hidden="false" customHeight="false" outlineLevel="0" collapsed="false">
      <c r="W110" s="95"/>
      <c r="AZ110" s="132"/>
      <c r="BB110" s="132"/>
      <c r="BE110" s="132"/>
      <c r="BK110" s="123"/>
      <c r="BL110" s="123"/>
      <c r="BM110" s="123"/>
      <c r="BN110" s="123"/>
      <c r="BO110" s="123"/>
      <c r="BP110" s="123"/>
    </row>
    <row r="111" customFormat="false" ht="12" hidden="false" customHeight="false" outlineLevel="0" collapsed="false">
      <c r="X111" s="95"/>
      <c r="AE111" s="95"/>
      <c r="AZ111" s="137"/>
      <c r="BK111" s="123"/>
      <c r="BL111" s="123"/>
      <c r="BM111" s="123"/>
      <c r="BN111" s="123"/>
      <c r="BO111" s="123"/>
      <c r="BP111" s="123"/>
    </row>
    <row r="112" customFormat="false" ht="12" hidden="false" customHeight="false" outlineLevel="0" collapsed="false">
      <c r="Y112" s="95"/>
      <c r="AA112" s="95"/>
      <c r="AF112" s="95"/>
      <c r="BK112" s="123"/>
      <c r="BL112" s="123"/>
      <c r="BM112" s="123"/>
      <c r="BN112" s="123"/>
      <c r="BO112" s="123"/>
      <c r="BP112" s="123"/>
      <c r="BR112" s="128"/>
    </row>
    <row r="113" customFormat="false" ht="12" hidden="false" customHeight="false" outlineLevel="0" collapsed="false">
      <c r="AZ113" s="132"/>
      <c r="BB113" s="132"/>
      <c r="BE113" s="132"/>
      <c r="BK113" s="123"/>
      <c r="BL113" s="123"/>
      <c r="BM113" s="123"/>
      <c r="BN113" s="123"/>
      <c r="BO113" s="123"/>
      <c r="BP113" s="123"/>
      <c r="BR113" s="128"/>
    </row>
    <row r="114" customFormat="false" ht="12" hidden="false" customHeight="false" outlineLevel="0" collapsed="false">
      <c r="Y114" s="95"/>
      <c r="AA114" s="95"/>
      <c r="AF114" s="95"/>
      <c r="BB114" s="132"/>
      <c r="BE114" s="139"/>
      <c r="BK114" s="123"/>
      <c r="BL114" s="123"/>
      <c r="BM114" s="123"/>
      <c r="BN114" s="123"/>
      <c r="BO114" s="123"/>
      <c r="BP114" s="123"/>
      <c r="BR114" s="128"/>
    </row>
    <row r="115" customFormat="false" ht="12" hidden="false" customHeight="false" outlineLevel="0" collapsed="false">
      <c r="BB115" s="132"/>
      <c r="BE115" s="139"/>
    </row>
    <row r="116" customFormat="false" ht="12" hidden="false" customHeight="false" outlineLevel="0" collapsed="false">
      <c r="AZ116" s="132"/>
      <c r="BB116" s="132"/>
      <c r="BE116" s="139"/>
      <c r="BK116" s="100"/>
    </row>
    <row r="117" customFormat="false" ht="12" hidden="false" customHeight="false" outlineLevel="0" collapsed="false">
      <c r="AZ117" s="132"/>
      <c r="BB117" s="95"/>
      <c r="BE117" s="139"/>
      <c r="BK117" s="95"/>
      <c r="BL117" s="95"/>
      <c r="BM117" s="95"/>
      <c r="BN117" s="95"/>
      <c r="BO117" s="95"/>
      <c r="BP117" s="95"/>
      <c r="BT117" s="123"/>
      <c r="BY117" s="130"/>
      <c r="CA117" s="131"/>
    </row>
    <row r="118" customFormat="false" ht="12" hidden="false" customHeight="false" outlineLevel="0" collapsed="false">
      <c r="X118" s="95"/>
      <c r="AE118" s="95"/>
      <c r="AZ118" s="132"/>
      <c r="BB118" s="95"/>
      <c r="BE118" s="139"/>
      <c r="BK118" s="95"/>
      <c r="BL118" s="95"/>
      <c r="BM118" s="95"/>
      <c r="BN118" s="95"/>
      <c r="BO118" s="95"/>
      <c r="BP118" s="95"/>
      <c r="BT118" s="123"/>
      <c r="BY118" s="130"/>
      <c r="CA118" s="131"/>
    </row>
    <row r="119" customFormat="false" ht="12" hidden="false" customHeight="false" outlineLevel="0" collapsed="false">
      <c r="Y119" s="95"/>
      <c r="AA119" s="95"/>
      <c r="AF119" s="95"/>
      <c r="BE119" s="139"/>
      <c r="BK119" s="95"/>
      <c r="BL119" s="95"/>
      <c r="BM119" s="95"/>
      <c r="BN119" s="95"/>
      <c r="BO119" s="95"/>
      <c r="BP119" s="95"/>
      <c r="BT119" s="123"/>
      <c r="BY119" s="130"/>
      <c r="CA119" s="131"/>
    </row>
    <row r="120" customFormat="false" ht="12" hidden="false" customHeight="false" outlineLevel="0" collapsed="false">
      <c r="BE120" s="139"/>
      <c r="BK120" s="95"/>
      <c r="BL120" s="95"/>
      <c r="BM120" s="95"/>
      <c r="BN120" s="95"/>
      <c r="BO120" s="95"/>
      <c r="BP120" s="95"/>
      <c r="BT120" s="123"/>
      <c r="BY120" s="130"/>
      <c r="CA120" s="131"/>
    </row>
    <row r="121" customFormat="false" ht="12" hidden="false" customHeight="false" outlineLevel="0" collapsed="false">
      <c r="Y121" s="95"/>
      <c r="AA121" s="95"/>
      <c r="AF121" s="95"/>
      <c r="BK121" s="95"/>
      <c r="BL121" s="95"/>
      <c r="BM121" s="95"/>
      <c r="BN121" s="95"/>
      <c r="BO121" s="95"/>
      <c r="BP121" s="95"/>
      <c r="BT121" s="123"/>
      <c r="BY121" s="130"/>
      <c r="CA121" s="131"/>
    </row>
    <row r="122" customFormat="false" ht="12" hidden="false" customHeight="false" outlineLevel="0" collapsed="false">
      <c r="BK122" s="95"/>
      <c r="BL122" s="95"/>
      <c r="BM122" s="95"/>
      <c r="BN122" s="95"/>
      <c r="BO122" s="95"/>
      <c r="BP122" s="95"/>
      <c r="BT122" s="123"/>
      <c r="BY122" s="130"/>
      <c r="CA122" s="131"/>
    </row>
    <row r="124" customFormat="false" ht="12" hidden="false" customHeight="false" outlineLevel="0" collapsed="false">
      <c r="B124" s="100"/>
      <c r="AF124" s="100"/>
    </row>
    <row r="125" customFormat="false" ht="12" hidden="false" customHeight="false" outlineLevel="0" collapsed="false">
      <c r="E125" s="134"/>
      <c r="F125" s="135"/>
    </row>
    <row r="126" customFormat="false" ht="12" hidden="false" customHeight="false" outlineLevel="0" collapsed="false">
      <c r="E126" s="134"/>
      <c r="F126" s="135"/>
    </row>
    <row r="127" customFormat="false" ht="12" hidden="false" customHeight="false" outlineLevel="0" collapsed="false">
      <c r="E127" s="134"/>
      <c r="F127" s="135"/>
      <c r="AW127" s="95"/>
      <c r="AX127" s="95"/>
      <c r="AZ127" s="132"/>
      <c r="BB127" s="132"/>
      <c r="BE127" s="139"/>
    </row>
    <row r="128" customFormat="false" ht="12" hidden="false" customHeight="false" outlineLevel="0" collapsed="false">
      <c r="AW128" s="95"/>
      <c r="AX128" s="95"/>
      <c r="AZ128" s="132"/>
      <c r="BB128" s="132"/>
      <c r="BE128" s="139"/>
    </row>
    <row r="129" customFormat="false" ht="12" hidden="false" customHeight="false" outlineLevel="0" collapsed="false">
      <c r="AW129" s="95"/>
      <c r="AX129" s="95"/>
      <c r="AZ129" s="132"/>
      <c r="BB129" s="132"/>
      <c r="BE129" s="139"/>
    </row>
    <row r="130" customFormat="false" ht="12" hidden="false" customHeight="false" outlineLevel="0" collapsed="false">
      <c r="AW130" s="95"/>
      <c r="AX130" s="140"/>
      <c r="AZ130" s="137"/>
      <c r="BB130" s="95"/>
      <c r="BE130" s="139"/>
    </row>
    <row r="131" customFormat="false" ht="12" hidden="false" customHeight="false" outlineLevel="0" collapsed="false">
      <c r="AW131" s="95"/>
      <c r="AX131" s="140"/>
      <c r="AZ131" s="137"/>
      <c r="BB131" s="95"/>
      <c r="BE131" s="139"/>
    </row>
    <row r="132" customFormat="false" ht="12" hidden="false" customHeight="false" outlineLevel="0" collapsed="false">
      <c r="AW132" s="95"/>
      <c r="AX132" s="95"/>
      <c r="AZ132" s="137"/>
      <c r="BB132" s="132"/>
      <c r="BE132" s="139"/>
    </row>
    <row r="133" customFormat="false" ht="12" hidden="false" customHeight="false" outlineLevel="0" collapsed="false">
      <c r="AW133" s="95"/>
      <c r="AX133" s="140"/>
      <c r="AZ133" s="137"/>
      <c r="BB133" s="132"/>
      <c r="BC133" s="138"/>
      <c r="BD133" s="138"/>
      <c r="BE133" s="139"/>
    </row>
    <row r="134" customFormat="false" ht="12" hidden="false" customHeight="false" outlineLevel="0" collapsed="false">
      <c r="AW134" s="140"/>
      <c r="AX134" s="95"/>
      <c r="AZ134" s="137"/>
      <c r="BB134" s="132"/>
      <c r="BE134" s="139"/>
    </row>
    <row r="135" customFormat="false" ht="12" hidden="false" customHeight="false" outlineLevel="0" collapsed="false">
      <c r="AW135" s="140"/>
      <c r="AX135" s="95"/>
      <c r="AY135" s="95"/>
      <c r="AZ135" s="137"/>
      <c r="BB135" s="132"/>
      <c r="BE135" s="139"/>
    </row>
    <row r="136" customFormat="false" ht="12" hidden="false" customHeight="false" outlineLevel="0" collapsed="false">
      <c r="AW136" s="140"/>
      <c r="AX136" s="95"/>
      <c r="AZ136" s="137"/>
      <c r="BB136" s="132"/>
      <c r="BE136" s="139"/>
    </row>
    <row r="137" customFormat="false" ht="12" hidden="false" customHeight="false" outlineLevel="0" collapsed="false">
      <c r="AW137" s="140"/>
      <c r="AX137" s="140"/>
      <c r="AZ137" s="137"/>
      <c r="BB137" s="95"/>
      <c r="BE137" s="139"/>
    </row>
    <row r="138" customFormat="false" ht="12" hidden="false" customHeight="false" outlineLevel="0" collapsed="false">
      <c r="AW138" s="140"/>
      <c r="AX138" s="140"/>
      <c r="AZ138" s="137"/>
      <c r="BB138" s="95"/>
      <c r="BE138" s="139"/>
    </row>
    <row r="139" customFormat="false" ht="12" hidden="false" customHeight="false" outlineLevel="0" collapsed="false">
      <c r="AK139" s="95"/>
      <c r="AL139" s="95"/>
      <c r="AM139" s="95"/>
      <c r="AN139" s="95"/>
      <c r="AO139" s="95"/>
      <c r="AP139" s="95"/>
      <c r="AQ139" s="95"/>
      <c r="AR139" s="140"/>
      <c r="AS139" s="140"/>
      <c r="AT139" s="140"/>
      <c r="AU139" s="140"/>
      <c r="AV139" s="140"/>
      <c r="AW139" s="140"/>
      <c r="AX139" s="95"/>
      <c r="AZ139" s="137"/>
      <c r="BB139" s="132"/>
      <c r="BE139" s="139"/>
    </row>
    <row r="140" customFormat="false" ht="12" hidden="false" customHeight="false" outlineLevel="0" collapsed="false">
      <c r="AK140" s="95"/>
      <c r="AL140" s="95"/>
      <c r="AM140" s="95"/>
      <c r="AN140" s="140"/>
      <c r="AO140" s="140"/>
      <c r="AP140" s="95"/>
      <c r="AQ140" s="140"/>
      <c r="AR140" s="105"/>
      <c r="AS140" s="105"/>
      <c r="AT140" s="105"/>
      <c r="AU140" s="140"/>
      <c r="AV140" s="140"/>
      <c r="AW140" s="95"/>
      <c r="AX140" s="140"/>
      <c r="AZ140" s="137"/>
      <c r="BB140" s="132"/>
      <c r="BE140" s="139"/>
    </row>
    <row r="141" customFormat="false" ht="12" hidden="false" customHeight="false" outlineLevel="0" collapsed="false">
      <c r="AK141" s="141"/>
      <c r="AL141" s="141"/>
      <c r="AM141" s="141"/>
    </row>
    <row r="143" customFormat="false" ht="12" hidden="false" customHeight="false" outlineLevel="0" collapsed="false">
      <c r="BX143" s="142"/>
    </row>
    <row r="144" customFormat="false" ht="12" hidden="false" customHeight="false" outlineLevel="0" collapsed="false">
      <c r="BX144" s="142"/>
    </row>
    <row r="145" customFormat="false" ht="12" hidden="false" customHeight="false" outlineLevel="0" collapsed="false">
      <c r="BX145" s="142"/>
    </row>
    <row r="147" customFormat="false" ht="12" hidden="false" customHeight="false" outlineLevel="0" collapsed="false">
      <c r="BX147" s="142"/>
      <c r="CL147" s="123"/>
    </row>
    <row r="148" customFormat="false" ht="12" hidden="false" customHeight="false" outlineLevel="0" collapsed="false">
      <c r="BX148" s="142"/>
    </row>
    <row r="149" customFormat="false" ht="12" hidden="false" customHeight="false" outlineLevel="0" collapsed="false">
      <c r="BX149" s="142"/>
    </row>
    <row r="150" customFormat="false" ht="12" hidden="false" customHeight="false" outlineLevel="0" collapsed="false">
      <c r="BT150" s="100"/>
    </row>
    <row r="151" customFormat="false" ht="12" hidden="false" customHeight="false" outlineLevel="0" collapsed="false">
      <c r="BT151" s="123"/>
    </row>
    <row r="152" customFormat="false" ht="12" hidden="false" customHeight="false" outlineLevel="0" collapsed="false">
      <c r="BU152" s="123"/>
    </row>
    <row r="154" customFormat="false" ht="12" hidden="false" customHeight="false" outlineLevel="0" collapsed="false">
      <c r="BW154" s="123"/>
      <c r="BX154" s="123"/>
      <c r="CB154" s="95"/>
      <c r="CF154" s="95"/>
    </row>
    <row r="155" customFormat="false" ht="12" hidden="false" customHeight="false" outlineLevel="0" collapsed="false">
      <c r="AM155" s="100"/>
      <c r="BY155" s="123"/>
      <c r="CB155" s="95"/>
      <c r="CF155" s="95"/>
    </row>
    <row r="156" customFormat="false" ht="12" hidden="false" customHeight="false" outlineLevel="0" collapsed="false">
      <c r="CB156" s="95"/>
      <c r="CF156" s="95"/>
    </row>
    <row r="157" customFormat="false" ht="12" hidden="false" customHeight="false" outlineLevel="0" collapsed="false">
      <c r="AN157" s="95"/>
      <c r="AO157" s="95"/>
      <c r="AP157" s="95"/>
      <c r="AQ157" s="95"/>
      <c r="AR157" s="95"/>
      <c r="AS157" s="95"/>
      <c r="AT157" s="95"/>
      <c r="AU157" s="95"/>
      <c r="AW157" s="132"/>
      <c r="AY157" s="95"/>
      <c r="BQ157" s="138"/>
    </row>
    <row r="158" customFormat="false" ht="12" hidden="false" customHeight="false" outlineLevel="0" collapsed="false">
      <c r="AN158" s="95"/>
      <c r="AO158" s="95"/>
      <c r="AP158" s="95"/>
      <c r="AQ158" s="95"/>
      <c r="AR158" s="95"/>
      <c r="AS158" s="95"/>
      <c r="AT158" s="95"/>
      <c r="AU158" s="95"/>
      <c r="AW158" s="132"/>
      <c r="AY158" s="95"/>
      <c r="BL158" s="123"/>
      <c r="BN158" s="132"/>
      <c r="BP158" s="134"/>
      <c r="BR158" s="140"/>
      <c r="BT158" s="100"/>
    </row>
    <row r="159" customFormat="false" ht="12" hidden="false" customHeight="false" outlineLevel="0" collapsed="false">
      <c r="AN159" s="95"/>
      <c r="AO159" s="95"/>
      <c r="AP159" s="95"/>
      <c r="AQ159" s="95"/>
      <c r="AR159" s="95"/>
      <c r="AS159" s="95"/>
      <c r="AT159" s="95"/>
      <c r="AU159" s="95"/>
      <c r="AW159" s="132"/>
      <c r="AY159" s="95"/>
      <c r="BL159" s="123"/>
      <c r="BN159" s="132"/>
      <c r="BP159" s="134"/>
      <c r="BR159" s="143"/>
      <c r="BT159" s="95"/>
      <c r="BV159" s="123"/>
      <c r="BW159" s="95"/>
      <c r="BX159" s="95"/>
      <c r="BZ159" s="123"/>
      <c r="CH159" s="144"/>
    </row>
    <row r="160" customFormat="false" ht="12" hidden="false" customHeight="false" outlineLevel="0" collapsed="false">
      <c r="AN160" s="95"/>
      <c r="AO160" s="95"/>
      <c r="AP160" s="95"/>
      <c r="AQ160" s="95"/>
      <c r="AR160" s="95"/>
      <c r="AS160" s="95"/>
      <c r="AT160" s="95"/>
      <c r="AU160" s="95"/>
      <c r="AW160" s="132"/>
      <c r="AY160" s="95"/>
      <c r="BL160" s="123"/>
      <c r="BN160" s="132"/>
      <c r="BP160" s="134"/>
      <c r="BR160" s="140"/>
      <c r="BU160" s="95"/>
      <c r="BV160" s="95"/>
      <c r="BY160" s="95"/>
      <c r="BZ160" s="95"/>
      <c r="CD160" s="95"/>
      <c r="CH160" s="144"/>
    </row>
    <row r="161" customFormat="false" ht="12" hidden="false" customHeight="false" outlineLevel="0" collapsed="false">
      <c r="AN161" s="95"/>
      <c r="AO161" s="95"/>
      <c r="AP161" s="95"/>
      <c r="AQ161" s="95"/>
      <c r="AR161" s="95"/>
      <c r="AS161" s="95"/>
      <c r="AT161" s="95"/>
      <c r="AU161" s="95"/>
      <c r="AW161" s="132"/>
      <c r="AY161" s="95"/>
      <c r="BL161" s="123"/>
      <c r="BN161" s="132"/>
      <c r="BP161" s="95"/>
      <c r="BR161" s="140"/>
      <c r="BT161" s="123"/>
      <c r="BU161" s="95"/>
      <c r="BV161" s="95"/>
      <c r="BW161" s="95"/>
      <c r="BX161" s="95"/>
      <c r="BY161" s="95"/>
      <c r="BZ161" s="95"/>
      <c r="CD161" s="95"/>
      <c r="CH161" s="144"/>
    </row>
    <row r="162" customFormat="false" ht="12" hidden="false" customHeight="false" outlineLevel="0" collapsed="false">
      <c r="AN162" s="95"/>
      <c r="AO162" s="95"/>
      <c r="AP162" s="95"/>
      <c r="AQ162" s="95"/>
      <c r="AR162" s="95"/>
      <c r="AS162" s="95"/>
      <c r="AT162" s="95"/>
      <c r="AU162" s="95"/>
      <c r="AW162" s="132"/>
      <c r="AY162" s="95"/>
      <c r="BL162" s="123"/>
      <c r="BN162" s="132"/>
      <c r="BP162" s="95"/>
      <c r="BR162" s="143"/>
      <c r="BT162" s="95"/>
      <c r="BV162" s="123"/>
      <c r="BW162" s="141"/>
      <c r="BX162" s="141"/>
      <c r="BZ162" s="123"/>
      <c r="CB162" s="95"/>
      <c r="CH162" s="144"/>
    </row>
    <row r="163" customFormat="false" ht="12" hidden="false" customHeight="false" outlineLevel="0" collapsed="false">
      <c r="AN163" s="95"/>
      <c r="AO163" s="95"/>
      <c r="AP163" s="95"/>
      <c r="AQ163" s="95"/>
      <c r="AR163" s="95"/>
      <c r="AS163" s="95"/>
      <c r="AT163" s="95"/>
      <c r="AU163" s="95"/>
      <c r="AW163" s="132"/>
      <c r="AY163" s="95"/>
      <c r="BD163" s="145"/>
      <c r="BL163" s="123"/>
      <c r="BN163" s="132"/>
      <c r="BO163" s="141"/>
      <c r="BR163" s="140"/>
      <c r="BU163" s="95"/>
      <c r="BV163" s="95"/>
      <c r="BY163" s="95"/>
      <c r="BZ163" s="95"/>
      <c r="CB163" s="95"/>
      <c r="CD163" s="95"/>
      <c r="CH163" s="144"/>
    </row>
    <row r="164" customFormat="false" ht="12" hidden="false" customHeight="false" outlineLevel="0" collapsed="false">
      <c r="AN164" s="95"/>
      <c r="AO164" s="95"/>
      <c r="AP164" s="95"/>
      <c r="AQ164" s="95"/>
      <c r="AR164" s="95"/>
      <c r="AS164" s="95"/>
      <c r="AT164" s="95"/>
      <c r="AU164" s="95"/>
      <c r="AW164" s="132"/>
      <c r="AY164" s="95"/>
      <c r="BD164" s="145"/>
      <c r="BL164" s="123"/>
      <c r="BT164" s="123"/>
      <c r="BU164" s="95"/>
      <c r="BV164" s="95"/>
      <c r="BW164" s="123"/>
      <c r="BX164" s="123"/>
      <c r="BY164" s="95"/>
      <c r="BZ164" s="95"/>
      <c r="CB164" s="95"/>
      <c r="CD164" s="95"/>
      <c r="CH164" s="146"/>
    </row>
    <row r="165" customFormat="false" ht="12" hidden="false" customHeight="false" outlineLevel="0" collapsed="false">
      <c r="BD165" s="145"/>
      <c r="BR165" s="141"/>
    </row>
    <row r="166" customFormat="false" ht="12" hidden="false" customHeight="false" outlineLevel="0" collapsed="false">
      <c r="AS166" s="123"/>
      <c r="BD166" s="145"/>
      <c r="BK166" s="100"/>
      <c r="BP166" s="141"/>
    </row>
    <row r="167" customFormat="false" ht="12" hidden="false" customHeight="false" outlineLevel="0" collapsed="false">
      <c r="BD167" s="145"/>
      <c r="BW167" s="142"/>
      <c r="BX167" s="142"/>
      <c r="CC167" s="123"/>
    </row>
    <row r="168" customFormat="false" ht="12" hidden="false" customHeight="false" outlineLevel="0" collapsed="false">
      <c r="AM168" s="100"/>
      <c r="AZ168" s="137"/>
      <c r="BA168" s="137"/>
      <c r="BB168" s="137"/>
      <c r="BC168" s="137"/>
      <c r="BD168" s="145"/>
      <c r="BK168" s="142"/>
      <c r="BL168" s="142"/>
      <c r="BN168" s="141"/>
      <c r="BT168" s="100"/>
      <c r="CA168" s="142"/>
      <c r="CB168" s="142"/>
      <c r="CC168" s="141"/>
    </row>
    <row r="169" customFormat="false" ht="12" hidden="false" customHeight="false" outlineLevel="0" collapsed="false">
      <c r="AZ169" s="137"/>
      <c r="BA169" s="137"/>
      <c r="BB169" s="137"/>
      <c r="BC169" s="137"/>
      <c r="BD169" s="137"/>
      <c r="BE169" s="137"/>
    </row>
    <row r="170" customFormat="false" ht="12" hidden="false" customHeight="false" outlineLevel="0" collapsed="false">
      <c r="AN170" s="95"/>
      <c r="AO170" s="95"/>
      <c r="AP170" s="95"/>
      <c r="AQ170" s="95"/>
      <c r="AR170" s="95"/>
      <c r="AS170" s="95"/>
      <c r="AT170" s="95"/>
      <c r="AU170" s="95"/>
      <c r="AW170" s="95"/>
      <c r="AY170" s="132"/>
      <c r="AZ170" s="137"/>
      <c r="BA170" s="147"/>
      <c r="BB170" s="137"/>
      <c r="BC170" s="137"/>
      <c r="BD170" s="145"/>
      <c r="BE170" s="137"/>
      <c r="BQ170" s="142"/>
    </row>
    <row r="171" customFormat="false" ht="12" hidden="false" customHeight="false" outlineLevel="0" collapsed="false">
      <c r="AN171" s="95"/>
      <c r="AO171" s="95"/>
      <c r="AP171" s="95"/>
      <c r="AQ171" s="95"/>
      <c r="AR171" s="95"/>
      <c r="AS171" s="95"/>
      <c r="AT171" s="95"/>
      <c r="AU171" s="95"/>
      <c r="AW171" s="95"/>
      <c r="AY171" s="132"/>
      <c r="AZ171" s="137"/>
      <c r="BA171" s="147"/>
      <c r="BB171" s="137"/>
      <c r="BC171" s="137"/>
      <c r="BD171" s="145"/>
      <c r="BE171" s="137"/>
      <c r="BK171" s="100"/>
      <c r="BT171" s="100"/>
      <c r="BY171" s="100"/>
    </row>
    <row r="172" customFormat="false" ht="12" hidden="false" customHeight="false" outlineLevel="0" collapsed="false">
      <c r="AN172" s="95"/>
      <c r="AO172" s="95"/>
      <c r="AP172" s="95"/>
      <c r="AQ172" s="95"/>
      <c r="AR172" s="95"/>
      <c r="AS172" s="95"/>
      <c r="AT172" s="95"/>
      <c r="AU172" s="95"/>
      <c r="AW172" s="95"/>
      <c r="AY172" s="132"/>
      <c r="AZ172" s="137"/>
      <c r="BA172" s="147"/>
      <c r="BB172" s="148"/>
      <c r="BC172" s="137"/>
      <c r="BD172" s="149"/>
      <c r="BE172" s="137"/>
      <c r="BP172" s="150"/>
      <c r="BQ172" s="151"/>
      <c r="BR172" s="152"/>
      <c r="BT172" s="132"/>
      <c r="BU172" s="153"/>
      <c r="BV172" s="100"/>
      <c r="BY172" s="132"/>
      <c r="BZ172" s="151"/>
      <c r="CA172" s="100"/>
    </row>
    <row r="173" customFormat="false" ht="12" hidden="false" customHeight="false" outlineLevel="0" collapsed="false">
      <c r="AN173" s="95"/>
      <c r="AO173" s="95"/>
      <c r="AP173" s="95"/>
      <c r="AQ173" s="95"/>
      <c r="AR173" s="95"/>
      <c r="AS173" s="95"/>
      <c r="AT173" s="95"/>
      <c r="AU173" s="95"/>
      <c r="AW173" s="95"/>
      <c r="AY173" s="132"/>
      <c r="BA173" s="147"/>
      <c r="BB173" s="148"/>
      <c r="BC173" s="137"/>
      <c r="BD173" s="145"/>
      <c r="BE173" s="137"/>
      <c r="BP173" s="150"/>
      <c r="BQ173" s="151"/>
      <c r="BR173" s="152"/>
      <c r="BT173" s="132"/>
      <c r="BU173" s="153"/>
      <c r="BV173" s="100"/>
      <c r="BY173" s="132"/>
      <c r="BZ173" s="151"/>
      <c r="CA173" s="100"/>
    </row>
    <row r="174" customFormat="false" ht="12" hidden="false" customHeight="false" outlineLevel="0" collapsed="false">
      <c r="AN174" s="95"/>
      <c r="AO174" s="95"/>
      <c r="AP174" s="95"/>
      <c r="AQ174" s="95"/>
      <c r="AR174" s="95"/>
      <c r="AS174" s="95"/>
      <c r="AT174" s="95"/>
      <c r="AU174" s="95"/>
      <c r="AW174" s="95"/>
      <c r="AY174" s="132"/>
      <c r="AZ174" s="137"/>
      <c r="BA174" s="147"/>
      <c r="BB174" s="137"/>
      <c r="BC174" s="137"/>
      <c r="BD174" s="145"/>
      <c r="BE174" s="137"/>
      <c r="BP174" s="150"/>
      <c r="BQ174" s="151"/>
      <c r="BR174" s="152"/>
      <c r="BT174" s="132"/>
      <c r="BU174" s="153"/>
      <c r="BV174" s="100"/>
      <c r="BW174" s="134"/>
      <c r="BX174" s="134"/>
      <c r="BY174" s="132"/>
      <c r="BZ174" s="151"/>
      <c r="CA174" s="100"/>
    </row>
    <row r="175" customFormat="false" ht="12" hidden="false" customHeight="false" outlineLevel="0" collapsed="false">
      <c r="AN175" s="95"/>
      <c r="AO175" s="95"/>
      <c r="AP175" s="95"/>
      <c r="AQ175" s="95"/>
      <c r="AR175" s="95"/>
      <c r="AS175" s="95"/>
      <c r="AT175" s="95"/>
      <c r="AU175" s="95"/>
      <c r="AW175" s="95"/>
      <c r="AY175" s="132"/>
      <c r="AZ175" s="137"/>
      <c r="BA175" s="147"/>
      <c r="BB175" s="137"/>
      <c r="BC175" s="137"/>
      <c r="BD175" s="145"/>
      <c r="BE175" s="137"/>
      <c r="BL175" s="154"/>
      <c r="BM175" s="155"/>
      <c r="BN175" s="155"/>
      <c r="BP175" s="150"/>
      <c r="BQ175" s="151"/>
      <c r="BT175" s="132"/>
      <c r="BU175" s="153"/>
      <c r="BV175" s="100"/>
      <c r="BW175" s="134"/>
      <c r="BX175" s="134"/>
      <c r="BY175" s="132"/>
      <c r="BZ175" s="151"/>
      <c r="CA175" s="100"/>
    </row>
    <row r="176" customFormat="false" ht="12" hidden="false" customHeight="false" outlineLevel="0" collapsed="false">
      <c r="AN176" s="95"/>
      <c r="AO176" s="95"/>
      <c r="AP176" s="95"/>
      <c r="AQ176" s="95"/>
      <c r="AR176" s="95"/>
      <c r="AS176" s="95"/>
      <c r="AT176" s="95"/>
      <c r="AU176" s="95"/>
      <c r="AW176" s="95"/>
      <c r="AY176" s="132"/>
      <c r="AZ176" s="137"/>
      <c r="BA176" s="147"/>
      <c r="BB176" s="148"/>
      <c r="BC176" s="137"/>
      <c r="BD176" s="145"/>
      <c r="BE176" s="137"/>
      <c r="BP176" s="150"/>
      <c r="BQ176" s="145"/>
      <c r="BT176" s="132"/>
      <c r="BU176" s="153"/>
      <c r="BV176" s="100"/>
      <c r="BY176" s="132"/>
      <c r="BZ176" s="151"/>
      <c r="CA176" s="100"/>
    </row>
    <row r="177" customFormat="false" ht="12" hidden="false" customHeight="false" outlineLevel="0" collapsed="false">
      <c r="AN177" s="95"/>
      <c r="AO177" s="95"/>
      <c r="AP177" s="95"/>
      <c r="AQ177" s="95"/>
      <c r="AR177" s="95"/>
      <c r="AS177" s="95"/>
      <c r="AT177" s="95"/>
      <c r="AU177" s="95"/>
      <c r="AW177" s="95"/>
      <c r="AY177" s="132"/>
      <c r="AZ177" s="137"/>
      <c r="BA177" s="147"/>
      <c r="BB177" s="148"/>
      <c r="BC177" s="137"/>
      <c r="BD177" s="145"/>
      <c r="BE177" s="137"/>
      <c r="BP177" s="150"/>
      <c r="BQ177" s="145"/>
      <c r="BT177" s="132"/>
      <c r="BU177" s="153"/>
      <c r="BV177" s="100"/>
      <c r="BY177" s="132"/>
      <c r="BZ177" s="151"/>
      <c r="CA177" s="100"/>
      <c r="CF177" s="100"/>
    </row>
    <row r="178" customFormat="false" ht="12" hidden="false" customHeight="false" outlineLevel="0" collapsed="false">
      <c r="BB178" s="137"/>
      <c r="BC178" s="137"/>
      <c r="BD178" s="137"/>
      <c r="BE178" s="137"/>
      <c r="BW178" s="134"/>
      <c r="BX178" s="134"/>
      <c r="BY178" s="132"/>
      <c r="BZ178" s="151"/>
      <c r="CA178" s="100"/>
    </row>
    <row r="179" customFormat="false" ht="12" hidden="false" customHeight="false" outlineLevel="0" collapsed="false">
      <c r="AZ179" s="137"/>
      <c r="BA179" s="137"/>
      <c r="BB179" s="105"/>
      <c r="BC179" s="137"/>
      <c r="BD179" s="137"/>
      <c r="BE179" s="137"/>
      <c r="BF179" s="137"/>
      <c r="BW179" s="134"/>
      <c r="BX179" s="134"/>
      <c r="BY179" s="132"/>
      <c r="BZ179" s="151"/>
      <c r="CA179" s="100"/>
    </row>
    <row r="180" customFormat="false" ht="12" hidden="false" customHeight="false" outlineLevel="0" collapsed="false">
      <c r="AZ180" s="137"/>
      <c r="BA180" s="137"/>
      <c r="BB180" s="137"/>
      <c r="BC180" s="137"/>
      <c r="BD180" s="137"/>
      <c r="BE180" s="137"/>
      <c r="BF180" s="137"/>
    </row>
    <row r="181" customFormat="false" ht="12" hidden="false" customHeight="false" outlineLevel="0" collapsed="false">
      <c r="AM181" s="100"/>
      <c r="AZ181" s="137"/>
      <c r="BA181" s="137"/>
      <c r="BB181" s="137"/>
      <c r="BC181" s="137"/>
      <c r="BD181" s="137"/>
      <c r="BE181" s="137"/>
      <c r="BF181" s="137"/>
    </row>
    <row r="182" customFormat="false" ht="12" hidden="false" customHeight="false" outlineLevel="0" collapsed="false">
      <c r="AW182" s="95"/>
      <c r="AZ182" s="137"/>
      <c r="BA182" s="137"/>
      <c r="BB182" s="137"/>
      <c r="BC182" s="137"/>
      <c r="BD182" s="137"/>
      <c r="BE182" s="137"/>
      <c r="BF182" s="137"/>
      <c r="BK182" s="100"/>
      <c r="BP182" s="100"/>
      <c r="BT182" s="100"/>
      <c r="BY182" s="100"/>
      <c r="CD182" s="100"/>
      <c r="CI182" s="100"/>
      <c r="CM182" s="100"/>
    </row>
    <row r="183" customFormat="false" ht="12" hidden="false" customHeight="false" outlineLevel="0" collapsed="false">
      <c r="AN183" s="95"/>
      <c r="AO183" s="95"/>
      <c r="AP183" s="95"/>
      <c r="AQ183" s="95"/>
      <c r="AR183" s="123"/>
      <c r="AS183" s="123"/>
      <c r="AT183" s="123"/>
      <c r="AU183" s="123"/>
      <c r="AW183" s="95"/>
      <c r="AY183" s="95"/>
      <c r="AZ183" s="137"/>
      <c r="BA183" s="134"/>
      <c r="BB183" s="137"/>
      <c r="BC183" s="146"/>
      <c r="BD183" s="146"/>
      <c r="BE183" s="137"/>
      <c r="BF183" s="131"/>
      <c r="BK183" s="134"/>
      <c r="BL183" s="145"/>
      <c r="BM183" s="100"/>
      <c r="BQ183" s="145"/>
      <c r="BR183" s="100"/>
      <c r="BU183" s="145"/>
      <c r="BV183" s="100"/>
      <c r="BZ183" s="145"/>
      <c r="CA183" s="100"/>
      <c r="CE183" s="145"/>
      <c r="CF183" s="100"/>
      <c r="CJ183" s="145"/>
      <c r="CK183" s="100"/>
      <c r="CN183" s="145"/>
      <c r="CO183" s="100"/>
    </row>
    <row r="184" customFormat="false" ht="12" hidden="false" customHeight="false" outlineLevel="0" collapsed="false">
      <c r="AN184" s="95"/>
      <c r="AO184" s="95"/>
      <c r="AP184" s="95"/>
      <c r="AQ184" s="95"/>
      <c r="AR184" s="123"/>
      <c r="AS184" s="123"/>
      <c r="AT184" s="123"/>
      <c r="AU184" s="123"/>
      <c r="AW184" s="95"/>
      <c r="AY184" s="95"/>
      <c r="AZ184" s="137"/>
      <c r="BA184" s="134"/>
      <c r="BB184" s="137"/>
      <c r="BC184" s="146"/>
      <c r="BD184" s="146"/>
      <c r="BE184" s="137"/>
      <c r="BF184" s="131"/>
      <c r="BK184" s="134"/>
      <c r="BL184" s="145"/>
      <c r="BM184" s="100"/>
      <c r="BQ184" s="145"/>
      <c r="BR184" s="100"/>
      <c r="BU184" s="145"/>
      <c r="BV184" s="100"/>
      <c r="BZ184" s="145"/>
      <c r="CA184" s="100"/>
      <c r="CE184" s="145"/>
      <c r="CF184" s="100"/>
      <c r="CJ184" s="145"/>
      <c r="CK184" s="100"/>
      <c r="CN184" s="145"/>
      <c r="CO184" s="100"/>
    </row>
    <row r="185" customFormat="false" ht="12" hidden="false" customHeight="false" outlineLevel="0" collapsed="false">
      <c r="AN185" s="95"/>
      <c r="AO185" s="95"/>
      <c r="AP185" s="95"/>
      <c r="AQ185" s="95"/>
      <c r="AR185" s="123"/>
      <c r="AS185" s="123"/>
      <c r="AT185" s="123"/>
      <c r="AU185" s="123"/>
      <c r="AW185" s="95"/>
      <c r="AY185" s="95"/>
      <c r="AZ185" s="137"/>
      <c r="BA185" s="134"/>
      <c r="BB185" s="137"/>
      <c r="BC185" s="146"/>
      <c r="BD185" s="146"/>
      <c r="BE185" s="137"/>
      <c r="BF185" s="131"/>
      <c r="BK185" s="134"/>
      <c r="BL185" s="145"/>
      <c r="BM185" s="100"/>
      <c r="BQ185" s="145"/>
      <c r="BR185" s="100"/>
      <c r="BU185" s="145"/>
      <c r="BV185" s="100"/>
      <c r="BZ185" s="145"/>
      <c r="CA185" s="100"/>
      <c r="CE185" s="145"/>
      <c r="CF185" s="100"/>
      <c r="CJ185" s="145"/>
      <c r="CK185" s="100"/>
      <c r="CN185" s="145"/>
      <c r="CO185" s="100"/>
    </row>
    <row r="186" customFormat="false" ht="12" hidden="false" customHeight="false" outlineLevel="0" collapsed="false">
      <c r="AR186" s="95"/>
      <c r="AS186" s="95"/>
      <c r="AT186" s="95"/>
      <c r="AU186" s="95"/>
      <c r="AW186" s="95"/>
      <c r="AY186" s="95"/>
      <c r="AZ186" s="137"/>
      <c r="BA186" s="134"/>
      <c r="BB186" s="137"/>
      <c r="BC186" s="146"/>
      <c r="BD186" s="146"/>
      <c r="BE186" s="137"/>
      <c r="BF186" s="131"/>
      <c r="BK186" s="134"/>
      <c r="BL186" s="145"/>
      <c r="BM186" s="100"/>
      <c r="BQ186" s="145"/>
      <c r="BR186" s="100"/>
      <c r="BU186" s="145"/>
      <c r="BV186" s="100"/>
      <c r="BZ186" s="145"/>
      <c r="CA186" s="100"/>
      <c r="CE186" s="145"/>
      <c r="CF186" s="100"/>
      <c r="CJ186" s="145"/>
      <c r="CK186" s="100"/>
      <c r="CN186" s="145"/>
      <c r="CO186" s="100"/>
    </row>
    <row r="187" customFormat="false" ht="12" hidden="false" customHeight="false" outlineLevel="0" collapsed="false">
      <c r="AR187" s="95"/>
      <c r="AS187" s="95"/>
      <c r="AT187" s="95"/>
      <c r="AU187" s="95"/>
      <c r="AW187" s="95"/>
      <c r="AY187" s="95"/>
      <c r="AZ187" s="137"/>
      <c r="BA187" s="134"/>
      <c r="BB187" s="137"/>
      <c r="BC187" s="146"/>
      <c r="BD187" s="146"/>
      <c r="BE187" s="137"/>
      <c r="BF187" s="131"/>
      <c r="BK187" s="134"/>
      <c r="BL187" s="145"/>
      <c r="BM187" s="100"/>
      <c r="BQ187" s="145"/>
      <c r="BR187" s="100"/>
      <c r="BU187" s="145"/>
      <c r="BV187" s="100"/>
      <c r="BZ187" s="145"/>
      <c r="CA187" s="100"/>
      <c r="CE187" s="145"/>
      <c r="CF187" s="100"/>
      <c r="CJ187" s="145"/>
      <c r="CK187" s="100"/>
      <c r="CN187" s="145"/>
      <c r="CO187" s="100"/>
    </row>
    <row r="188" customFormat="false" ht="12" hidden="false" customHeight="false" outlineLevel="0" collapsed="false">
      <c r="AR188" s="95"/>
      <c r="AS188" s="95"/>
      <c r="AT188" s="95"/>
      <c r="AU188" s="95"/>
      <c r="AW188" s="95"/>
      <c r="AY188" s="95"/>
      <c r="AZ188" s="137"/>
      <c r="BA188" s="134"/>
      <c r="BB188" s="137"/>
      <c r="BC188" s="146"/>
      <c r="BD188" s="146"/>
      <c r="BE188" s="137"/>
      <c r="BF188" s="131"/>
      <c r="BK188" s="134"/>
      <c r="BL188" s="145"/>
      <c r="BM188" s="100"/>
      <c r="BQ188" s="145"/>
      <c r="BR188" s="100"/>
      <c r="BU188" s="145"/>
      <c r="BV188" s="100"/>
      <c r="BZ188" s="145"/>
      <c r="CA188" s="100"/>
      <c r="CE188" s="145"/>
      <c r="CF188" s="100"/>
      <c r="CJ188" s="145"/>
      <c r="CK188" s="100"/>
      <c r="CN188" s="145"/>
      <c r="CO188" s="100"/>
    </row>
    <row r="189" customFormat="false" ht="12" hidden="false" customHeight="false" outlineLevel="0" collapsed="false">
      <c r="AW189" s="95"/>
      <c r="AZ189" s="137"/>
      <c r="BA189" s="137"/>
      <c r="BB189" s="137"/>
      <c r="BC189" s="137"/>
      <c r="BD189" s="137"/>
      <c r="BE189" s="137"/>
      <c r="BF189" s="137"/>
      <c r="BT189" s="145"/>
    </row>
    <row r="190" customFormat="false" ht="12" hidden="false" customHeight="false" outlineLevel="0" collapsed="false">
      <c r="AW190" s="95"/>
      <c r="BE190" s="137"/>
      <c r="BF190" s="137"/>
    </row>
    <row r="191" customFormat="false" ht="12" hidden="false" customHeight="false" outlineLevel="0" collapsed="false">
      <c r="AW191" s="95"/>
      <c r="AZ191" s="137"/>
      <c r="BA191" s="137"/>
      <c r="BB191" s="137"/>
      <c r="BC191" s="137"/>
      <c r="BD191" s="137"/>
      <c r="BE191" s="137"/>
      <c r="BF191" s="137"/>
      <c r="BK191" s="100"/>
      <c r="BR191" s="156"/>
    </row>
    <row r="192" customFormat="false" ht="12" hidden="false" customHeight="false" outlineLevel="0" collapsed="false">
      <c r="AW192" s="95"/>
      <c r="BL192" s="151"/>
      <c r="BM192" s="100"/>
    </row>
    <row r="193" customFormat="false" ht="12" hidden="false" customHeight="false" outlineLevel="0" collapsed="false">
      <c r="BL193" s="151"/>
      <c r="BM193" s="100"/>
    </row>
    <row r="196" customFormat="false" ht="12" hidden="false" customHeight="false" outlineLevel="0" collapsed="false">
      <c r="BL196" s="151"/>
      <c r="BM196" s="100"/>
    </row>
    <row r="197" customFormat="false" ht="12" hidden="false" customHeight="false" outlineLevel="0" collapsed="false">
      <c r="BL197" s="151"/>
      <c r="BM197" s="100"/>
    </row>
    <row r="198" customFormat="false" ht="12" hidden="false" customHeight="false" outlineLevel="0" collapsed="false">
      <c r="BL198" s="151"/>
      <c r="BM198" s="100"/>
    </row>
    <row r="199" customFormat="false" ht="12" hidden="false" customHeight="false" outlineLevel="0" collapsed="false">
      <c r="BL199" s="151"/>
      <c r="BM199" s="100"/>
    </row>
    <row r="201" customFormat="false" ht="12" hidden="false" customHeight="false" outlineLevel="0" collapsed="false">
      <c r="BL201" s="151"/>
      <c r="BM201" s="100"/>
    </row>
    <row r="204" customFormat="false" ht="12" hidden="false" customHeight="false" outlineLevel="0" collapsed="false">
      <c r="BL204" s="151"/>
      <c r="BM204" s="100"/>
    </row>
    <row r="205" customFormat="false" ht="12" hidden="false" customHeight="false" outlineLevel="0" collapsed="false">
      <c r="BL205" s="151"/>
      <c r="BM205" s="100"/>
    </row>
    <row r="206" customFormat="false" ht="12" hidden="false" customHeight="false" outlineLevel="0" collapsed="false">
      <c r="BL206" s="151"/>
      <c r="BM206" s="100"/>
    </row>
    <row r="207" customFormat="false" ht="12" hidden="false" customHeight="false" outlineLevel="0" collapsed="false">
      <c r="BL207" s="151"/>
      <c r="BM207" s="100"/>
    </row>
    <row r="209" customFormat="false" ht="12" hidden="false" customHeight="false" outlineLevel="0" collapsed="false">
      <c r="BL209" s="151"/>
      <c r="BM209" s="100"/>
    </row>
    <row r="212" customFormat="false" ht="12" hidden="false" customHeight="false" outlineLevel="0" collapsed="false">
      <c r="BL212" s="151"/>
      <c r="BM212" s="100"/>
    </row>
    <row r="213" customFormat="false" ht="12" hidden="false" customHeight="false" outlineLevel="0" collapsed="false">
      <c r="BL213" s="151"/>
      <c r="BM213" s="100"/>
    </row>
    <row r="214" customFormat="false" ht="12" hidden="false" customHeight="false" outlineLevel="0" collapsed="false">
      <c r="BL214" s="151"/>
      <c r="BM214" s="100"/>
    </row>
    <row r="215" customFormat="false" ht="12" hidden="false" customHeight="false" outlineLevel="0" collapsed="false">
      <c r="BL215" s="151"/>
      <c r="BM215" s="100"/>
    </row>
    <row r="225" customFormat="false" ht="12" hidden="false" customHeight="false" outlineLevel="0" collapsed="false">
      <c r="BF225" s="137"/>
    </row>
    <row r="226" customFormat="false" ht="12" hidden="false" customHeight="false" outlineLevel="0" collapsed="false">
      <c r="BF226" s="137"/>
    </row>
    <row r="227" customFormat="false" ht="12" hidden="false" customHeight="false" outlineLevel="0" collapsed="false">
      <c r="BF227" s="137"/>
    </row>
    <row r="228" customFormat="false" ht="12" hidden="false" customHeight="false" outlineLevel="0" collapsed="false">
      <c r="BF228" s="137"/>
    </row>
    <row r="229" customFormat="false" ht="12" hidden="false" customHeight="false" outlineLevel="0" collapsed="false">
      <c r="BF229" s="137"/>
    </row>
    <row r="230" customFormat="false" ht="12" hidden="false" customHeight="false" outlineLevel="0" collapsed="false">
      <c r="BF230" s="137"/>
    </row>
    <row r="231" customFormat="false" ht="12" hidden="false" customHeight="false" outlineLevel="0" collapsed="false">
      <c r="BF231" s="137"/>
    </row>
    <row r="232" customFormat="false" ht="12" hidden="false" customHeight="false" outlineLevel="0" collapsed="false">
      <c r="BF232" s="137"/>
    </row>
    <row r="233" customFormat="false" ht="12" hidden="false" customHeight="false" outlineLevel="0" collapsed="false">
      <c r="BF233" s="137"/>
    </row>
  </sheetData>
  <conditionalFormatting sqref="AK6:AX39 AK40:AN40 AP40:AW40 AK41:AX60 AL67:AN69 AP67:AX69 AL71:AN75 AP71:AX75 AK90:AX106 BB46:BB59">
    <cfRule type="expression" priority="2" aboveAverage="0" equalAverage="0" bottom="0" percent="0" rank="0" text="" dxfId="7">
      <formula>ABS(AK6)&lt;0.1</formula>
    </cfRule>
  </conditionalFormatting>
  <conditionalFormatting sqref="BR172:BR174">
    <cfRule type="cellIs" priority="3" operator="equal" aboveAverage="0" equalAverage="0" bottom="0" percent="0" rank="0" text="" dxfId="8">
      <formula>"VIRHE!"</formula>
    </cfRule>
    <cfRule type="cellIs" priority="4" operator="equal" aboveAverage="0" equalAverage="0" bottom="0" percent="0" rank="0" text="" dxfId="9">
      <formula>"OK!"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L14:R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N16" activeCellId="0" sqref="N16"/>
    </sheetView>
  </sheetViews>
  <sheetFormatPr defaultColWidth="8.79296875" defaultRowHeight="15" customHeight="false" zeroHeight="false" outlineLevelRow="0" outlineLevelCol="0"/>
  <sheetData>
    <row r="14" customFormat="false" ht="15" hidden="false" customHeight="false" outlineLevel="0" collapsed="false">
      <c r="L14" s="157" t="s">
        <v>104</v>
      </c>
    </row>
    <row r="15" customFormat="false" ht="15" hidden="false" customHeight="false" outlineLevel="0" collapsed="false">
      <c r="L15" s="158" t="n">
        <v>10000000</v>
      </c>
      <c r="M15" s="157" t="n">
        <f aca="false">6*N31*O31/M31^3*L15</f>
        <v>3750</v>
      </c>
      <c r="N15" s="157" t="n">
        <f aca="false">O31*(2*N31-O31)/M31^2*L15</f>
        <v>2500000</v>
      </c>
    </row>
    <row r="30" customFormat="false" ht="15" hidden="false" customHeight="false" outlineLevel="0" collapsed="false">
      <c r="M30" s="157" t="s">
        <v>105</v>
      </c>
      <c r="N30" s="157" t="s">
        <v>106</v>
      </c>
      <c r="O30" s="157" t="s">
        <v>75</v>
      </c>
      <c r="P30" s="157" t="s">
        <v>107</v>
      </c>
      <c r="Q30" s="157" t="s">
        <v>108</v>
      </c>
      <c r="R30" s="157" t="s">
        <v>104</v>
      </c>
    </row>
    <row r="31" customFormat="false" ht="15" hidden="false" customHeight="false" outlineLevel="0" collapsed="false">
      <c r="M31" s="157" t="n">
        <v>4000</v>
      </c>
      <c r="N31" s="157" t="n">
        <v>2000</v>
      </c>
      <c r="O31" s="157" t="n">
        <f aca="false">M31-N31</f>
        <v>2000</v>
      </c>
      <c r="P31" s="157" t="n">
        <v>2500</v>
      </c>
      <c r="Q31" s="157" t="n">
        <v>1250</v>
      </c>
      <c r="R31" s="157" t="n">
        <v>10</v>
      </c>
    </row>
    <row r="33" customFormat="false" ht="15" hidden="false" customHeight="false" outlineLevel="0" collapsed="false">
      <c r="M33" s="157" t="n">
        <f aca="false">P31/M31^3*((2*N31+M31)*O31^2+1/4*(N31-O31)*P31^2)*R31</f>
        <v>12500</v>
      </c>
    </row>
    <row r="34" customFormat="false" ht="15" hidden="false" customHeight="false" outlineLevel="0" collapsed="false">
      <c r="M34" s="157" t="n">
        <f aca="false">P31/M31^2*(N31*O31^2+1/12*(N31-2*O31)*P31^2)*R31</f>
        <v>10872395.8333333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W2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V43" activeCellId="0" sqref="V43"/>
    </sheetView>
  </sheetViews>
  <sheetFormatPr defaultColWidth="9.140625" defaultRowHeight="12" customHeight="false" zeroHeight="false" outlineLevelRow="0" outlineLevelCol="0"/>
  <cols>
    <col collapsed="false" customWidth="false" hidden="false" outlineLevel="0" max="1" min="1" style="1" width="9.14"/>
    <col collapsed="false" customWidth="true" hidden="false" outlineLevel="0" max="4" min="2" style="1" width="9.3"/>
    <col collapsed="false" customWidth="true" hidden="false" outlineLevel="0" max="5" min="5" style="1" width="9.42"/>
    <col collapsed="false" customWidth="true" hidden="false" outlineLevel="0" max="7" min="6" style="1" width="9.3"/>
    <col collapsed="false" customWidth="false" hidden="false" outlineLevel="0" max="8" min="8" style="1" width="9.14"/>
    <col collapsed="false" customWidth="true" hidden="false" outlineLevel="0" max="9" min="9" style="1" width="9.57"/>
    <col collapsed="false" customWidth="false" hidden="false" outlineLevel="0" max="11" min="10" style="1" width="9.14"/>
    <col collapsed="false" customWidth="true" hidden="false" outlineLevel="0" max="12" min="12" style="1" width="9.72"/>
    <col collapsed="false" customWidth="true" hidden="false" outlineLevel="0" max="13" min="13" style="1" width="12.42"/>
    <col collapsed="false" customWidth="true" hidden="false" outlineLevel="0" max="14" min="14" style="1" width="9.3"/>
    <col collapsed="false" customWidth="true" hidden="false" outlineLevel="0" max="15" min="15" style="1" width="9.42"/>
    <col collapsed="false" customWidth="true" hidden="false" outlineLevel="0" max="16" min="16" style="1" width="10.42"/>
    <col collapsed="false" customWidth="true" hidden="false" outlineLevel="0" max="17" min="17" style="1" width="9.3"/>
    <col collapsed="false" customWidth="false" hidden="false" outlineLevel="0" max="18" min="18" style="1" width="9.14"/>
    <col collapsed="false" customWidth="true" hidden="false" outlineLevel="0" max="19" min="19" style="1" width="9.3"/>
    <col collapsed="false" customWidth="false" hidden="false" outlineLevel="0" max="20" min="20" style="1" width="9.14"/>
    <col collapsed="false" customWidth="true" hidden="false" outlineLevel="0" max="21" min="21" style="1" width="10.42"/>
    <col collapsed="false" customWidth="true" hidden="false" outlineLevel="0" max="22" min="22" style="1" width="11"/>
    <col collapsed="false" customWidth="true" hidden="false" outlineLevel="0" max="23" min="23" style="1" width="9.3"/>
    <col collapsed="false" customWidth="true" hidden="false" outlineLevel="0" max="24" min="24" style="1" width="12.42"/>
    <col collapsed="false" customWidth="true" hidden="false" outlineLevel="0" max="25" min="25" style="1" width="9.42"/>
    <col collapsed="false" customWidth="true" hidden="false" outlineLevel="0" max="27" min="26" style="1" width="9.3"/>
    <col collapsed="false" customWidth="false" hidden="false" outlineLevel="0" max="28" min="28" style="1" width="9.14"/>
    <col collapsed="false" customWidth="true" hidden="false" outlineLevel="0" max="29" min="29" style="1" width="9.3"/>
    <col collapsed="false" customWidth="false" hidden="false" outlineLevel="0" max="35" min="30" style="1" width="9.14"/>
    <col collapsed="false" customWidth="true" hidden="false" outlineLevel="0" max="36" min="36" style="1" width="9.3"/>
    <col collapsed="false" customWidth="true" hidden="false" outlineLevel="0" max="37" min="37" style="1" width="11"/>
    <col collapsed="false" customWidth="true" hidden="false" outlineLevel="0" max="38" min="38" style="1" width="11.14"/>
    <col collapsed="false" customWidth="true" hidden="false" outlineLevel="0" max="39" min="39" style="1" width="10.42"/>
    <col collapsed="false" customWidth="true" hidden="false" outlineLevel="0" max="40" min="40" style="1" width="9.57"/>
    <col collapsed="false" customWidth="true" hidden="false" outlineLevel="0" max="43" min="41" style="1" width="11"/>
    <col collapsed="false" customWidth="true" hidden="false" outlineLevel="0" max="44" min="44" style="1" width="9.57"/>
    <col collapsed="false" customWidth="true" hidden="false" outlineLevel="0" max="48" min="45" style="1" width="9.3"/>
    <col collapsed="false" customWidth="false" hidden="false" outlineLevel="0" max="49" min="49" style="1" width="9.14"/>
    <col collapsed="false" customWidth="true" hidden="false" outlineLevel="0" max="53" min="50" style="1" width="9.3"/>
    <col collapsed="false" customWidth="true" hidden="false" outlineLevel="0" max="54" min="54" style="1" width="12.42"/>
    <col collapsed="false" customWidth="true" hidden="false" outlineLevel="0" max="55" min="55" style="1" width="9.3"/>
    <col collapsed="false" customWidth="true" hidden="false" outlineLevel="0" max="56" min="56" style="1" width="11"/>
    <col collapsed="false" customWidth="true" hidden="false" outlineLevel="0" max="62" min="57" style="1" width="9.3"/>
    <col collapsed="false" customWidth="false" hidden="false" outlineLevel="0" max="16384" min="63" style="1" width="9.14"/>
  </cols>
  <sheetData>
    <row r="1" customFormat="false" ht="12" hidden="false" customHeight="false" outlineLevel="0" collapsed="false">
      <c r="B1" s="1" t="s">
        <v>0</v>
      </c>
    </row>
    <row r="3" customFormat="false" ht="12" hidden="false" customHeight="false" outlineLevel="0" collapsed="false">
      <c r="B3" s="2" t="s">
        <v>1</v>
      </c>
      <c r="E3" s="3"/>
      <c r="F3" s="4"/>
      <c r="L3" s="2" t="s">
        <v>6</v>
      </c>
      <c r="Y3" s="4"/>
    </row>
    <row r="4" customFormat="false" ht="12" hidden="false" customHeight="false" outlineLevel="0" collapsed="false">
      <c r="B4" s="1" t="s">
        <v>4</v>
      </c>
      <c r="E4" s="5" t="n">
        <v>45</v>
      </c>
      <c r="F4" s="1" t="s">
        <v>5</v>
      </c>
      <c r="L4" s="10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11" t="n">
        <v>6</v>
      </c>
      <c r="S4" s="7"/>
      <c r="T4" s="7"/>
      <c r="U4" s="7"/>
      <c r="V4" s="7"/>
      <c r="W4" s="7"/>
      <c r="X4" s="7"/>
      <c r="Y4" s="9"/>
      <c r="AZ4" s="2"/>
    </row>
    <row r="5" customFormat="false" ht="12" hidden="false" customHeight="false" outlineLevel="0" collapsed="false">
      <c r="B5" s="8" t="s">
        <v>8</v>
      </c>
      <c r="C5" s="9" t="n">
        <f aca="false">COS(RADIANS(E4))</f>
        <v>0.707106781186548</v>
      </c>
      <c r="D5" s="8" t="s">
        <v>9</v>
      </c>
      <c r="E5" s="6" t="n">
        <f aca="false">SIN(RADIANS(E4))</f>
        <v>0.707106781186548</v>
      </c>
      <c r="L5" s="11" t="n">
        <v>1</v>
      </c>
      <c r="M5" s="12" t="n">
        <f aca="false">B20</f>
        <v>262664.0625</v>
      </c>
      <c r="N5" s="12" t="n">
        <f aca="false">C20</f>
        <v>262335.9375</v>
      </c>
      <c r="O5" s="12" t="n">
        <f aca="false">D20</f>
        <v>-464038.825153672</v>
      </c>
      <c r="P5" s="12" t="n">
        <f aca="false">E20</f>
        <v>-262664.0625</v>
      </c>
      <c r="Q5" s="12" t="n">
        <f aca="false">F20</f>
        <v>-262335.9375</v>
      </c>
      <c r="R5" s="12" t="n">
        <f aca="false">G20</f>
        <v>-464038.825153672</v>
      </c>
      <c r="S5" s="21" t="n">
        <f aca="false">I20</f>
        <v>-14142.135623731</v>
      </c>
      <c r="T5" s="7"/>
      <c r="U5" s="7"/>
      <c r="V5" s="7"/>
      <c r="W5" s="7"/>
      <c r="X5" s="7"/>
      <c r="Y5" s="9"/>
      <c r="AW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</row>
    <row r="6" customFormat="false" ht="12" hidden="false" customHeight="false" outlineLevel="0" collapsed="false">
      <c r="B6" s="1" t="s">
        <v>11</v>
      </c>
      <c r="E6" s="6" t="n">
        <v>4000</v>
      </c>
      <c r="F6" s="1" t="s">
        <v>12</v>
      </c>
      <c r="L6" s="11" t="n">
        <v>2</v>
      </c>
      <c r="M6" s="12" t="n">
        <f aca="false">B21</f>
        <v>262335.9375</v>
      </c>
      <c r="N6" s="12" t="n">
        <f aca="false">C21</f>
        <v>262664.0625</v>
      </c>
      <c r="O6" s="12" t="n">
        <f aca="false">D21</f>
        <v>464038.825153672</v>
      </c>
      <c r="P6" s="12" t="n">
        <f aca="false">E21</f>
        <v>-262335.9375</v>
      </c>
      <c r="Q6" s="12" t="n">
        <f aca="false">F21</f>
        <v>-262664.0625</v>
      </c>
      <c r="R6" s="12" t="n">
        <f aca="false">G21</f>
        <v>464038.825153672</v>
      </c>
      <c r="S6" s="21" t="n">
        <f aca="false">I21</f>
        <v>-14142.135623731</v>
      </c>
      <c r="T6" s="7"/>
      <c r="U6" s="7"/>
      <c r="V6" s="7"/>
      <c r="W6" s="7"/>
      <c r="X6" s="7"/>
      <c r="Y6" s="9"/>
      <c r="AW6" s="7"/>
      <c r="AX6" s="13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</row>
    <row r="7" customFormat="false" ht="12" hidden="false" customHeight="false" outlineLevel="0" collapsed="false">
      <c r="B7" s="1" t="s">
        <v>13</v>
      </c>
      <c r="E7" s="14" t="n">
        <f aca="false">100*100</f>
        <v>10000</v>
      </c>
      <c r="F7" s="1" t="s">
        <v>14</v>
      </c>
      <c r="L7" s="11" t="n">
        <v>3</v>
      </c>
      <c r="M7" s="12" t="n">
        <f aca="false">B22</f>
        <v>-464038.825153672</v>
      </c>
      <c r="N7" s="12" t="n">
        <f aca="false">C22</f>
        <v>464038.825153672</v>
      </c>
      <c r="O7" s="12" t="n">
        <f aca="false">D22</f>
        <v>1750000000</v>
      </c>
      <c r="P7" s="12" t="n">
        <f aca="false">E22</f>
        <v>464038.825153672</v>
      </c>
      <c r="Q7" s="12" t="n">
        <f aca="false">F22</f>
        <v>-464038.825153672</v>
      </c>
      <c r="R7" s="12" t="n">
        <f aca="false">G22</f>
        <v>875000000</v>
      </c>
      <c r="S7" s="21" t="n">
        <f aca="false">I22</f>
        <v>1.63286239886314E-009</v>
      </c>
      <c r="T7" s="7"/>
      <c r="U7" s="7"/>
      <c r="V7" s="41"/>
      <c r="W7" s="7"/>
      <c r="X7" s="7"/>
      <c r="Y7" s="35"/>
      <c r="AW7" s="7"/>
      <c r="AX7" s="13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</row>
    <row r="8" customFormat="false" ht="12" hidden="false" customHeight="false" outlineLevel="0" collapsed="false">
      <c r="B8" s="1" t="s">
        <v>15</v>
      </c>
      <c r="E8" s="14" t="n">
        <f aca="false">100*100^3/12</f>
        <v>8333333.33333333</v>
      </c>
      <c r="F8" s="1" t="s">
        <v>16</v>
      </c>
      <c r="L8" s="11" t="n">
        <v>4</v>
      </c>
      <c r="M8" s="12" t="n">
        <f aca="false">B23</f>
        <v>-262664.0625</v>
      </c>
      <c r="N8" s="12" t="n">
        <f aca="false">C23</f>
        <v>-262335.9375</v>
      </c>
      <c r="O8" s="12" t="n">
        <f aca="false">D23</f>
        <v>464038.825153672</v>
      </c>
      <c r="P8" s="12" t="n">
        <f aca="false">E23</f>
        <v>262664.0625</v>
      </c>
      <c r="Q8" s="12" t="n">
        <f aca="false">F23</f>
        <v>262335.9375</v>
      </c>
      <c r="R8" s="12" t="n">
        <f aca="false">G23</f>
        <v>464038.825153672</v>
      </c>
      <c r="S8" s="21" t="n">
        <f aca="false">I23</f>
        <v>-14142.135623731</v>
      </c>
      <c r="T8" s="7"/>
      <c r="U8" s="7"/>
      <c r="V8" s="7"/>
      <c r="W8" s="7"/>
      <c r="X8" s="7"/>
      <c r="Y8" s="35"/>
      <c r="AW8" s="7"/>
      <c r="AX8" s="13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</row>
    <row r="9" customFormat="false" ht="12" hidden="false" customHeight="false" outlineLevel="0" collapsed="false">
      <c r="B9" s="1" t="s">
        <v>17</v>
      </c>
      <c r="E9" s="14" t="n">
        <f aca="false">210*10^3</f>
        <v>210000</v>
      </c>
      <c r="F9" s="1" t="s">
        <v>18</v>
      </c>
      <c r="L9" s="11" t="n">
        <v>5</v>
      </c>
      <c r="M9" s="12" t="n">
        <f aca="false">B24</f>
        <v>-262335.9375</v>
      </c>
      <c r="N9" s="12" t="n">
        <f aca="false">C24</f>
        <v>-262664.0625</v>
      </c>
      <c r="O9" s="12" t="n">
        <f aca="false">D24</f>
        <v>-464038.825153672</v>
      </c>
      <c r="P9" s="12" t="n">
        <f aca="false">E24</f>
        <v>262335.9375</v>
      </c>
      <c r="Q9" s="12" t="n">
        <f aca="false">F24</f>
        <v>262664.0625</v>
      </c>
      <c r="R9" s="12" t="n">
        <f aca="false">G24</f>
        <v>-464038.825153672</v>
      </c>
      <c r="S9" s="21" t="n">
        <f aca="false">I24</f>
        <v>-14142.135623731</v>
      </c>
      <c r="T9" s="7"/>
      <c r="U9" s="7"/>
      <c r="V9" s="7"/>
      <c r="W9" s="7"/>
      <c r="X9" s="7"/>
      <c r="Y9" s="35"/>
      <c r="AW9" s="7"/>
      <c r="AX9" s="13"/>
      <c r="AZ9" s="7"/>
      <c r="BA9" s="7"/>
      <c r="BB9" s="7"/>
      <c r="BC9" s="7"/>
      <c r="BD9" s="17"/>
      <c r="BE9" s="17"/>
      <c r="BF9" s="17"/>
      <c r="BG9" s="7"/>
      <c r="BH9" s="7"/>
      <c r="BI9" s="7"/>
      <c r="BJ9" s="17"/>
      <c r="BK9" s="17"/>
      <c r="BL9" s="17"/>
      <c r="BM9" s="17"/>
      <c r="BN9" s="13"/>
    </row>
    <row r="10" customFormat="false" ht="12" hidden="false" customHeight="false" outlineLevel="0" collapsed="false">
      <c r="B10" s="1" t="s">
        <v>21</v>
      </c>
      <c r="E10" s="18" t="n">
        <f aca="false">E9*E7</f>
        <v>2100000000</v>
      </c>
      <c r="F10" s="1" t="s">
        <v>22</v>
      </c>
      <c r="L10" s="11" t="n">
        <v>6</v>
      </c>
      <c r="M10" s="12" t="n">
        <f aca="false">B25</f>
        <v>-464038.825153672</v>
      </c>
      <c r="N10" s="12" t="n">
        <f aca="false">C25</f>
        <v>464038.825153672</v>
      </c>
      <c r="O10" s="12" t="n">
        <f aca="false">D25</f>
        <v>875000000</v>
      </c>
      <c r="P10" s="12" t="n">
        <f aca="false">E25</f>
        <v>464038.825153672</v>
      </c>
      <c r="Q10" s="12" t="n">
        <f aca="false">F25</f>
        <v>-464038.825153672</v>
      </c>
      <c r="R10" s="12" t="n">
        <f aca="false">G25</f>
        <v>1750000000</v>
      </c>
      <c r="S10" s="21" t="n">
        <f aca="false">I25</f>
        <v>-1.63286239886314E-009</v>
      </c>
      <c r="T10" s="7"/>
      <c r="U10" s="7"/>
      <c r="V10" s="7"/>
      <c r="W10" s="7"/>
      <c r="X10" s="7"/>
      <c r="Y10" s="13"/>
      <c r="AW10" s="7"/>
      <c r="AX10" s="13"/>
      <c r="AZ10" s="7"/>
      <c r="BA10" s="7"/>
      <c r="BB10" s="7"/>
      <c r="BC10" s="7"/>
      <c r="BD10" s="17"/>
      <c r="BE10" s="17"/>
      <c r="BF10" s="17"/>
      <c r="BG10" s="7"/>
      <c r="BH10" s="7"/>
      <c r="BI10" s="7"/>
      <c r="BJ10" s="17"/>
      <c r="BK10" s="17"/>
      <c r="BL10" s="17"/>
      <c r="BM10" s="17"/>
    </row>
    <row r="11" customFormat="false" ht="12" hidden="false" customHeight="false" outlineLevel="0" collapsed="false">
      <c r="B11" s="1" t="s">
        <v>23</v>
      </c>
      <c r="E11" s="18" t="n">
        <f aca="false">E9*E8</f>
        <v>1750000000000</v>
      </c>
      <c r="F11" s="1" t="s">
        <v>24</v>
      </c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13"/>
      <c r="AW11" s="7"/>
      <c r="AX11" s="13"/>
      <c r="AZ11" s="7"/>
      <c r="BA11" s="7"/>
      <c r="BB11" s="7"/>
      <c r="BC11" s="7"/>
      <c r="BD11" s="17"/>
      <c r="BE11" s="17"/>
      <c r="BF11" s="17"/>
      <c r="BG11" s="7"/>
      <c r="BH11" s="7"/>
      <c r="BI11" s="7"/>
      <c r="BJ11" s="17"/>
      <c r="BK11" s="17"/>
      <c r="BL11" s="17"/>
      <c r="BM11" s="17"/>
    </row>
    <row r="12" customFormat="false" ht="12" hidden="false" customHeight="false" outlineLevel="0" collapsed="false">
      <c r="L12" s="2" t="s">
        <v>109</v>
      </c>
      <c r="M12" s="7"/>
      <c r="N12" s="7" t="s">
        <v>110</v>
      </c>
      <c r="O12" s="159" t="n">
        <v>0</v>
      </c>
      <c r="P12" s="7" t="s">
        <v>111</v>
      </c>
      <c r="Q12" s="159" t="n">
        <v>45</v>
      </c>
      <c r="R12" s="7"/>
      <c r="S12" s="7"/>
      <c r="T12" s="2" t="s">
        <v>112</v>
      </c>
      <c r="U12" s="7"/>
      <c r="V12" s="7"/>
      <c r="W12" s="7"/>
      <c r="X12" s="7"/>
      <c r="AW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17"/>
    </row>
    <row r="13" customFormat="false" ht="12" hidden="false" customHeight="false" outlineLevel="0" collapsed="false">
      <c r="B13" s="2" t="s">
        <v>26</v>
      </c>
      <c r="L13" s="11" t="n">
        <v>1</v>
      </c>
      <c r="M13" s="12" t="n">
        <f aca="false">COS(RADIANS(O12))</f>
        <v>1</v>
      </c>
      <c r="N13" s="12" t="n">
        <f aca="false">SIN(RADIANS(O12))</f>
        <v>0</v>
      </c>
      <c r="O13" s="12" t="n">
        <v>0</v>
      </c>
      <c r="P13" s="12" t="n">
        <v>0</v>
      </c>
      <c r="Q13" s="12" t="n">
        <v>0</v>
      </c>
      <c r="R13" s="12" t="n">
        <v>0</v>
      </c>
      <c r="S13" s="7"/>
      <c r="T13" s="12" t="n">
        <f aca="false" t="array" ref="T13:Y18">TRANSPOSE(M13:R18)</f>
        <v>1</v>
      </c>
      <c r="U13" s="12" t="n">
        <v>-0</v>
      </c>
      <c r="V13" s="12" t="n">
        <v>0</v>
      </c>
      <c r="W13" s="12" t="n">
        <v>0</v>
      </c>
      <c r="X13" s="12" t="n">
        <v>0</v>
      </c>
      <c r="Y13" s="12" t="n">
        <v>0</v>
      </c>
      <c r="AW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</row>
    <row r="14" customFormat="false" ht="12" hidden="false" customHeight="false" outlineLevel="0" collapsed="false">
      <c r="B14" s="1" t="s">
        <v>27</v>
      </c>
      <c r="E14" s="19" t="n">
        <v>0</v>
      </c>
      <c r="F14" s="1" t="s">
        <v>28</v>
      </c>
      <c r="L14" s="11" t="n">
        <v>2</v>
      </c>
      <c r="M14" s="12" t="n">
        <f aca="false">-SIN(RADIANS(O12))</f>
        <v>-0</v>
      </c>
      <c r="N14" s="12" t="n">
        <f aca="false">COS(RADIANS(O12))</f>
        <v>1</v>
      </c>
      <c r="O14" s="12" t="n">
        <v>0</v>
      </c>
      <c r="P14" s="12" t="n">
        <v>0</v>
      </c>
      <c r="Q14" s="12" t="n">
        <v>0</v>
      </c>
      <c r="R14" s="12" t="n">
        <v>0</v>
      </c>
      <c r="S14" s="7"/>
      <c r="T14" s="12" t="n">
        <v>0</v>
      </c>
      <c r="U14" s="12" t="n">
        <v>1</v>
      </c>
      <c r="V14" s="12" t="n">
        <v>0</v>
      </c>
      <c r="W14" s="12" t="n">
        <v>0</v>
      </c>
      <c r="X14" s="12" t="n">
        <v>0</v>
      </c>
      <c r="Y14" s="12" t="n">
        <v>0</v>
      </c>
      <c r="AW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</row>
    <row r="15" customFormat="false" ht="12" hidden="false" customHeight="false" outlineLevel="0" collapsed="false">
      <c r="B15" s="1" t="s">
        <v>29</v>
      </c>
      <c r="E15" s="19" t="n">
        <v>10</v>
      </c>
      <c r="F15" s="1" t="s">
        <v>28</v>
      </c>
      <c r="L15" s="11" t="n">
        <v>3</v>
      </c>
      <c r="M15" s="12" t="n">
        <v>0</v>
      </c>
      <c r="N15" s="12" t="n">
        <v>0</v>
      </c>
      <c r="O15" s="12" t="n">
        <v>1</v>
      </c>
      <c r="P15" s="12" t="n">
        <v>0</v>
      </c>
      <c r="Q15" s="12" t="n">
        <v>0</v>
      </c>
      <c r="R15" s="12" t="n">
        <v>0</v>
      </c>
      <c r="S15" s="7"/>
      <c r="T15" s="12" t="n">
        <v>0</v>
      </c>
      <c r="U15" s="12" t="n">
        <v>0</v>
      </c>
      <c r="V15" s="12" t="n">
        <v>1</v>
      </c>
      <c r="W15" s="12" t="n">
        <v>0</v>
      </c>
      <c r="X15" s="12" t="n">
        <v>0</v>
      </c>
      <c r="Y15" s="12" t="n">
        <v>0</v>
      </c>
      <c r="AW15" s="7"/>
      <c r="AX15" s="20"/>
      <c r="AZ15" s="7"/>
      <c r="BA15" s="7"/>
      <c r="BB15" s="7"/>
      <c r="BC15" s="7"/>
      <c r="BD15" s="17"/>
      <c r="BE15" s="17"/>
      <c r="BF15" s="17"/>
      <c r="BG15" s="7"/>
      <c r="BH15" s="7"/>
      <c r="BI15" s="7"/>
      <c r="BJ15" s="17"/>
      <c r="BK15" s="17"/>
      <c r="BL15" s="17"/>
      <c r="BM15" s="17"/>
      <c r="BN15" s="17"/>
    </row>
    <row r="16" customFormat="false" ht="12" hidden="false" customHeight="false" outlineLevel="0" collapsed="false">
      <c r="E16" s="13"/>
      <c r="L16" s="11" t="n">
        <v>4</v>
      </c>
      <c r="M16" s="12" t="n">
        <v>0</v>
      </c>
      <c r="N16" s="12" t="n">
        <v>0</v>
      </c>
      <c r="O16" s="12" t="n">
        <v>0</v>
      </c>
      <c r="P16" s="12" t="n">
        <f aca="false">COS(RADIANS(Q12))</f>
        <v>0.707106781186548</v>
      </c>
      <c r="Q16" s="12" t="n">
        <f aca="false">SIN(RADIANS(Q12))</f>
        <v>0.707106781186548</v>
      </c>
      <c r="R16" s="12" t="n">
        <v>0</v>
      </c>
      <c r="T16" s="12" t="n">
        <v>0</v>
      </c>
      <c r="U16" s="12" t="n">
        <v>0</v>
      </c>
      <c r="V16" s="12" t="n">
        <v>0</v>
      </c>
      <c r="W16" s="12" t="n">
        <v>0.707106781186548</v>
      </c>
      <c r="X16" s="12" t="n">
        <v>-0.707106781186548</v>
      </c>
      <c r="Y16" s="12" t="n">
        <v>0</v>
      </c>
      <c r="AW16" s="7"/>
      <c r="AX16" s="20"/>
      <c r="AZ16" s="7"/>
      <c r="BA16" s="7"/>
      <c r="BB16" s="7"/>
      <c r="BC16" s="7"/>
      <c r="BD16" s="17"/>
      <c r="BE16" s="17"/>
      <c r="BF16" s="17"/>
      <c r="BG16" s="7"/>
      <c r="BH16" s="7"/>
      <c r="BI16" s="7"/>
      <c r="BJ16" s="17"/>
      <c r="BK16" s="17"/>
      <c r="BL16" s="17"/>
      <c r="BM16" s="17"/>
      <c r="BN16" s="20"/>
    </row>
    <row r="17" customFormat="false" ht="12" hidden="false" customHeight="false" outlineLevel="0" collapsed="false">
      <c r="L17" s="11" t="n">
        <v>5</v>
      </c>
      <c r="M17" s="12" t="n">
        <v>0</v>
      </c>
      <c r="N17" s="12" t="n">
        <v>0</v>
      </c>
      <c r="O17" s="12" t="n">
        <v>0</v>
      </c>
      <c r="P17" s="12" t="n">
        <f aca="false">-SIN(RADIANS(Q12))</f>
        <v>-0.707106781186548</v>
      </c>
      <c r="Q17" s="12" t="n">
        <f aca="false">COS(RADIANS(Q12))</f>
        <v>0.707106781186548</v>
      </c>
      <c r="R17" s="12" t="n">
        <v>0</v>
      </c>
      <c r="T17" s="12" t="n">
        <v>0</v>
      </c>
      <c r="U17" s="12" t="n">
        <v>0</v>
      </c>
      <c r="V17" s="12" t="n">
        <v>0</v>
      </c>
      <c r="W17" s="12" t="n">
        <v>0.707106781186548</v>
      </c>
      <c r="X17" s="12" t="n">
        <v>0.707106781186548</v>
      </c>
      <c r="Y17" s="12" t="n">
        <v>0</v>
      </c>
      <c r="AW17" s="7"/>
      <c r="AX17" s="20"/>
      <c r="AZ17" s="7"/>
      <c r="BA17" s="7"/>
      <c r="BB17" s="7"/>
      <c r="BC17" s="7"/>
      <c r="BD17" s="17"/>
      <c r="BE17" s="17"/>
      <c r="BF17" s="17"/>
      <c r="BG17" s="7"/>
      <c r="BH17" s="7"/>
      <c r="BI17" s="7"/>
      <c r="BJ17" s="17"/>
      <c r="BK17" s="17"/>
      <c r="BL17" s="17"/>
      <c r="BM17" s="17"/>
      <c r="BN17" s="20"/>
    </row>
    <row r="18" customFormat="false" ht="12" hidden="false" customHeight="false" outlineLevel="0" collapsed="false">
      <c r="L18" s="11" t="n">
        <v>6</v>
      </c>
      <c r="M18" s="12" t="n">
        <v>0</v>
      </c>
      <c r="N18" s="12" t="n">
        <v>0</v>
      </c>
      <c r="O18" s="12" t="n">
        <v>0</v>
      </c>
      <c r="P18" s="12" t="n">
        <v>0</v>
      </c>
      <c r="Q18" s="12" t="n">
        <v>0</v>
      </c>
      <c r="R18" s="12" t="n">
        <v>1</v>
      </c>
      <c r="T18" s="12" t="n">
        <v>0</v>
      </c>
      <c r="U18" s="12" t="n">
        <v>0</v>
      </c>
      <c r="V18" s="12" t="n">
        <v>0</v>
      </c>
      <c r="W18" s="12" t="n">
        <v>0</v>
      </c>
      <c r="X18" s="12" t="n">
        <v>0</v>
      </c>
      <c r="Y18" s="12" t="n">
        <v>1</v>
      </c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Z18" s="7"/>
      <c r="BA18" s="7"/>
      <c r="BB18" s="7"/>
      <c r="BC18" s="7"/>
      <c r="BD18" s="17"/>
      <c r="BE18" s="17"/>
      <c r="BF18" s="7"/>
      <c r="BG18" s="17"/>
      <c r="BH18" s="7"/>
      <c r="BI18" s="7"/>
      <c r="BJ18" s="7"/>
      <c r="BK18" s="17"/>
      <c r="BL18" s="17"/>
      <c r="BM18" s="7"/>
      <c r="BN18" s="17"/>
    </row>
    <row r="19" customFormat="false" ht="12" hidden="false" customHeight="false" outlineLevel="0" collapsed="false">
      <c r="B19" s="2" t="s">
        <v>30</v>
      </c>
      <c r="I19" s="2" t="s">
        <v>31</v>
      </c>
      <c r="AC19" s="2"/>
      <c r="AM19" s="7"/>
      <c r="AN19" s="21"/>
      <c r="AO19" s="7"/>
      <c r="AP19" s="7"/>
      <c r="AQ19" s="7"/>
      <c r="AR19" s="7"/>
      <c r="AS19" s="7"/>
      <c r="AT19" s="7"/>
      <c r="AU19" s="21"/>
      <c r="AV19" s="7"/>
      <c r="AW19" s="7"/>
      <c r="AX19" s="7"/>
      <c r="AZ19" s="7"/>
      <c r="BA19" s="7"/>
      <c r="BB19" s="7"/>
      <c r="BC19" s="7"/>
      <c r="BD19" s="17"/>
      <c r="BE19" s="17"/>
      <c r="BF19" s="7"/>
      <c r="BG19" s="17"/>
      <c r="BH19" s="7"/>
      <c r="BI19" s="7"/>
      <c r="BJ19" s="7"/>
      <c r="BK19" s="17"/>
      <c r="BL19" s="17"/>
      <c r="BM19" s="7"/>
      <c r="BN19" s="17"/>
    </row>
    <row r="20" customFormat="false" ht="12" hidden="false" customHeight="false" outlineLevel="0" collapsed="false">
      <c r="B20" s="22" t="n">
        <f aca="false">$B36*B$45+$C36*B$46+$D36*B$47+$E36*B$48+$F36*B$49+$G36*B$50</f>
        <v>262664.0625</v>
      </c>
      <c r="C20" s="22" t="n">
        <f aca="false">$B36*C$45+$C36*C$46+$D36*C$47+$E36*C$48+$F36*C$49+$G36*C$50</f>
        <v>262335.9375</v>
      </c>
      <c r="D20" s="22" t="n">
        <f aca="false">$B36*D$45+$C36*D$46+$D36*D$47+$E36*D$48+$F36*D$49+$G36*D$50</f>
        <v>-464038.825153672</v>
      </c>
      <c r="E20" s="22" t="n">
        <f aca="false">$B36*E$45+$C36*E$46+$D36*E$47+$E36*E$48+$F36*E$49+$G36*E$50</f>
        <v>-262664.0625</v>
      </c>
      <c r="F20" s="22" t="n">
        <f aca="false">$B36*F$45+$C36*F$46+$D36*F$47+$E36*F$48+$F36*F$49+$G36*F$50</f>
        <v>-262335.9375</v>
      </c>
      <c r="G20" s="22" t="n">
        <f aca="false">$B36*G$45+$C36*G$46+$D36*G$47+$E36*G$48+$F36*G$49+$G36*G$50</f>
        <v>-464038.825153672</v>
      </c>
      <c r="I20" s="23" t="n">
        <f aca="false">B54*I28+C54*I29+D54*I30+E54*I31+F54*I32+G54*I33</f>
        <v>-14142.135623731</v>
      </c>
      <c r="L20" s="2" t="s">
        <v>36</v>
      </c>
      <c r="S20" s="7"/>
      <c r="T20" s="7"/>
      <c r="U20" s="7"/>
      <c r="V20" s="7"/>
      <c r="W20" s="7"/>
      <c r="X20" s="7"/>
      <c r="Y20" s="13"/>
      <c r="AJ20" s="2"/>
    </row>
    <row r="21" customFormat="false" ht="12" hidden="false" customHeight="false" outlineLevel="0" collapsed="false">
      <c r="B21" s="22" t="n">
        <f aca="false">$B37*B$45+$C37*B$46+$D37*B$47+$E37*B$48+$F37*B$49+$G37*B$50</f>
        <v>262335.9375</v>
      </c>
      <c r="C21" s="22" t="n">
        <f aca="false">$B37*C$45+$C37*C$46+$D37*C$47+$E37*C$48+$F37*C$49+$G37*C$50</f>
        <v>262664.0625</v>
      </c>
      <c r="D21" s="22" t="n">
        <f aca="false">$B37*D$45+$C37*D$46+$D37*D$47+$E37*D$48+$F37*D$49+$G37*D$50</f>
        <v>464038.825153672</v>
      </c>
      <c r="E21" s="22" t="n">
        <f aca="false">$B37*E$45+$C37*E$46+$D37*E$47+$E37*E$48+$F37*E$49+$G37*E$50</f>
        <v>-262335.9375</v>
      </c>
      <c r="F21" s="22" t="n">
        <f aca="false">$B37*F$45+$C37*F$46+$D37*F$47+$E37*F$48+$F37*F$49+$G37*F$50</f>
        <v>-262664.0625</v>
      </c>
      <c r="G21" s="22" t="n">
        <f aca="false">$B37*G$45+$C37*G$46+$D37*G$47+$E37*G$48+$F37*G$49+$G37*G$50</f>
        <v>464038.825153672</v>
      </c>
      <c r="I21" s="23" t="n">
        <f aca="false">B55*I28+C55*I29+D55*I30+E55*I31+F55*I32+G55*I33</f>
        <v>-14142.135623731</v>
      </c>
      <c r="L21" s="10"/>
      <c r="M21" s="11" t="n">
        <v>1</v>
      </c>
      <c r="N21" s="11" t="n">
        <v>2</v>
      </c>
      <c r="O21" s="11" t="n">
        <v>3</v>
      </c>
      <c r="P21" s="11" t="n">
        <v>4</v>
      </c>
      <c r="Q21" s="11" t="n">
        <v>5</v>
      </c>
      <c r="R21" s="11" t="n">
        <v>6</v>
      </c>
      <c r="S21" s="7" t="s">
        <v>37</v>
      </c>
      <c r="T21" s="10" t="s">
        <v>38</v>
      </c>
      <c r="U21" s="7" t="s">
        <v>39</v>
      </c>
      <c r="V21" s="10" t="s">
        <v>10</v>
      </c>
      <c r="X21" s="10" t="s">
        <v>38</v>
      </c>
      <c r="Y21" s="34"/>
      <c r="Z21" s="34" t="s">
        <v>40</v>
      </c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</row>
    <row r="22" customFormat="false" ht="12" hidden="false" customHeight="false" outlineLevel="0" collapsed="false">
      <c r="B22" s="22" t="n">
        <f aca="false">$B38*B$45+$C38*B$46+$D38*B$47+$E38*B$48+$F38*B$49+$G38*B$50</f>
        <v>-464038.825153672</v>
      </c>
      <c r="C22" s="22" t="n">
        <f aca="false">$B38*C$45+$C38*C$46+$D38*C$47+$E38*C$48+$F38*C$49+$G38*C$50</f>
        <v>464038.825153672</v>
      </c>
      <c r="D22" s="22" t="n">
        <f aca="false">$B38*D$45+$C38*D$46+$D38*D$47+$E38*D$48+$F38*D$49+$G38*D$50</f>
        <v>1750000000</v>
      </c>
      <c r="E22" s="22" t="n">
        <f aca="false">$B38*E$45+$C38*E$46+$D38*E$47+$E38*E$48+$F38*E$49+$G38*E$50</f>
        <v>464038.825153672</v>
      </c>
      <c r="F22" s="22" t="n">
        <f aca="false">$B38*F$45+$C38*F$46+$D38*F$47+$E38*F$48+$F38*F$49+$G38*F$50</f>
        <v>-464038.825153672</v>
      </c>
      <c r="G22" s="22" t="n">
        <f aca="false">-1*$B38*G$45+$C38*G$46+$D38*G$47+$E38*G$48+$F38*G$49+$G38*G$50</f>
        <v>875000000</v>
      </c>
      <c r="I22" s="23" t="n">
        <f aca="false">B56*I28+C56*I29+D56*I30+E56*I31+F56*I32+G56*I33</f>
        <v>1.63286239886314E-009</v>
      </c>
      <c r="L22" s="11" t="n">
        <v>1</v>
      </c>
      <c r="M22" s="12" t="n">
        <f aca="false">(M5+BA6+AK22)</f>
        <v>262664.0625</v>
      </c>
      <c r="N22" s="12" t="n">
        <f aca="false">(N5+BB6+AL22)</f>
        <v>262335.9375</v>
      </c>
      <c r="O22" s="12" t="n">
        <f aca="false">O5+BC6+AM22</f>
        <v>-464038.825153672</v>
      </c>
      <c r="P22" s="12" t="n">
        <f aca="false">P5+BD6+AN22</f>
        <v>-262664.0625</v>
      </c>
      <c r="Q22" s="12" t="n">
        <f aca="false">Q5+BE6+AO22</f>
        <v>-262335.9375</v>
      </c>
      <c r="R22" s="12" t="n">
        <f aca="false">R5+BF6+AP22</f>
        <v>-464038.825153672</v>
      </c>
      <c r="T22" s="7" t="n">
        <v>0</v>
      </c>
      <c r="V22" s="13" t="n">
        <f aca="false">S5</f>
        <v>-14142.135623731</v>
      </c>
      <c r="W22" s="1" t="s">
        <v>41</v>
      </c>
      <c r="X22" s="36" t="n">
        <f aca="false" t="array" ref="X22:X23">T22:T23</f>
        <v>0</v>
      </c>
      <c r="Y22" s="7"/>
      <c r="Z22" s="7" t="n">
        <f aca="false" t="array" ref="Z22:Z27">MMULT(M22:R27,X22:X27)-V22:V27</f>
        <v>28284.2712474619</v>
      </c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</row>
    <row r="23" customFormat="false" ht="12" hidden="false" customHeight="false" outlineLevel="0" collapsed="false">
      <c r="B23" s="22" t="n">
        <f aca="false">$B39*B$45+$C39*B$46+$D39*B$47+$E39*B$48+$F39*B$49+$G39*B$50</f>
        <v>-262664.0625</v>
      </c>
      <c r="C23" s="22" t="n">
        <f aca="false">$B39*C$45+$C39*C$46+$D39*C$47+$E39*C$48+$F39*C$49+$G39*C$50</f>
        <v>-262335.9375</v>
      </c>
      <c r="D23" s="22" t="n">
        <f aca="false">$B39*D$45+$C39*D$46+$D39*D$47+$E39*D$48+$F39*D$49+$G39*D$50</f>
        <v>464038.825153672</v>
      </c>
      <c r="E23" s="22" t="n">
        <f aca="false">$B39*E$45+$C39*E$46+$D39*E$47+$E39*E$48+$F39*E$49+$G39*E$50</f>
        <v>262664.0625</v>
      </c>
      <c r="F23" s="22" t="n">
        <f aca="false">$B39*F$45+$C39*F$46+$D39*F$47+$E39*F$48+$F39*F$49+$G39*F$50</f>
        <v>262335.9375</v>
      </c>
      <c r="G23" s="22" t="n">
        <f aca="false">$B39*G$45+$C39*G$46+$D39*G$47+$E39*G$48+$F39*G$49+$G39*G$50</f>
        <v>464038.825153672</v>
      </c>
      <c r="I23" s="23" t="n">
        <f aca="false">B57*I28+C57*I29+D57*I30+E57*I31+F57*I32+G57*I33</f>
        <v>-14142.135623731</v>
      </c>
      <c r="L23" s="11" t="n">
        <v>2</v>
      </c>
      <c r="M23" s="12" t="n">
        <f aca="false">(M6+BA7+AK23)</f>
        <v>262335.9375</v>
      </c>
      <c r="N23" s="12" t="n">
        <f aca="false">(N6+BB7+AL23)</f>
        <v>262664.0625</v>
      </c>
      <c r="O23" s="12" t="n">
        <f aca="false">O6+BC7+AM23</f>
        <v>464038.825153672</v>
      </c>
      <c r="P23" s="12" t="n">
        <f aca="false">P6+BD7+AN23</f>
        <v>-262335.9375</v>
      </c>
      <c r="Q23" s="12" t="n">
        <f aca="false">Q6+BE7+AO23</f>
        <v>-262664.0625</v>
      </c>
      <c r="R23" s="12" t="n">
        <f aca="false">R6+BF7+AP23</f>
        <v>464038.825153672</v>
      </c>
      <c r="T23" s="7" t="n">
        <v>0</v>
      </c>
      <c r="V23" s="13" t="n">
        <f aca="false">S6</f>
        <v>-14142.135623731</v>
      </c>
      <c r="W23" s="1" t="s">
        <v>43</v>
      </c>
      <c r="X23" s="36" t="n">
        <v>0</v>
      </c>
      <c r="Y23" s="37"/>
      <c r="Z23" s="20" t="n">
        <v>28284.2712474619</v>
      </c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</row>
    <row r="24" customFormat="false" ht="12" hidden="false" customHeight="false" outlineLevel="0" collapsed="false">
      <c r="B24" s="22" t="n">
        <f aca="false">$B40*B$45+$C40*B$46+$D40*B$47+$E40*B$48+$F40*B$49+$G40*B$50</f>
        <v>-262335.9375</v>
      </c>
      <c r="C24" s="22" t="n">
        <f aca="false">$B40*C$45+$C40*C$46+$D40*C$47+$E40*C$48+$F40*C$49+$G40*C$50</f>
        <v>-262664.0625</v>
      </c>
      <c r="D24" s="22" t="n">
        <f aca="false">$B40*D$45+$C40*D$46+$D40*D$47+$E40*D$48+$F40*D$49+$G40*D$50</f>
        <v>-464038.825153672</v>
      </c>
      <c r="E24" s="22" t="n">
        <f aca="false">$B40*E$45+$C40*E$46+$D40*E$47+$E40*E$48+$F40*E$49+$G40*E$50</f>
        <v>262335.9375</v>
      </c>
      <c r="F24" s="22" t="n">
        <f aca="false">$B40*F$45+$C40*F$46+$D40*F$47+$E40*F$48+$F40*F$49+$G40*F$50</f>
        <v>262664.0625</v>
      </c>
      <c r="G24" s="22" t="n">
        <f aca="false">$B40*G$45+$C40*G$46+$D40*G$47+$E40*G$48+$F40*G$49+$G40*G$50</f>
        <v>-464038.825153672</v>
      </c>
      <c r="I24" s="23" t="n">
        <f aca="false">B58*I28+C58*I29+D58*I30+E58*I31+F58*I32+G58*I33</f>
        <v>-14142.135623731</v>
      </c>
      <c r="L24" s="11" t="n">
        <v>3</v>
      </c>
      <c r="M24" s="12" t="n">
        <f aca="false">M7+BA8+AK24</f>
        <v>-464038.825153672</v>
      </c>
      <c r="N24" s="12" t="n">
        <f aca="false">N7+BB8+AL24</f>
        <v>464038.825153672</v>
      </c>
      <c r="O24" s="12" t="n">
        <f aca="false">O7+BC8+AM24</f>
        <v>1750000000</v>
      </c>
      <c r="P24" s="12" t="n">
        <f aca="false">P7+BD8+AN24</f>
        <v>464038.825153672</v>
      </c>
      <c r="Q24" s="12" t="n">
        <f aca="false">Q7+BE8+AO24</f>
        <v>-464038.825153672</v>
      </c>
      <c r="R24" s="12" t="n">
        <f aca="false">R7+BF8+AP24</f>
        <v>875000000</v>
      </c>
      <c r="T24" s="7" t="s">
        <v>44</v>
      </c>
      <c r="V24" s="13" t="n">
        <f aca="false">S7</f>
        <v>1.63286239886314E-009</v>
      </c>
      <c r="X24" s="36" t="n">
        <f aca="false">U59</f>
        <v>1.24408563722906E-018</v>
      </c>
      <c r="Y24" s="37"/>
      <c r="Z24" s="20" t="n">
        <v>0</v>
      </c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</row>
    <row r="25" customFormat="false" ht="12" hidden="false" customHeight="false" outlineLevel="0" collapsed="false">
      <c r="B25" s="22" t="n">
        <f aca="false">$B41*B$45+$C41*B$46+$D41*B$47+$E41*B$48+$F41*B$49+$G41*B$50</f>
        <v>-464038.825153672</v>
      </c>
      <c r="C25" s="22" t="n">
        <f aca="false">$B41*C$45+$C41*C$46+$D41*C$47+$E41*C$48+$F41*C$49+$G41*C$50</f>
        <v>464038.825153672</v>
      </c>
      <c r="D25" s="22" t="n">
        <f aca="false">$B41*D$45+$C41*D$46+$D41*D$47+$E41*D$48+$F41*D$49+$G41*D$50</f>
        <v>875000000</v>
      </c>
      <c r="E25" s="22" t="n">
        <f aca="false">$B41*E$45+$C41*E$46+$D41*E$47+$E41*E$48+$F41*E$49+$G41*E$50</f>
        <v>464038.825153672</v>
      </c>
      <c r="F25" s="22" t="n">
        <f aca="false">$B41*F$45+$C41*F$46+$D41*F$47+$E41*F$48+$F41*F$49+$G41*F$50</f>
        <v>-464038.825153672</v>
      </c>
      <c r="G25" s="22" t="n">
        <f aca="false">$B41*G$45+$C41*G$46+$D41*G$47+$E41*G$48+$F41*G$49+$G41*G$50</f>
        <v>1750000000</v>
      </c>
      <c r="I25" s="23" t="n">
        <f aca="false">B59*I28+C59*I29+D59*I30+E59*I31+F59*I32+G59*I33</f>
        <v>-1.63286239886314E-009</v>
      </c>
      <c r="K25" s="2"/>
      <c r="L25" s="11" t="n">
        <v>4</v>
      </c>
      <c r="M25" s="12" t="n">
        <f aca="false">M8+BA9+AK25</f>
        <v>-262664.0625</v>
      </c>
      <c r="N25" s="12" t="n">
        <f aca="false">N8+BB9+AL25</f>
        <v>-262335.9375</v>
      </c>
      <c r="O25" s="12" t="n">
        <f aca="false">O8+BC9+AM25</f>
        <v>464038.825153672</v>
      </c>
      <c r="P25" s="39" t="n">
        <f aca="false">(P8+BD9+AN25)</f>
        <v>262664.0625</v>
      </c>
      <c r="Q25" s="39" t="n">
        <f aca="false">(Q8+BE9+AO25)</f>
        <v>262335.9375</v>
      </c>
      <c r="R25" s="39" t="n">
        <f aca="false">R8+BF9+AP25</f>
        <v>464038.825153672</v>
      </c>
      <c r="T25" s="7" t="s">
        <v>102</v>
      </c>
      <c r="V25" s="13" t="n">
        <f aca="false">S8</f>
        <v>-14142.135623731</v>
      </c>
      <c r="W25" s="1" t="s">
        <v>113</v>
      </c>
      <c r="X25" s="36" t="n">
        <f aca="false">U66</f>
        <v>-0.026937401188059</v>
      </c>
      <c r="Y25" s="37"/>
      <c r="Z25" s="20" t="n">
        <v>0</v>
      </c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</row>
    <row r="26" customFormat="false" ht="12" hidden="false" customHeight="false" outlineLevel="0" collapsed="false">
      <c r="I26" s="13"/>
      <c r="L26" s="11" t="n">
        <v>5</v>
      </c>
      <c r="M26" s="12" t="n">
        <f aca="false">M9+BA10+AK26</f>
        <v>-262335.9375</v>
      </c>
      <c r="N26" s="12" t="n">
        <f aca="false">N9+BB10+AL26</f>
        <v>-262664.0625</v>
      </c>
      <c r="O26" s="12" t="n">
        <f aca="false">O9+BC10+AM26</f>
        <v>-464038.825153672</v>
      </c>
      <c r="P26" s="39" t="n">
        <f aca="false">(P9+BD10+AN26)</f>
        <v>262335.9375</v>
      </c>
      <c r="Q26" s="39" t="n">
        <f aca="false">(Q9+BE10+AO26)</f>
        <v>262664.0625</v>
      </c>
      <c r="R26" s="39" t="n">
        <f aca="false">R9+BF10+AP26</f>
        <v>-464038.825153672</v>
      </c>
      <c r="T26" s="7" t="n">
        <v>0</v>
      </c>
      <c r="V26" s="13" t="n">
        <f aca="false">S9</f>
        <v>-14142.135623731</v>
      </c>
      <c r="W26" s="1" t="s">
        <v>114</v>
      </c>
      <c r="X26" s="36" t="n">
        <f aca="false">U67</f>
        <v>-0.026937401188059</v>
      </c>
      <c r="Y26" s="34"/>
      <c r="Z26" s="34" t="n">
        <v>0</v>
      </c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Y26" s="2"/>
    </row>
    <row r="27" customFormat="false" ht="12" hidden="false" customHeight="false" outlineLevel="0" collapsed="false">
      <c r="B27" s="2" t="s">
        <v>33</v>
      </c>
      <c r="I27" s="27" t="s">
        <v>34</v>
      </c>
      <c r="L27" s="11" t="n">
        <v>6</v>
      </c>
      <c r="M27" s="12" t="n">
        <f aca="false">M10+BA11+AK27</f>
        <v>-464038.825153672</v>
      </c>
      <c r="N27" s="12" t="n">
        <f aca="false">N10+BB11+AL27</f>
        <v>464038.825153672</v>
      </c>
      <c r="O27" s="12" t="n">
        <f aca="false">O10+BC11+AM27</f>
        <v>875000000</v>
      </c>
      <c r="P27" s="39" t="n">
        <f aca="false">P10+BD11+AN27</f>
        <v>464038.825153672</v>
      </c>
      <c r="Q27" s="39" t="n">
        <f aca="false">Q10+BE11+AO27</f>
        <v>-464038.825153672</v>
      </c>
      <c r="R27" s="39" t="n">
        <f aca="false">R10+BF11+AP27</f>
        <v>1750000000</v>
      </c>
      <c r="T27" s="7" t="s">
        <v>115</v>
      </c>
      <c r="V27" s="13" t="n">
        <f aca="false">S10</f>
        <v>-1.63286239886314E-009</v>
      </c>
      <c r="X27" s="40" t="n">
        <f aca="false">U61</f>
        <v>-6.22042818614529E-019</v>
      </c>
      <c r="Y27" s="37"/>
      <c r="Z27" s="20" t="n">
        <v>1.63286239886314E-009</v>
      </c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Y27" s="2"/>
    </row>
    <row r="28" customFormat="false" ht="12" hidden="false" customHeight="false" outlineLevel="0" collapsed="false">
      <c r="B28" s="28" t="n">
        <f aca="false">$E$10/E6</f>
        <v>525000</v>
      </c>
      <c r="C28" s="29" t="n">
        <v>0</v>
      </c>
      <c r="D28" s="29" t="n">
        <v>0</v>
      </c>
      <c r="E28" s="28" t="n">
        <f aca="false">-$E$10/E6</f>
        <v>-525000</v>
      </c>
      <c r="F28" s="29" t="n">
        <v>0</v>
      </c>
      <c r="G28" s="29" t="n">
        <v>0</v>
      </c>
      <c r="I28" s="28" t="n">
        <f aca="false">-E6/2*E15*I38</f>
        <v>-20000</v>
      </c>
      <c r="T28" s="7"/>
      <c r="V28" s="13"/>
      <c r="X28" s="36"/>
      <c r="Y28" s="37"/>
      <c r="Z28" s="20"/>
      <c r="AJ28" s="7"/>
      <c r="AK28" s="7"/>
      <c r="AL28" s="7"/>
      <c r="AM28" s="7"/>
      <c r="AN28" s="7"/>
      <c r="AO28" s="7"/>
      <c r="AP28" s="7"/>
      <c r="AQ28" s="17"/>
      <c r="AR28" s="17"/>
      <c r="AS28" s="17"/>
      <c r="AT28" s="17"/>
      <c r="AU28" s="17"/>
      <c r="AV28" s="17"/>
      <c r="AW28" s="7"/>
      <c r="AX28" s="13"/>
      <c r="AY28" s="32"/>
    </row>
    <row r="29" customFormat="false" ht="12" hidden="false" customHeight="false" outlineLevel="0" collapsed="false">
      <c r="B29" s="29" t="n">
        <v>0</v>
      </c>
      <c r="C29" s="28" t="n">
        <f aca="false">(12*$E$11)/$E$6^3</f>
        <v>328.125</v>
      </c>
      <c r="D29" s="28" t="n">
        <f aca="false">(6*$E$11)/$E$6^2</f>
        <v>656250</v>
      </c>
      <c r="E29" s="29" t="n">
        <v>0</v>
      </c>
      <c r="F29" s="28" t="n">
        <f aca="false">-(12*$E$11)/$E$6^3</f>
        <v>-328.125</v>
      </c>
      <c r="G29" s="28" t="n">
        <f aca="false">(6*$E$11)/$E$6^2</f>
        <v>656250</v>
      </c>
      <c r="I29" s="28" t="n">
        <f aca="false">-E6/2*E15*I39</f>
        <v>2.44929359829471E-012</v>
      </c>
      <c r="L29" s="2" t="s">
        <v>116</v>
      </c>
      <c r="T29" s="7"/>
      <c r="V29" s="10" t="s">
        <v>117</v>
      </c>
      <c r="X29" s="36"/>
      <c r="Y29" s="41"/>
      <c r="Z29" s="7"/>
      <c r="AJ29" s="7"/>
      <c r="AK29" s="7"/>
      <c r="AL29" s="7"/>
      <c r="AM29" s="7"/>
      <c r="AN29" s="7"/>
      <c r="AO29" s="7"/>
      <c r="AP29" s="7"/>
      <c r="AQ29" s="17"/>
      <c r="AR29" s="17"/>
      <c r="AS29" s="17"/>
      <c r="AT29" s="17"/>
      <c r="AU29" s="17"/>
      <c r="AV29" s="17"/>
      <c r="AW29" s="7"/>
      <c r="AX29" s="13"/>
      <c r="AY29" s="33"/>
    </row>
    <row r="30" customFormat="false" ht="12" hidden="false" customHeight="false" outlineLevel="0" collapsed="false">
      <c r="B30" s="29" t="n">
        <v>0</v>
      </c>
      <c r="C30" s="28" t="n">
        <f aca="false">(6*$E$11)/$E$6^2</f>
        <v>656250</v>
      </c>
      <c r="D30" s="28" t="n">
        <f aca="false">4*$E$11/$E$6</f>
        <v>1750000000</v>
      </c>
      <c r="E30" s="29" t="n">
        <v>0</v>
      </c>
      <c r="F30" s="28" t="n">
        <f aca="false">-(6*$E$11)/$E$6^2</f>
        <v>-656250</v>
      </c>
      <c r="G30" s="28" t="n">
        <f aca="false">2*$E$11/$E$6</f>
        <v>875000000</v>
      </c>
      <c r="I30" s="28" t="n">
        <f aca="false">-1*(E15*E6^2)/12*I39</f>
        <v>1.63286239886314E-009</v>
      </c>
      <c r="L30" s="10"/>
      <c r="M30" s="11" t="n">
        <v>1</v>
      </c>
      <c r="N30" s="11" t="n">
        <v>2</v>
      </c>
      <c r="O30" s="11" t="n">
        <v>3</v>
      </c>
      <c r="P30" s="11" t="n">
        <v>4</v>
      </c>
      <c r="Q30" s="11" t="n">
        <v>5</v>
      </c>
      <c r="R30" s="11" t="n">
        <v>6</v>
      </c>
      <c r="T30" s="7"/>
      <c r="V30" s="10" t="s">
        <v>10</v>
      </c>
      <c r="X30" s="36"/>
      <c r="Y30" s="37"/>
      <c r="Z30" s="20"/>
      <c r="AA30" s="7"/>
      <c r="AJ30" s="7"/>
      <c r="AK30" s="7"/>
      <c r="AL30" s="7"/>
      <c r="AM30" s="7"/>
      <c r="AN30" s="7"/>
      <c r="AO30" s="7"/>
      <c r="AP30" s="7"/>
      <c r="AQ30" s="17"/>
      <c r="AR30" s="17"/>
      <c r="AS30" s="17"/>
      <c r="AT30" s="17"/>
      <c r="AU30" s="17"/>
      <c r="AV30" s="17"/>
      <c r="AW30" s="7"/>
      <c r="AX30" s="13"/>
      <c r="AY30" s="32"/>
    </row>
    <row r="31" customFormat="false" ht="12" hidden="false" customHeight="false" outlineLevel="0" collapsed="false">
      <c r="B31" s="28" t="n">
        <f aca="false">-$E$10/E6</f>
        <v>-525000</v>
      </c>
      <c r="C31" s="29" t="n">
        <v>0</v>
      </c>
      <c r="D31" s="29" t="n">
        <v>0</v>
      </c>
      <c r="E31" s="28" t="n">
        <f aca="false">$E$10/E6</f>
        <v>525000</v>
      </c>
      <c r="F31" s="29" t="n">
        <v>0</v>
      </c>
      <c r="G31" s="29" t="n">
        <v>0</v>
      </c>
      <c r="I31" s="28" t="n">
        <f aca="false">-E6/2*E15*I38</f>
        <v>-20000</v>
      </c>
      <c r="L31" s="11" t="n">
        <v>1</v>
      </c>
      <c r="M31" s="12" t="n">
        <f aca="false" t="array" ref="M31:R36">MMULT(M22:R27,T13:Y18)</f>
        <v>262664.0625</v>
      </c>
      <c r="N31" s="12" t="n">
        <v>262335.9375</v>
      </c>
      <c r="O31" s="12" t="n">
        <v>-464038.825153672</v>
      </c>
      <c r="P31" s="12" t="n">
        <v>-371231.060122938</v>
      </c>
      <c r="Q31" s="12" t="n">
        <v>232.019412576832</v>
      </c>
      <c r="R31" s="12" t="n">
        <v>-464038.825153672</v>
      </c>
      <c r="T31" s="7"/>
      <c r="V31" s="13" t="n">
        <f aca="false" t="array" ref="V31:V36">MMULT(M13:R18,V22:V27)</f>
        <v>-14142.135623731</v>
      </c>
      <c r="X31" s="36"/>
      <c r="Y31" s="41"/>
      <c r="Z31" s="7"/>
      <c r="AJ31" s="7"/>
      <c r="AK31" s="7"/>
      <c r="AL31" s="7"/>
      <c r="AM31" s="7"/>
      <c r="AN31" s="7"/>
      <c r="AO31" s="7"/>
      <c r="AP31" s="7"/>
      <c r="AQ31" s="17"/>
      <c r="AR31" s="17"/>
      <c r="AS31" s="17"/>
      <c r="AT31" s="17"/>
      <c r="AU31" s="17"/>
      <c r="AV31" s="17"/>
      <c r="AW31" s="7"/>
      <c r="AX31" s="13"/>
      <c r="AY31" s="32"/>
    </row>
    <row r="32" customFormat="false" ht="12" hidden="false" customHeight="false" outlineLevel="0" collapsed="false">
      <c r="B32" s="29" t="n">
        <v>0</v>
      </c>
      <c r="C32" s="28" t="n">
        <f aca="false">-(12*$E$11)/$E$6^3</f>
        <v>-328.125</v>
      </c>
      <c r="D32" s="28" t="n">
        <f aca="false">-(6*$E$11)/$E$6^2</f>
        <v>-656250</v>
      </c>
      <c r="E32" s="29" t="n">
        <v>0</v>
      </c>
      <c r="F32" s="28" t="n">
        <f aca="false">(12*$E$11)/$E$6^3</f>
        <v>328.125</v>
      </c>
      <c r="G32" s="28" t="n">
        <f aca="false">-(6*$E$11)/$E$6^2</f>
        <v>-656250</v>
      </c>
      <c r="I32" s="28" t="n">
        <f aca="false">-E6/2*E15*I39</f>
        <v>2.44929359829471E-012</v>
      </c>
      <c r="L32" s="11" t="n">
        <v>2</v>
      </c>
      <c r="M32" s="12" t="n">
        <v>262335.9375</v>
      </c>
      <c r="N32" s="12" t="n">
        <v>262664.0625</v>
      </c>
      <c r="O32" s="12" t="n">
        <v>464038.825153672</v>
      </c>
      <c r="P32" s="12" t="n">
        <v>-371231.060122938</v>
      </c>
      <c r="Q32" s="12" t="n">
        <v>-232.019412576832</v>
      </c>
      <c r="R32" s="12" t="n">
        <v>464038.825153672</v>
      </c>
      <c r="V32" s="13" t="n">
        <v>-14142.135623731</v>
      </c>
      <c r="AJ32" s="7"/>
      <c r="AK32" s="7"/>
      <c r="AL32" s="7"/>
      <c r="AM32" s="7"/>
      <c r="AN32" s="7"/>
      <c r="AO32" s="7"/>
      <c r="AP32" s="7"/>
      <c r="AQ32" s="17"/>
      <c r="AR32" s="17"/>
      <c r="AS32" s="17"/>
      <c r="AT32" s="17"/>
      <c r="AU32" s="17"/>
      <c r="AV32" s="17"/>
      <c r="AW32" s="7"/>
      <c r="AX32" s="13"/>
      <c r="AY32" s="33"/>
    </row>
    <row r="33" customFormat="false" ht="12" hidden="false" customHeight="false" outlineLevel="0" collapsed="false">
      <c r="B33" s="29" t="n">
        <v>0</v>
      </c>
      <c r="C33" s="28" t="n">
        <f aca="false">(6*$E$11)/$E$6^2</f>
        <v>656250</v>
      </c>
      <c r="D33" s="28" t="n">
        <f aca="false">2*$E$11/$E$6</f>
        <v>875000000</v>
      </c>
      <c r="E33" s="29" t="n">
        <v>0</v>
      </c>
      <c r="F33" s="28" t="n">
        <f aca="false">-(6*$E$11)/$E$6^2</f>
        <v>-656250</v>
      </c>
      <c r="G33" s="28" t="n">
        <f aca="false">4*$E$11/$E$6</f>
        <v>1750000000</v>
      </c>
      <c r="I33" s="28" t="n">
        <f aca="false">1*(E15*E6^2)/12*I39</f>
        <v>-1.63286239886314E-009</v>
      </c>
      <c r="L33" s="11" t="n">
        <v>3</v>
      </c>
      <c r="M33" s="12" t="n">
        <v>-464038.825153672</v>
      </c>
      <c r="N33" s="12" t="n">
        <v>464038.825153672</v>
      </c>
      <c r="O33" s="12" t="n">
        <v>1750000000</v>
      </c>
      <c r="P33" s="12" t="n">
        <v>0</v>
      </c>
      <c r="Q33" s="12" t="n">
        <v>-656250</v>
      </c>
      <c r="R33" s="12" t="n">
        <v>875000000</v>
      </c>
      <c r="V33" s="13" t="n">
        <v>1.63286239886314E-009</v>
      </c>
      <c r="AJ33" s="7"/>
      <c r="AK33" s="7"/>
      <c r="AL33" s="7"/>
      <c r="AM33" s="7"/>
      <c r="AN33" s="7"/>
      <c r="AO33" s="7"/>
      <c r="AP33" s="7"/>
      <c r="AQ33" s="17"/>
      <c r="AR33" s="17"/>
      <c r="AS33" s="17"/>
      <c r="AT33" s="17"/>
      <c r="AU33" s="17"/>
      <c r="AV33" s="17"/>
      <c r="AW33" s="7"/>
      <c r="AX33" s="13"/>
      <c r="AY33" s="32"/>
    </row>
    <row r="34" customFormat="false" ht="12" hidden="false" customHeight="false" outlineLevel="0" collapsed="false">
      <c r="L34" s="11" t="n">
        <v>4</v>
      </c>
      <c r="M34" s="12" t="n">
        <v>-262664.0625</v>
      </c>
      <c r="N34" s="12" t="n">
        <v>-262335.9375</v>
      </c>
      <c r="O34" s="12" t="n">
        <v>464038.825153672</v>
      </c>
      <c r="P34" s="12" t="n">
        <v>371231.060122938</v>
      </c>
      <c r="Q34" s="12" t="n">
        <v>-232.019412576832</v>
      </c>
      <c r="R34" s="12" t="n">
        <v>464038.825153672</v>
      </c>
      <c r="V34" s="13" t="n">
        <v>-20000</v>
      </c>
      <c r="AB34" s="20"/>
      <c r="AD34" s="36"/>
      <c r="AE34" s="41"/>
      <c r="AF34" s="41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</row>
    <row r="35" customFormat="false" ht="12" hidden="false" customHeight="false" outlineLevel="0" collapsed="false">
      <c r="B35" s="2" t="s">
        <v>35</v>
      </c>
      <c r="I35" s="1" t="s">
        <v>118</v>
      </c>
      <c r="L35" s="11" t="n">
        <v>5</v>
      </c>
      <c r="M35" s="12" t="n">
        <v>-262335.9375</v>
      </c>
      <c r="N35" s="12" t="n">
        <v>-262664.0625</v>
      </c>
      <c r="O35" s="12" t="n">
        <v>-464038.825153672</v>
      </c>
      <c r="P35" s="12" t="n">
        <v>371231.060122938</v>
      </c>
      <c r="Q35" s="12" t="n">
        <v>232.019412576832</v>
      </c>
      <c r="R35" s="12" t="n">
        <v>-464038.825153672</v>
      </c>
      <c r="V35" s="13" t="n">
        <v>0</v>
      </c>
      <c r="AB35" s="20"/>
      <c r="AD35" s="36"/>
      <c r="AE35" s="34"/>
      <c r="AF35" s="34"/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</row>
    <row r="36" customFormat="false" ht="12" hidden="false" customHeight="false" outlineLevel="0" collapsed="false">
      <c r="B36" s="28" t="n">
        <f aca="false">$B54*B28+$C54*B29+$D54*B30+$E54*B31+$F54*B32+$G54*B33</f>
        <v>371231.060122938</v>
      </c>
      <c r="C36" s="28" t="n">
        <f aca="false">$B54*C28+$C54*C29+$D54*C30+$E54*C31+$F54*C32+$G54*C33</f>
        <v>-232.019412576836</v>
      </c>
      <c r="D36" s="28" t="n">
        <f aca="false">$B54*D28+$C54*D29+$D54*D30+$E54*D31+$F54*D32+$G54*D33</f>
        <v>-464038.825153672</v>
      </c>
      <c r="E36" s="28" t="n">
        <f aca="false">$B54*E28+$C54*E29+$D54*E30+$E54*E31+$F54*E32+$G54*E33</f>
        <v>-371231.060122938</v>
      </c>
      <c r="F36" s="28" t="n">
        <f aca="false">$B54*F28+$C54*F29+$D54*F30+$E54*F31+$F54*F32+$G54*F33</f>
        <v>232.019412576836</v>
      </c>
      <c r="G36" s="28" t="n">
        <f aca="false">$B54*G28+$C54*G29+$D54*G30+$E54*G31+$F54*G32+$G54*G33</f>
        <v>-464038.825153672</v>
      </c>
      <c r="I36" s="1" t="s">
        <v>119</v>
      </c>
      <c r="L36" s="11" t="n">
        <v>6</v>
      </c>
      <c r="M36" s="12" t="n">
        <v>-464038.825153672</v>
      </c>
      <c r="N36" s="12" t="n">
        <v>464038.825153672</v>
      </c>
      <c r="O36" s="12" t="n">
        <v>875000000</v>
      </c>
      <c r="P36" s="12" t="n">
        <v>0</v>
      </c>
      <c r="Q36" s="12" t="n">
        <v>-656250</v>
      </c>
      <c r="R36" s="12" t="n">
        <v>1750000000</v>
      </c>
      <c r="V36" s="13" t="n">
        <v>-1.63286239886314E-009</v>
      </c>
      <c r="Y36" s="1" t="n">
        <f aca="false" t="array" ref="Y36:AA41">MMULT(P22:R27,T13:V15)</f>
        <v>-262664.0625</v>
      </c>
      <c r="Z36" s="1" t="n">
        <v>-262335.9375</v>
      </c>
      <c r="AA36" s="1" t="n">
        <v>-464038.825153672</v>
      </c>
      <c r="AB36" s="20"/>
      <c r="AD36" s="7"/>
    </row>
    <row r="37" customFormat="false" ht="12" hidden="false" customHeight="false" outlineLevel="0" collapsed="false">
      <c r="B37" s="28" t="n">
        <f aca="false">$B55*B28+$C55*B29+$D55*B30+$E55*B31+$F55*B32+$G55*B33</f>
        <v>371231.060122938</v>
      </c>
      <c r="C37" s="28" t="n">
        <f aca="false">$B55*C28+$C55*C29+$D55*C30+$E55*C31+$F55*C32+$G55*C33</f>
        <v>232.019412576836</v>
      </c>
      <c r="D37" s="28" t="n">
        <f aca="false">$B55*D28+$C55*D29+$D55*D30+$E55*D31+$F55*D32+$G55*D33</f>
        <v>464038.825153672</v>
      </c>
      <c r="E37" s="28" t="n">
        <f aca="false">$B55*E28+$C55*E29+$D55*E30+$E55*E31+$F55*E32+$G55*E33</f>
        <v>-371231.060122938</v>
      </c>
      <c r="F37" s="28" t="n">
        <f aca="false">$B55*F28+$C55*F29+$D55*F30+$E55*F31+$F55*F32+$G55*F33</f>
        <v>-232.019412576836</v>
      </c>
      <c r="G37" s="28" t="n">
        <f aca="false">$B55*G28+$C55*G29+$D55*G30+$E55*G31+$F55*G32+$G55*G33</f>
        <v>464038.825153672</v>
      </c>
      <c r="I37" s="64" t="n">
        <v>180</v>
      </c>
      <c r="L37" s="2" t="s">
        <v>120</v>
      </c>
      <c r="Y37" s="1" t="n">
        <v>-262335.9375</v>
      </c>
      <c r="Z37" s="1" t="n">
        <v>-262664.0625</v>
      </c>
      <c r="AA37" s="1" t="n">
        <v>464038.825153672</v>
      </c>
      <c r="AB37" s="20"/>
      <c r="AC37" s="7"/>
      <c r="AD37" s="20"/>
      <c r="AE37" s="46"/>
      <c r="AF37" s="46"/>
    </row>
    <row r="38" customFormat="false" ht="12" hidden="false" customHeight="false" outlineLevel="0" collapsed="false">
      <c r="B38" s="28" t="n">
        <f aca="false">$B56*B28+$C56*B29+$D56*B30+$E56*B31+$F56*B32+$G56*B33</f>
        <v>0</v>
      </c>
      <c r="C38" s="28" t="n">
        <f aca="false">$B56*C28+$C56*C29+$D56*C30+$E56*C31+$F56*C32+$G56*C33</f>
        <v>656250</v>
      </c>
      <c r="D38" s="28" t="n">
        <f aca="false">$B56*D28+$C56*D29+$D56*D30+$E56*D31+$F56*D32+$G56*D33</f>
        <v>1750000000</v>
      </c>
      <c r="E38" s="28" t="n">
        <f aca="false">$B56*E28+$C56*E29+$D56*E30+$E56*E31+$F56*E32+$G56*E33</f>
        <v>0</v>
      </c>
      <c r="F38" s="28" t="n">
        <f aca="false">$B56*F28+$C56*F29+$D56*F30+$E56*F31+$F56*F32+$G56*F33</f>
        <v>-656250</v>
      </c>
      <c r="G38" s="28" t="n">
        <f aca="false">$B56*G28+$C56*G29+$D56*G30+$E56*G31+$F56*G32+$G56*G33</f>
        <v>875000000</v>
      </c>
      <c r="I38" s="9" t="n">
        <f aca="false">-COS(RADIANS(I37))</f>
        <v>1</v>
      </c>
      <c r="L38" s="10"/>
      <c r="M38" s="11" t="n">
        <v>1</v>
      </c>
      <c r="N38" s="11" t="n">
        <v>2</v>
      </c>
      <c r="O38" s="11" t="n">
        <v>3</v>
      </c>
      <c r="P38" s="11" t="n">
        <v>4</v>
      </c>
      <c r="Q38" s="11" t="n">
        <v>5</v>
      </c>
      <c r="R38" s="11" t="n">
        <v>6</v>
      </c>
      <c r="Y38" s="1" t="n">
        <v>464038.825153672</v>
      </c>
      <c r="Z38" s="1" t="n">
        <v>-464038.825153672</v>
      </c>
      <c r="AA38" s="1" t="n">
        <v>875000000</v>
      </c>
      <c r="AD38" s="20"/>
    </row>
    <row r="39" customFormat="false" ht="12" hidden="false" customHeight="false" outlineLevel="0" collapsed="false">
      <c r="B39" s="28" t="n">
        <f aca="false">$B57*B$28+$C57*B$29+$D57*B$30+$E57*B$31+$F57*B$32+$G57*B$33</f>
        <v>-371231.060122938</v>
      </c>
      <c r="C39" s="28" t="n">
        <f aca="false">$B57*C$28+$C57*C$29+$D57*C$30+$E57*C$31+$F57*C$32+$G57*C$33</f>
        <v>232.019412576836</v>
      </c>
      <c r="D39" s="28" t="n">
        <f aca="false">$B57*D$28+$C57*D$29+$D57*D$30+$E57*D$31+$F57*D$32+$G57*D$33</f>
        <v>464038.825153672</v>
      </c>
      <c r="E39" s="28" t="n">
        <f aca="false">$B57*E$28+$C57*E$29+$D57*E$30+$E57*E$31+$F57*E$32+$G57*E$33</f>
        <v>371231.060122938</v>
      </c>
      <c r="F39" s="28" t="n">
        <f aca="false">$B57*F$28+$C57*F$29+$D57*F$30+$E57*F$31+$F57*F$32+$G57*F$33</f>
        <v>-232.019412576836</v>
      </c>
      <c r="G39" s="28" t="n">
        <f aca="false">$B57*G$28+$C57*G$29+$D57*G$30+$E57*G$31+$F57*G$32+$G57*G$33</f>
        <v>464038.825153672</v>
      </c>
      <c r="I39" s="9" t="n">
        <f aca="false">-SIN(RADIANS(I37))</f>
        <v>-1.22464679914735E-016</v>
      </c>
      <c r="L39" s="11" t="n">
        <v>1</v>
      </c>
      <c r="M39" s="12" t="n">
        <f aca="false" t="array" ref="M39:R44">MMULT(M13:R18,M31:R36)</f>
        <v>262664.0625</v>
      </c>
      <c r="N39" s="12" t="n">
        <v>262335.9375</v>
      </c>
      <c r="O39" s="12" t="n">
        <v>-464038.825153672</v>
      </c>
      <c r="P39" s="12" t="n">
        <v>-371231.060122938</v>
      </c>
      <c r="Q39" s="12" t="n">
        <v>232.019412576832</v>
      </c>
      <c r="R39" s="12" t="n">
        <v>-464038.825153672</v>
      </c>
      <c r="T39" s="1" t="n">
        <v>0</v>
      </c>
      <c r="V39" s="69" t="n">
        <f aca="false" t="array" ref="V39:V44">MMULT(M39:R44,T39:T44)-V31:V36</f>
        <v>28284.2712474619</v>
      </c>
      <c r="Y39" s="1" t="n">
        <v>262664.0625</v>
      </c>
      <c r="Z39" s="1" t="n">
        <v>262335.9375</v>
      </c>
      <c r="AA39" s="1" t="n">
        <v>464038.825153672</v>
      </c>
      <c r="AD39" s="20"/>
    </row>
    <row r="40" customFormat="false" ht="12" hidden="false" customHeight="false" outlineLevel="0" collapsed="false">
      <c r="B40" s="28" t="n">
        <f aca="false">$B58*B$28+$C58*B$29+$D58*B$30+$E58*B$31+$F58*B$32+$G58*B$33</f>
        <v>-371231.060122938</v>
      </c>
      <c r="C40" s="28" t="n">
        <f aca="false">$B58*C$28+$C58*C$29+$D58*C$30+$E58*C$31+$F58*C$32+$G58*C$33</f>
        <v>-232.019412576836</v>
      </c>
      <c r="D40" s="28" t="n">
        <f aca="false">$B58*D$28+$C58*D$29+$D58*D$30+$E58*D$31+$F58*D$32+$G58*D$33</f>
        <v>-464038.825153672</v>
      </c>
      <c r="E40" s="28" t="n">
        <f aca="false">$B58*E$28+$C58*E$29+$D58*E$30+$E58*E$31+$F58*E$32+$G58*E$33</f>
        <v>371231.060122938</v>
      </c>
      <c r="F40" s="28" t="n">
        <f aca="false">$B58*F$28+$C58*F$29+$D58*F$30+$E58*F$31+$F58*F$32+$G58*F$33</f>
        <v>232.019412576836</v>
      </c>
      <c r="G40" s="28" t="n">
        <f aca="false">$B58*G$28+$C58*G$29+$D58*G$30+$E58*G$31+$F58*G$32+$G58*G$33</f>
        <v>-464038.825153672</v>
      </c>
      <c r="L40" s="11" t="n">
        <v>2</v>
      </c>
      <c r="M40" s="12" t="n">
        <v>262335.9375</v>
      </c>
      <c r="N40" s="12" t="n">
        <v>262664.0625</v>
      </c>
      <c r="O40" s="12" t="n">
        <v>464038.825153672</v>
      </c>
      <c r="P40" s="12" t="n">
        <v>-371231.060122938</v>
      </c>
      <c r="Q40" s="12" t="n">
        <v>-232.019412576832</v>
      </c>
      <c r="R40" s="12" t="n">
        <v>464038.825153672</v>
      </c>
      <c r="T40" s="1" t="n">
        <v>0</v>
      </c>
      <c r="V40" s="69" t="n">
        <v>28284.2712474619</v>
      </c>
      <c r="Y40" s="1" t="n">
        <v>262335.9375</v>
      </c>
      <c r="Z40" s="1" t="n">
        <v>262664.0625</v>
      </c>
      <c r="AA40" s="1" t="n">
        <v>-464038.825153672</v>
      </c>
      <c r="AC40" s="7"/>
      <c r="AD40" s="20"/>
      <c r="AE40" s="7"/>
      <c r="AF40" s="7"/>
    </row>
    <row r="41" customFormat="false" ht="12" hidden="false" customHeight="false" outlineLevel="0" collapsed="false">
      <c r="B41" s="28" t="n">
        <f aca="false">$B59*B$28+$C59*B$29+$D59*B$30+$E59*B$31+$F59*B$32+$G59*B$33</f>
        <v>0</v>
      </c>
      <c r="C41" s="28" t="n">
        <f aca="false">$B59*C$28+$C59*C$29+$D59*C$30+$E59*C$31+$F59*C$32+$G59*C$33</f>
        <v>656250</v>
      </c>
      <c r="D41" s="28" t="n">
        <f aca="false">$B59*D$28+$C59*D$29+$D59*D$30+$E59*D$31+$F59*D$32+$G59*D$33</f>
        <v>875000000</v>
      </c>
      <c r="E41" s="28" t="n">
        <f aca="false">$B59*E$28+$C59*E$29+$D59*E$30+$E59*E$31+$F59*E$32+$G59*E$33</f>
        <v>0</v>
      </c>
      <c r="F41" s="28" t="n">
        <f aca="false">$B59*F$28+$C59*F$29+$D59*F$30+$E59*F$31+$F59*F$32+$G59*F$33</f>
        <v>-656250</v>
      </c>
      <c r="G41" s="28" t="n">
        <f aca="false">$B59*G$28+$C59*G$29+$D59*G$30+$E59*G$31+$F59*G$32+$G59*G$33</f>
        <v>1750000000</v>
      </c>
      <c r="L41" s="11" t="n">
        <v>3</v>
      </c>
      <c r="M41" s="12" t="n">
        <v>-464038.825153672</v>
      </c>
      <c r="N41" s="12" t="n">
        <v>464038.825153672</v>
      </c>
      <c r="O41" s="12" t="n">
        <v>1750000000</v>
      </c>
      <c r="P41" s="12" t="n">
        <v>0</v>
      </c>
      <c r="Q41" s="12" t="n">
        <v>-656250</v>
      </c>
      <c r="R41" s="12" t="n">
        <v>875000000</v>
      </c>
      <c r="T41" s="36" t="n">
        <f aca="false">U59</f>
        <v>1.24408563722906E-018</v>
      </c>
      <c r="V41" s="69" t="n">
        <v>0</v>
      </c>
      <c r="Y41" s="1" t="n">
        <v>464038.825153672</v>
      </c>
      <c r="Z41" s="1" t="n">
        <v>-464038.825153672</v>
      </c>
      <c r="AA41" s="1" t="n">
        <v>1750000000</v>
      </c>
      <c r="AD41" s="20"/>
    </row>
    <row r="42" customFormat="false" ht="12" hidden="false" customHeight="false" outlineLevel="0" collapsed="false">
      <c r="L42" s="11" t="n">
        <v>4</v>
      </c>
      <c r="M42" s="12" t="n">
        <v>-371231.060122938</v>
      </c>
      <c r="N42" s="12" t="n">
        <v>-371231.060122938</v>
      </c>
      <c r="O42" s="12" t="n">
        <v>0</v>
      </c>
      <c r="P42" s="12" t="n">
        <v>525000</v>
      </c>
      <c r="Q42" s="12" t="n">
        <v>0</v>
      </c>
      <c r="R42" s="12" t="n">
        <v>0</v>
      </c>
      <c r="T42" s="36" t="n">
        <f aca="false">U60</f>
        <v>-0.0380952380952381</v>
      </c>
      <c r="V42" s="69" t="n">
        <v>0</v>
      </c>
      <c r="AD42" s="20"/>
    </row>
    <row r="43" customFormat="false" ht="12" hidden="false" customHeight="false" outlineLevel="0" collapsed="false">
      <c r="H43" s="35"/>
      <c r="L43" s="11" t="n">
        <v>5</v>
      </c>
      <c r="M43" s="12" t="n">
        <v>232.019412576832</v>
      </c>
      <c r="N43" s="12" t="n">
        <v>-232.019412576832</v>
      </c>
      <c r="O43" s="12" t="n">
        <v>-656250</v>
      </c>
      <c r="P43" s="12" t="n">
        <v>0</v>
      </c>
      <c r="Q43" s="12" t="n">
        <v>328.124999999995</v>
      </c>
      <c r="R43" s="12" t="n">
        <v>-656250</v>
      </c>
      <c r="T43" s="1" t="n">
        <v>0</v>
      </c>
      <c r="V43" s="69" t="n">
        <v>-4.08215599715785E-013</v>
      </c>
      <c r="Y43" s="1" t="n">
        <f aca="false" t="array" ref="Y43:AD45">MMULT(M13:O15,M34:R36)</f>
        <v>-262664.0625</v>
      </c>
      <c r="Z43" s="1" t="n">
        <v>-262335.9375</v>
      </c>
      <c r="AA43" s="1" t="n">
        <v>464038.825153672</v>
      </c>
      <c r="AB43" s="1" t="n">
        <v>371231.060122938</v>
      </c>
      <c r="AC43" s="1" t="n">
        <v>-232.019412576832</v>
      </c>
      <c r="AD43" s="1" t="n">
        <v>464038.825153672</v>
      </c>
    </row>
    <row r="44" customFormat="false" ht="12" hidden="false" customHeight="false" outlineLevel="0" collapsed="false">
      <c r="B44" s="2" t="s">
        <v>42</v>
      </c>
      <c r="L44" s="11" t="n">
        <v>6</v>
      </c>
      <c r="M44" s="12" t="n">
        <v>-464038.825153672</v>
      </c>
      <c r="N44" s="12" t="n">
        <v>464038.825153672</v>
      </c>
      <c r="O44" s="12" t="n">
        <v>875000000</v>
      </c>
      <c r="P44" s="12" t="n">
        <v>0</v>
      </c>
      <c r="Q44" s="12" t="n">
        <v>-656250</v>
      </c>
      <c r="R44" s="12" t="n">
        <v>1750000000</v>
      </c>
      <c r="T44" s="36" t="n">
        <f aca="false">U61</f>
        <v>-6.22042818614529E-019</v>
      </c>
      <c r="V44" s="69" t="n">
        <v>1.63286239886314E-009</v>
      </c>
      <c r="Y44" s="1" t="n">
        <v>-262335.9375</v>
      </c>
      <c r="Z44" s="1" t="n">
        <v>-262664.0625</v>
      </c>
      <c r="AA44" s="1" t="n">
        <v>-464038.825153672</v>
      </c>
      <c r="AB44" s="1" t="n">
        <v>371231.060122938</v>
      </c>
      <c r="AC44" s="1" t="n">
        <v>232.019412576832</v>
      </c>
      <c r="AD44" s="1" t="n">
        <v>-464038.825153672</v>
      </c>
    </row>
    <row r="45" customFormat="false" ht="12" hidden="false" customHeight="false" outlineLevel="0" collapsed="false">
      <c r="B45" s="38" t="n">
        <f aca="false">$C$5</f>
        <v>0.707106781186548</v>
      </c>
      <c r="C45" s="38" t="n">
        <f aca="false">$E$5</f>
        <v>0.707106781186548</v>
      </c>
      <c r="D45" s="38" t="n">
        <v>0</v>
      </c>
      <c r="E45" s="38" t="n">
        <v>0</v>
      </c>
      <c r="F45" s="38" t="n">
        <v>0</v>
      </c>
      <c r="G45" s="38" t="n">
        <v>0</v>
      </c>
      <c r="Y45" s="1" t="n">
        <v>-464038.825153672</v>
      </c>
      <c r="Z45" s="1" t="n">
        <v>464038.825153672</v>
      </c>
      <c r="AA45" s="1" t="n">
        <v>875000000</v>
      </c>
      <c r="AB45" s="1" t="n">
        <v>0</v>
      </c>
      <c r="AC45" s="1" t="n">
        <v>-656250</v>
      </c>
      <c r="AD45" s="1" t="n">
        <v>1750000000</v>
      </c>
      <c r="AE45" s="56"/>
      <c r="AF45" s="56"/>
    </row>
    <row r="46" customFormat="false" ht="12" hidden="false" customHeight="false" outlineLevel="0" collapsed="false">
      <c r="B46" s="38" t="n">
        <f aca="false">-$E$5</f>
        <v>-0.707106781186548</v>
      </c>
      <c r="C46" s="38" t="n">
        <f aca="false">$C$5</f>
        <v>0.707106781186548</v>
      </c>
      <c r="D46" s="38" t="n">
        <v>0</v>
      </c>
      <c r="E46" s="38" t="n">
        <v>0</v>
      </c>
      <c r="F46" s="38" t="n">
        <v>0</v>
      </c>
      <c r="G46" s="38" t="n">
        <v>0</v>
      </c>
      <c r="L46" s="2" t="s">
        <v>55</v>
      </c>
      <c r="CE46" s="2"/>
    </row>
    <row r="47" customFormat="false" ht="12" hidden="false" customHeight="false" outlineLevel="0" collapsed="false">
      <c r="B47" s="38" t="n">
        <v>0</v>
      </c>
      <c r="C47" s="38" t="n">
        <v>0</v>
      </c>
      <c r="D47" s="38" t="n">
        <v>1</v>
      </c>
      <c r="E47" s="38" t="n">
        <v>0</v>
      </c>
      <c r="F47" s="38" t="n">
        <v>0</v>
      </c>
      <c r="G47" s="38" t="n">
        <v>0</v>
      </c>
      <c r="L47" s="10"/>
      <c r="M47" s="10" t="n">
        <v>3</v>
      </c>
      <c r="N47" s="10" t="n">
        <v>4</v>
      </c>
      <c r="O47" s="10" t="n">
        <v>6</v>
      </c>
      <c r="R47" s="7" t="s">
        <v>37</v>
      </c>
      <c r="S47" s="10" t="s">
        <v>38</v>
      </c>
      <c r="T47" s="7" t="s">
        <v>39</v>
      </c>
      <c r="U47" s="47" t="s">
        <v>10</v>
      </c>
      <c r="BS47" s="13"/>
      <c r="CE47" s="2"/>
    </row>
    <row r="48" customFormat="false" ht="12" hidden="false" customHeight="false" outlineLevel="0" collapsed="false">
      <c r="B48" s="38" t="n">
        <v>0</v>
      </c>
      <c r="C48" s="38" t="n">
        <v>0</v>
      </c>
      <c r="D48" s="38" t="n">
        <v>0</v>
      </c>
      <c r="E48" s="38" t="n">
        <f aca="false">$C$5</f>
        <v>0.707106781186548</v>
      </c>
      <c r="F48" s="38" t="n">
        <f aca="false">$E$5</f>
        <v>0.707106781186548</v>
      </c>
      <c r="G48" s="38" t="n">
        <v>0</v>
      </c>
      <c r="L48" s="10" t="n">
        <v>3</v>
      </c>
      <c r="M48" s="13" t="n">
        <f aca="false" t="array" ref="M48:N49">O41:P42</f>
        <v>1750000000</v>
      </c>
      <c r="N48" s="13" t="n">
        <v>0</v>
      </c>
      <c r="O48" s="13" t="n">
        <f aca="false" t="array" ref="O48:O49">R41:R42</f>
        <v>875000000</v>
      </c>
      <c r="P48" s="13"/>
      <c r="Q48" s="13"/>
      <c r="R48" s="13"/>
      <c r="S48" s="21" t="str">
        <f aca="false">T24</f>
        <v>r13</v>
      </c>
      <c r="U48" s="50" t="n">
        <f aca="false" t="array" ref="U48:U49">V33:V34</f>
        <v>1.63286239886314E-009</v>
      </c>
    </row>
    <row r="49" customFormat="false" ht="12" hidden="false" customHeight="false" outlineLevel="0" collapsed="false">
      <c r="B49" s="38" t="n">
        <v>0</v>
      </c>
      <c r="C49" s="38" t="n">
        <v>0</v>
      </c>
      <c r="D49" s="38" t="n">
        <v>0</v>
      </c>
      <c r="E49" s="38" t="n">
        <f aca="false">-$E$5</f>
        <v>-0.707106781186548</v>
      </c>
      <c r="F49" s="38" t="n">
        <f aca="false">$C$5</f>
        <v>0.707106781186548</v>
      </c>
      <c r="G49" s="38" t="n">
        <v>0</v>
      </c>
      <c r="L49" s="10" t="n">
        <v>4</v>
      </c>
      <c r="M49" s="13" t="n">
        <v>0</v>
      </c>
      <c r="N49" s="13" t="n">
        <v>525000</v>
      </c>
      <c r="O49" s="1" t="n">
        <v>0</v>
      </c>
      <c r="P49" s="13"/>
      <c r="Q49" s="13"/>
      <c r="R49" s="13"/>
      <c r="S49" s="21" t="str">
        <f aca="false">T25</f>
        <v>r14</v>
      </c>
      <c r="U49" s="51" t="n">
        <v>-20000</v>
      </c>
      <c r="AH49" s="2"/>
      <c r="AI49" s="2"/>
      <c r="CW49" s="2"/>
    </row>
    <row r="50" customFormat="false" ht="12" hidden="false" customHeight="false" outlineLevel="0" collapsed="false">
      <c r="B50" s="38" t="n">
        <v>0</v>
      </c>
      <c r="C50" s="38" t="n">
        <v>0</v>
      </c>
      <c r="D50" s="38" t="n">
        <v>0</v>
      </c>
      <c r="E50" s="38" t="n">
        <v>0</v>
      </c>
      <c r="F50" s="38" t="n">
        <v>0</v>
      </c>
      <c r="G50" s="38" t="n">
        <f aca="false">D47</f>
        <v>1</v>
      </c>
      <c r="L50" s="10" t="n">
        <v>6</v>
      </c>
      <c r="M50" s="13" t="n">
        <f aca="false" t="array" ref="M50:N50">O44:P44</f>
        <v>875000000</v>
      </c>
      <c r="N50" s="13" t="n">
        <v>0</v>
      </c>
      <c r="O50" s="13" t="n">
        <f aca="false">R44</f>
        <v>1750000000</v>
      </c>
      <c r="P50" s="13"/>
      <c r="S50" s="21" t="str">
        <f aca="false">T27</f>
        <v>r16</v>
      </c>
      <c r="U50" s="13" t="n">
        <f aca="false">V35</f>
        <v>0</v>
      </c>
      <c r="AH50" s="2"/>
      <c r="AI50" s="2"/>
      <c r="BK50" s="2"/>
      <c r="CW50" s="2"/>
    </row>
    <row r="51" customFormat="false" ht="12" hidden="false" customHeight="false" outlineLevel="0" collapsed="false">
      <c r="E51" s="7"/>
      <c r="F51" s="7"/>
      <c r="Q51" s="13"/>
      <c r="R51" s="13"/>
      <c r="U51" s="50"/>
      <c r="AA51" s="7"/>
      <c r="AH51" s="32"/>
      <c r="AI51" s="32"/>
      <c r="BK51" s="42"/>
      <c r="BL51" s="42"/>
      <c r="BM51" s="42"/>
      <c r="BN51" s="42"/>
      <c r="BO51" s="42"/>
      <c r="BP51" s="42"/>
      <c r="BR51" s="7"/>
      <c r="BT51" s="7"/>
      <c r="BV51" s="7"/>
      <c r="BY51" s="7"/>
    </row>
    <row r="52" customFormat="false" ht="12" hidden="false" customHeight="false" outlineLevel="0" collapsed="false">
      <c r="L52" s="7"/>
      <c r="M52" s="13"/>
      <c r="Q52" s="13"/>
      <c r="V52" s="7"/>
      <c r="X52" s="13"/>
      <c r="AA52" s="7"/>
      <c r="AD52" s="7"/>
      <c r="AH52" s="33"/>
      <c r="AI52" s="33"/>
      <c r="BE52" s="17"/>
      <c r="BK52" s="42"/>
      <c r="BL52" s="42"/>
      <c r="BM52" s="42"/>
      <c r="BN52" s="42"/>
      <c r="BO52" s="42"/>
      <c r="BP52" s="42"/>
      <c r="BR52" s="7"/>
      <c r="BT52" s="7"/>
      <c r="BV52" s="7"/>
      <c r="BY52" s="7"/>
    </row>
    <row r="53" customFormat="false" ht="12" hidden="false" customHeight="false" outlineLevel="0" collapsed="false">
      <c r="B53" s="2" t="s">
        <v>52</v>
      </c>
      <c r="I53" s="13"/>
      <c r="L53" s="7"/>
      <c r="V53" s="7"/>
      <c r="AB53" s="20"/>
      <c r="AD53" s="20"/>
      <c r="AH53" s="32"/>
      <c r="AI53" s="32"/>
      <c r="BE53" s="17"/>
      <c r="BK53" s="42"/>
      <c r="BL53" s="42"/>
      <c r="BM53" s="42"/>
      <c r="BN53" s="42"/>
      <c r="BO53" s="42"/>
      <c r="BP53" s="42"/>
      <c r="BQ53" s="7"/>
      <c r="BR53" s="7"/>
      <c r="BS53" s="7"/>
      <c r="BT53" s="7"/>
      <c r="BU53" s="7"/>
      <c r="BV53" s="7"/>
      <c r="BW53" s="7"/>
      <c r="BX53" s="7"/>
      <c r="BY53" s="7"/>
    </row>
    <row r="54" customFormat="false" ht="12" hidden="false" customHeight="true" outlineLevel="0" collapsed="false">
      <c r="B54" s="38" t="n">
        <f aca="false">$C$5</f>
        <v>0.707106781186548</v>
      </c>
      <c r="C54" s="38" t="n">
        <f aca="false">-$E$5</f>
        <v>-0.707106781186548</v>
      </c>
      <c r="D54" s="38" t="n">
        <v>0</v>
      </c>
      <c r="E54" s="38" t="n">
        <v>0</v>
      </c>
      <c r="F54" s="38" t="n">
        <v>0</v>
      </c>
      <c r="G54" s="38" t="n">
        <v>0</v>
      </c>
      <c r="L54" s="7"/>
      <c r="V54" s="7"/>
      <c r="AB54" s="20"/>
      <c r="AD54" s="20"/>
      <c r="AH54" s="32"/>
      <c r="AI54" s="32"/>
      <c r="BE54" s="17"/>
      <c r="BK54" s="42"/>
      <c r="BL54" s="42"/>
      <c r="BM54" s="42"/>
      <c r="BN54" s="42"/>
      <c r="BO54" s="42"/>
      <c r="BP54" s="42"/>
      <c r="BR54" s="45"/>
      <c r="BT54" s="7"/>
      <c r="BV54" s="7"/>
      <c r="BY54" s="7"/>
    </row>
    <row r="55" customFormat="false" ht="12" hidden="false" customHeight="false" outlineLevel="0" collapsed="false">
      <c r="B55" s="38" t="n">
        <f aca="false">$E$5</f>
        <v>0.707106781186548</v>
      </c>
      <c r="C55" s="38" t="n">
        <f aca="false">$C$5</f>
        <v>0.707106781186548</v>
      </c>
      <c r="D55" s="38" t="n">
        <v>0</v>
      </c>
      <c r="E55" s="38" t="n">
        <v>0</v>
      </c>
      <c r="F55" s="38" t="n">
        <v>0</v>
      </c>
      <c r="G55" s="38" t="n">
        <v>0</v>
      </c>
      <c r="L55" s="7"/>
      <c r="V55" s="7"/>
      <c r="AB55" s="20"/>
      <c r="AD55" s="20"/>
      <c r="AH55" s="33"/>
      <c r="AI55" s="33"/>
      <c r="BE55" s="17"/>
      <c r="BK55" s="42"/>
      <c r="BL55" s="42"/>
      <c r="BM55" s="42"/>
      <c r="BN55" s="42"/>
      <c r="BO55" s="42"/>
      <c r="BP55" s="42"/>
      <c r="BR55" s="45"/>
      <c r="BT55" s="7"/>
      <c r="BV55" s="7"/>
      <c r="BY55" s="7"/>
    </row>
    <row r="56" customFormat="false" ht="12" hidden="false" customHeight="false" outlineLevel="0" collapsed="false">
      <c r="B56" s="38" t="n">
        <v>0</v>
      </c>
      <c r="C56" s="38" t="n">
        <v>0</v>
      </c>
      <c r="D56" s="38" t="n">
        <f aca="false">D47</f>
        <v>1</v>
      </c>
      <c r="E56" s="38" t="n">
        <v>0</v>
      </c>
      <c r="F56" s="38" t="n">
        <v>0</v>
      </c>
      <c r="G56" s="38" t="n">
        <v>0</v>
      </c>
      <c r="AB56" s="60"/>
      <c r="AD56" s="7"/>
      <c r="AH56" s="32"/>
      <c r="AI56" s="32"/>
      <c r="BE56" s="17"/>
      <c r="BK56" s="42"/>
      <c r="BL56" s="42"/>
      <c r="BM56" s="42"/>
      <c r="BN56" s="42"/>
      <c r="BO56" s="42"/>
      <c r="BP56" s="42"/>
      <c r="BR56" s="45"/>
      <c r="BT56" s="7"/>
      <c r="BV56" s="7"/>
      <c r="BY56" s="7"/>
    </row>
    <row r="57" customFormat="false" ht="12" hidden="false" customHeight="false" outlineLevel="0" collapsed="false">
      <c r="B57" s="38" t="n">
        <v>0</v>
      </c>
      <c r="C57" s="38" t="n">
        <v>0</v>
      </c>
      <c r="D57" s="38" t="n">
        <v>0</v>
      </c>
      <c r="E57" s="38" t="n">
        <f aca="false">$C$5</f>
        <v>0.707106781186548</v>
      </c>
      <c r="F57" s="38" t="n">
        <f aca="false">-$E$5</f>
        <v>-0.707106781186548</v>
      </c>
      <c r="G57" s="38" t="n">
        <v>0</v>
      </c>
      <c r="U57" s="10" t="s">
        <v>117</v>
      </c>
      <c r="AB57" s="7"/>
      <c r="AD57" s="7"/>
      <c r="BE57" s="17"/>
    </row>
    <row r="58" customFormat="false" ht="12" hidden="false" customHeight="false" outlineLevel="0" collapsed="false">
      <c r="B58" s="38" t="n">
        <v>0</v>
      </c>
      <c r="C58" s="38" t="n">
        <v>0</v>
      </c>
      <c r="D58" s="38" t="n">
        <v>0</v>
      </c>
      <c r="E58" s="38" t="n">
        <f aca="false">$E$5</f>
        <v>0.707106781186548</v>
      </c>
      <c r="F58" s="38" t="n">
        <f aca="false">$C$5</f>
        <v>0.707106781186548</v>
      </c>
      <c r="G58" s="38" t="n">
        <v>0</v>
      </c>
      <c r="L58" s="10"/>
      <c r="M58" s="10" t="n">
        <v>3</v>
      </c>
      <c r="N58" s="10" t="n">
        <v>4</v>
      </c>
      <c r="O58" s="10" t="n">
        <v>5</v>
      </c>
      <c r="P58" s="10" t="n">
        <v>6</v>
      </c>
      <c r="R58" s="7" t="s">
        <v>37</v>
      </c>
      <c r="S58" s="47" t="s">
        <v>10</v>
      </c>
      <c r="T58" s="7" t="s">
        <v>39</v>
      </c>
      <c r="U58" s="10" t="s">
        <v>38</v>
      </c>
      <c r="AB58" s="60"/>
      <c r="AC58" s="7"/>
      <c r="AD58" s="7"/>
      <c r="AE58" s="46"/>
      <c r="AF58" s="46"/>
      <c r="BE58" s="20"/>
      <c r="BK58" s="2"/>
    </row>
    <row r="59" customFormat="false" ht="12" hidden="false" customHeight="false" outlineLevel="0" collapsed="false">
      <c r="B59" s="38" t="n">
        <v>0</v>
      </c>
      <c r="C59" s="38" t="n">
        <v>0</v>
      </c>
      <c r="D59" s="38" t="n">
        <v>0</v>
      </c>
      <c r="E59" s="38" t="n">
        <v>0</v>
      </c>
      <c r="F59" s="38" t="n">
        <v>0</v>
      </c>
      <c r="G59" s="38" t="n">
        <f aca="false">D47</f>
        <v>1</v>
      </c>
      <c r="L59" s="10" t="n">
        <v>3</v>
      </c>
      <c r="M59" s="1" t="n">
        <f aca="false" t="array" ref="M59:O61">MINVERSE(M48:O50)</f>
        <v>7.61904761904762E-010</v>
      </c>
      <c r="N59" s="1" t="n">
        <v>0</v>
      </c>
      <c r="O59" s="1" t="n">
        <v>-3.80952380952381E-010</v>
      </c>
      <c r="S59" s="13" t="n">
        <f aca="false" t="array" ref="S59:S61">U48:U50</f>
        <v>1.63286239886314E-009</v>
      </c>
      <c r="U59" s="36" t="n">
        <f aca="false" t="array" ref="U59:U61">MMULT(M59:O61,S59:S61)</f>
        <v>1.24408563722906E-018</v>
      </c>
      <c r="V59" s="1" t="s">
        <v>78</v>
      </c>
      <c r="W59" s="1" t="n">
        <f aca="false">1000*U59</f>
        <v>1.24408563722906E-015</v>
      </c>
      <c r="X59" s="1" t="s">
        <v>79</v>
      </c>
      <c r="AB59" s="60"/>
      <c r="AC59" s="7"/>
      <c r="AD59" s="7"/>
      <c r="AE59" s="46"/>
      <c r="AF59" s="46"/>
      <c r="BE59" s="20"/>
      <c r="BK59" s="21"/>
      <c r="BL59" s="7"/>
      <c r="BM59" s="7"/>
      <c r="BN59" s="7"/>
      <c r="BO59" s="7"/>
      <c r="BP59" s="7"/>
      <c r="BR59" s="7"/>
      <c r="BT59" s="42"/>
      <c r="BV59" s="7"/>
      <c r="BY59" s="48"/>
      <c r="CA59" s="49"/>
    </row>
    <row r="60" customFormat="false" ht="12" hidden="false" customHeight="false" outlineLevel="0" collapsed="false">
      <c r="L60" s="10" t="n">
        <v>4</v>
      </c>
      <c r="M60" s="1" t="n">
        <v>0</v>
      </c>
      <c r="N60" s="13" t="n">
        <v>1.9047619047619E-006</v>
      </c>
      <c r="O60" s="1" t="n">
        <v>0</v>
      </c>
      <c r="P60" s="13"/>
      <c r="S60" s="1" t="n">
        <v>-20000</v>
      </c>
      <c r="U60" s="36" t="n">
        <v>-0.0380952380952381</v>
      </c>
      <c r="V60" s="1" t="s">
        <v>12</v>
      </c>
      <c r="W60" s="1" t="s">
        <v>121</v>
      </c>
      <c r="AB60" s="7"/>
      <c r="AD60" s="20"/>
      <c r="BE60" s="20"/>
      <c r="BK60" s="21"/>
      <c r="BL60" s="7"/>
      <c r="BM60" s="7"/>
      <c r="BN60" s="7"/>
      <c r="BO60" s="7"/>
      <c r="BP60" s="7"/>
      <c r="BR60" s="7"/>
      <c r="BT60" s="42"/>
      <c r="BV60" s="7"/>
      <c r="BY60" s="48"/>
      <c r="CA60" s="49"/>
    </row>
    <row r="61" customFormat="false" ht="12" hidden="false" customHeight="false" outlineLevel="0" collapsed="false">
      <c r="L61" s="10" t="n">
        <v>5</v>
      </c>
      <c r="M61" s="1" t="n">
        <v>-3.80952380952381E-010</v>
      </c>
      <c r="N61" s="13" t="n">
        <v>0</v>
      </c>
      <c r="O61" s="1" t="n">
        <v>7.61904761904762E-010</v>
      </c>
      <c r="P61" s="13"/>
      <c r="S61" s="1" t="n">
        <v>0</v>
      </c>
      <c r="U61" s="36" t="n">
        <v>-6.22042818614529E-019</v>
      </c>
      <c r="V61" s="1" t="s">
        <v>78</v>
      </c>
      <c r="W61" s="1" t="n">
        <f aca="false">1000*U61</f>
        <v>-6.22042818614529E-016</v>
      </c>
      <c r="X61" s="1" t="s">
        <v>79</v>
      </c>
      <c r="AB61" s="7"/>
      <c r="AD61" s="20"/>
      <c r="BE61" s="20"/>
      <c r="BF61" s="7"/>
      <c r="BK61" s="21"/>
      <c r="BL61" s="7"/>
      <c r="BM61" s="7"/>
      <c r="BN61" s="7"/>
      <c r="BO61" s="7"/>
      <c r="BP61" s="7"/>
      <c r="BQ61" s="7"/>
      <c r="BR61" s="7"/>
      <c r="BS61" s="7"/>
      <c r="BT61" s="42"/>
      <c r="BU61" s="7"/>
      <c r="BV61" s="7"/>
      <c r="BW61" s="7"/>
      <c r="BX61" s="7"/>
      <c r="BY61" s="48"/>
      <c r="BZ61" s="7"/>
      <c r="CA61" s="49"/>
      <c r="CE61" s="52"/>
    </row>
    <row r="62" customFormat="false" ht="12" hidden="false" customHeight="false" outlineLevel="0" collapsed="false">
      <c r="L62" s="10" t="n">
        <v>6</v>
      </c>
      <c r="U62" s="36"/>
      <c r="AB62" s="20"/>
      <c r="AD62" s="20"/>
      <c r="BE62" s="20"/>
      <c r="BK62" s="21"/>
      <c r="BL62" s="7"/>
      <c r="BM62" s="7"/>
      <c r="BN62" s="7"/>
      <c r="BO62" s="7"/>
      <c r="BP62" s="7"/>
      <c r="BR62" s="7"/>
      <c r="BT62" s="42"/>
      <c r="BV62" s="7"/>
      <c r="BY62" s="48"/>
      <c r="CA62" s="49"/>
    </row>
    <row r="63" customFormat="false" ht="12" hidden="false" customHeight="false" outlineLevel="0" collapsed="false">
      <c r="V63" s="13"/>
      <c r="X63" s="36"/>
      <c r="AB63" s="20"/>
      <c r="AD63" s="20"/>
      <c r="BE63" s="20"/>
      <c r="BK63" s="21"/>
      <c r="BL63" s="7"/>
      <c r="BM63" s="7"/>
      <c r="BN63" s="7"/>
      <c r="BO63" s="7"/>
      <c r="BP63" s="7"/>
      <c r="BR63" s="7"/>
      <c r="BT63" s="42"/>
      <c r="BV63" s="7"/>
      <c r="BY63" s="48"/>
      <c r="CA63" s="49"/>
    </row>
    <row r="64" customFormat="false" ht="12" hidden="false" customHeight="false" outlineLevel="0" collapsed="false">
      <c r="Q64" s="13"/>
      <c r="U64" s="10" t="s">
        <v>122</v>
      </c>
      <c r="X64" s="36"/>
      <c r="AB64" s="7"/>
      <c r="AD64" s="7"/>
      <c r="BR64" s="54"/>
    </row>
    <row r="65" customFormat="false" ht="12" hidden="false" customHeight="false" outlineLevel="0" collapsed="false">
      <c r="U65" s="10" t="s">
        <v>38</v>
      </c>
      <c r="AB65" s="7"/>
      <c r="AD65" s="7"/>
      <c r="BR65" s="54"/>
    </row>
    <row r="66" customFormat="false" ht="12" hidden="false" customHeight="false" outlineLevel="0" collapsed="false">
      <c r="T66" s="1" t="s">
        <v>102</v>
      </c>
      <c r="U66" s="1" t="n">
        <f aca="false">COS(RADIANS(Q12))*U60</f>
        <v>-0.026937401188059</v>
      </c>
      <c r="V66" s="1" t="s">
        <v>12</v>
      </c>
      <c r="X66" s="36" t="n">
        <f aca="false">U60</f>
        <v>-0.0380952380952381</v>
      </c>
      <c r="Y66" s="1" t="n">
        <f aca="false" t="array" ref="Y66:Y67">MMULT(W16:X17,X66:X67)</f>
        <v>-0.026937401188059</v>
      </c>
      <c r="AB66" s="7"/>
      <c r="AD66" s="7"/>
      <c r="BR66" s="54"/>
    </row>
    <row r="67" customFormat="false" ht="12" hidden="false" customHeight="false" outlineLevel="0" collapsed="false">
      <c r="I67" s="9"/>
      <c r="T67" s="1" t="s">
        <v>123</v>
      </c>
      <c r="U67" s="1" t="n">
        <f aca="false">SIN(RADIANS(Q12))*U60</f>
        <v>-0.026937401188059</v>
      </c>
      <c r="V67" s="1" t="s">
        <v>12</v>
      </c>
      <c r="X67" s="1" t="n">
        <v>0</v>
      </c>
      <c r="Y67" s="1" t="n">
        <v>-0.026937401188059</v>
      </c>
      <c r="BR67" s="54"/>
    </row>
    <row r="68" customFormat="false" ht="12" hidden="false" customHeight="false" outlineLevel="0" collapsed="false">
      <c r="BR68" s="54"/>
    </row>
    <row r="69" customFormat="false" ht="12" hidden="false" customHeight="true" outlineLevel="0" collapsed="false">
      <c r="BR69" s="54"/>
    </row>
    <row r="70" customFormat="false" ht="12" hidden="false" customHeight="false" outlineLevel="0" collapsed="false">
      <c r="E70" s="15"/>
      <c r="AG70" s="2"/>
      <c r="AH70" s="2"/>
    </row>
    <row r="71" customFormat="false" ht="12" hidden="false" customHeight="false" outlineLevel="0" collapsed="false">
      <c r="AG71" s="2"/>
      <c r="AH71" s="2"/>
      <c r="AI71" s="2"/>
    </row>
    <row r="72" customFormat="false" ht="12" hidden="false" customHeight="true" outlineLevel="0" collapsed="false"/>
    <row r="73" customFormat="false" ht="15" hidden="false" customHeight="true" outlineLevel="0" collapsed="false">
      <c r="BK73" s="2"/>
    </row>
    <row r="74" customFormat="false" ht="12" hidden="false" customHeight="false" outlineLevel="0" collapsed="false">
      <c r="L74" s="1" t="s">
        <v>83</v>
      </c>
      <c r="BE74" s="20"/>
      <c r="BK74" s="42"/>
      <c r="BL74" s="42"/>
      <c r="BM74" s="42"/>
      <c r="BN74" s="42"/>
      <c r="BO74" s="42"/>
      <c r="BP74" s="42"/>
      <c r="BR74" s="45"/>
      <c r="BT74" s="7"/>
      <c r="BV74" s="58"/>
    </row>
    <row r="75" customFormat="false" ht="19.4" hidden="false" customHeight="false" outlineLevel="0" collapsed="false">
      <c r="G75" s="59"/>
      <c r="L75" s="1" t="s">
        <v>84</v>
      </c>
      <c r="V75" s="160" t="s">
        <v>85</v>
      </c>
      <c r="X75" s="160" t="s">
        <v>88</v>
      </c>
      <c r="BE75" s="20"/>
      <c r="BK75" s="42"/>
      <c r="BL75" s="42"/>
      <c r="BM75" s="42"/>
      <c r="BN75" s="42"/>
      <c r="BO75" s="42"/>
      <c r="BP75" s="42"/>
      <c r="BR75" s="45"/>
      <c r="BT75" s="7"/>
      <c r="BV75" s="58"/>
    </row>
    <row r="76" customFormat="false" ht="12" hidden="false" customHeight="false" outlineLevel="0" collapsed="false">
      <c r="L76" s="10"/>
      <c r="M76" s="10" t="n">
        <v>1</v>
      </c>
      <c r="N76" s="10" t="n">
        <v>2</v>
      </c>
      <c r="O76" s="10" t="n">
        <v>3</v>
      </c>
      <c r="P76" s="10" t="n">
        <v>4</v>
      </c>
      <c r="Q76" s="10" t="n">
        <v>5</v>
      </c>
      <c r="R76" s="10" t="n">
        <v>6</v>
      </c>
      <c r="S76" s="7" t="s">
        <v>37</v>
      </c>
      <c r="T76" s="10" t="s">
        <v>86</v>
      </c>
      <c r="U76" s="7" t="s">
        <v>87</v>
      </c>
      <c r="V76" s="160"/>
      <c r="W76" s="7" t="s">
        <v>39</v>
      </c>
      <c r="X76" s="160"/>
      <c r="BE76" s="20"/>
      <c r="BK76" s="42"/>
      <c r="BL76" s="42"/>
      <c r="BM76" s="42"/>
      <c r="BN76" s="42"/>
      <c r="BO76" s="42"/>
      <c r="BP76" s="42"/>
      <c r="BQ76" s="7"/>
      <c r="BR76" s="45"/>
      <c r="BS76" s="7"/>
      <c r="BT76" s="7"/>
      <c r="BU76" s="7"/>
      <c r="BV76" s="58"/>
    </row>
    <row r="77" customFormat="false" ht="12" hidden="false" customHeight="false" outlineLevel="0" collapsed="false">
      <c r="L77" s="10" t="n">
        <v>1</v>
      </c>
      <c r="M77" s="13" t="n">
        <f aca="false">B28</f>
        <v>525000</v>
      </c>
      <c r="N77" s="13" t="n">
        <f aca="false">C28</f>
        <v>0</v>
      </c>
      <c r="O77" s="13" t="n">
        <f aca="false">D28</f>
        <v>0</v>
      </c>
      <c r="P77" s="13" t="n">
        <f aca="false">E28</f>
        <v>-525000</v>
      </c>
      <c r="Q77" s="13" t="n">
        <f aca="false">F28</f>
        <v>0</v>
      </c>
      <c r="R77" s="13" t="n">
        <f aca="false">G28</f>
        <v>0</v>
      </c>
      <c r="T77" s="1" t="n">
        <f aca="false" t="array" ref="T77:T82">MMULT(B45:G50,X22:X27)</f>
        <v>0</v>
      </c>
      <c r="V77" s="13" t="n">
        <f aca="false">I28</f>
        <v>-20000</v>
      </c>
      <c r="X77" s="13" t="e">
        <f aca="false" t="array" ref="X77:X82">MMULT(M77:R82,_xlfn.anchorarray(T77))-V77:V82</f>
        <v>#NAME?</v>
      </c>
      <c r="BE77" s="7"/>
      <c r="BK77" s="42"/>
      <c r="BL77" s="42"/>
      <c r="BM77" s="42"/>
      <c r="BN77" s="42"/>
      <c r="BO77" s="42"/>
      <c r="BP77" s="42"/>
      <c r="BR77" s="45"/>
      <c r="BT77" s="7"/>
      <c r="BV77" s="58"/>
    </row>
    <row r="78" customFormat="false" ht="12" hidden="false" customHeight="false" outlineLevel="0" collapsed="false">
      <c r="L78" s="10" t="n">
        <v>2</v>
      </c>
      <c r="M78" s="13" t="n">
        <f aca="false">B29</f>
        <v>0</v>
      </c>
      <c r="N78" s="13" t="n">
        <f aca="false">C29</f>
        <v>328.125</v>
      </c>
      <c r="O78" s="13" t="n">
        <f aca="false">D29</f>
        <v>656250</v>
      </c>
      <c r="P78" s="13" t="n">
        <f aca="false">E29</f>
        <v>0</v>
      </c>
      <c r="Q78" s="13" t="n">
        <f aca="false">F29</f>
        <v>-328.125</v>
      </c>
      <c r="R78" s="13" t="n">
        <f aca="false">G29</f>
        <v>656250</v>
      </c>
      <c r="T78" s="1" t="n">
        <v>0</v>
      </c>
      <c r="V78" s="13" t="n">
        <f aca="false">I29</f>
        <v>2.44929359829471E-012</v>
      </c>
      <c r="X78" s="1" t="e">
        <v>#NAME?</v>
      </c>
      <c r="BE78" s="20"/>
      <c r="BK78" s="42"/>
      <c r="BL78" s="42"/>
      <c r="BM78" s="42"/>
      <c r="BN78" s="42"/>
      <c r="BO78" s="42"/>
      <c r="BP78" s="42"/>
      <c r="BR78" s="45"/>
      <c r="BT78" s="7"/>
      <c r="BV78" s="58"/>
    </row>
    <row r="79" customFormat="false" ht="12" hidden="false" customHeight="false" outlineLevel="0" collapsed="false">
      <c r="L79" s="10" t="n">
        <v>3</v>
      </c>
      <c r="M79" s="13" t="n">
        <f aca="false">B30</f>
        <v>0</v>
      </c>
      <c r="N79" s="13" t="n">
        <f aca="false">C30</f>
        <v>656250</v>
      </c>
      <c r="O79" s="13" t="n">
        <f aca="false">D30</f>
        <v>1750000000</v>
      </c>
      <c r="P79" s="13" t="n">
        <f aca="false">E30</f>
        <v>0</v>
      </c>
      <c r="Q79" s="13" t="n">
        <f aca="false">F30</f>
        <v>-656250</v>
      </c>
      <c r="R79" s="13" t="n">
        <f aca="false">G30</f>
        <v>875000000</v>
      </c>
      <c r="T79" s="1" t="n">
        <v>1.24408563722906E-018</v>
      </c>
      <c r="V79" s="13" t="n">
        <f aca="false">I30</f>
        <v>1.63286239886314E-009</v>
      </c>
      <c r="X79" s="1" t="e">
        <v>#NAME?</v>
      </c>
      <c r="BE79" s="20"/>
      <c r="BK79" s="42"/>
      <c r="BL79" s="42"/>
      <c r="BM79" s="42"/>
      <c r="BN79" s="42"/>
      <c r="BO79" s="42"/>
      <c r="BP79" s="42"/>
      <c r="BR79" s="45"/>
      <c r="BT79" s="7"/>
      <c r="BV79" s="58"/>
    </row>
    <row r="80" customFormat="false" ht="12" hidden="false" customHeight="false" outlineLevel="0" collapsed="false">
      <c r="L80" s="10" t="n">
        <v>4</v>
      </c>
      <c r="M80" s="13" t="n">
        <f aca="false">B31</f>
        <v>-525000</v>
      </c>
      <c r="N80" s="13" t="n">
        <f aca="false">C31</f>
        <v>0</v>
      </c>
      <c r="O80" s="13" t="n">
        <f aca="false">D31</f>
        <v>0</v>
      </c>
      <c r="P80" s="13" t="n">
        <f aca="false">E31</f>
        <v>525000</v>
      </c>
      <c r="Q80" s="13" t="n">
        <f aca="false">F31</f>
        <v>0</v>
      </c>
      <c r="R80" s="13" t="n">
        <f aca="false">G31</f>
        <v>0</v>
      </c>
      <c r="T80" s="1" t="n">
        <v>-0.0380952380952381</v>
      </c>
      <c r="V80" s="13" t="n">
        <f aca="false">I31</f>
        <v>-20000</v>
      </c>
      <c r="X80" s="1" t="e">
        <v>#NAME?</v>
      </c>
      <c r="BE80" s="20"/>
    </row>
    <row r="81" customFormat="false" ht="12" hidden="false" customHeight="false" outlineLevel="0" collapsed="false">
      <c r="L81" s="10" t="n">
        <v>5</v>
      </c>
      <c r="M81" s="13" t="n">
        <f aca="false">B32</f>
        <v>0</v>
      </c>
      <c r="N81" s="13" t="n">
        <f aca="false">C32</f>
        <v>-328.125</v>
      </c>
      <c r="O81" s="13" t="n">
        <f aca="false">D32</f>
        <v>-656250</v>
      </c>
      <c r="P81" s="13" t="n">
        <f aca="false">E32</f>
        <v>0</v>
      </c>
      <c r="Q81" s="13" t="n">
        <f aca="false">F32</f>
        <v>328.125</v>
      </c>
      <c r="R81" s="13" t="n">
        <f aca="false">G32</f>
        <v>-656250</v>
      </c>
      <c r="T81" s="1" t="n">
        <v>0</v>
      </c>
      <c r="V81" s="13" t="n">
        <f aca="false">I32</f>
        <v>2.44929359829471E-012</v>
      </c>
      <c r="X81" s="1" t="e">
        <v>#NAME?</v>
      </c>
      <c r="BE81" s="20"/>
      <c r="BK81" s="2"/>
    </row>
    <row r="82" customFormat="false" ht="12" hidden="false" customHeight="false" outlineLevel="0" collapsed="false">
      <c r="L82" s="10" t="n">
        <v>6</v>
      </c>
      <c r="M82" s="13" t="n">
        <f aca="false">B33</f>
        <v>0</v>
      </c>
      <c r="N82" s="13" t="n">
        <f aca="false">C33</f>
        <v>656250</v>
      </c>
      <c r="O82" s="13" t="n">
        <f aca="false">D33</f>
        <v>875000000</v>
      </c>
      <c r="P82" s="13" t="n">
        <f aca="false">E33</f>
        <v>0</v>
      </c>
      <c r="Q82" s="13" t="n">
        <f aca="false">F33</f>
        <v>-656250</v>
      </c>
      <c r="R82" s="13" t="n">
        <f aca="false">G33</f>
        <v>1750000000</v>
      </c>
      <c r="T82" s="1" t="n">
        <v>-6.22042818614529E-019</v>
      </c>
      <c r="V82" s="13" t="n">
        <f aca="false">I33</f>
        <v>-1.63286239886314E-009</v>
      </c>
      <c r="X82" s="1" t="e">
        <v>#NAME?</v>
      </c>
      <c r="BE82" s="20"/>
      <c r="BK82" s="21"/>
      <c r="BL82" s="21"/>
      <c r="BM82" s="21"/>
      <c r="BN82" s="21"/>
      <c r="BO82" s="21"/>
      <c r="BP82" s="21"/>
      <c r="BR82" s="45"/>
      <c r="BT82" s="42"/>
      <c r="BV82" s="7"/>
      <c r="BY82" s="48"/>
      <c r="CA82" s="49"/>
    </row>
    <row r="83" customFormat="false" ht="12" hidden="false" customHeight="false" outlineLevel="0" collapsed="false">
      <c r="BE83" s="20"/>
      <c r="BK83" s="21"/>
      <c r="BL83" s="21"/>
      <c r="BM83" s="21"/>
      <c r="BN83" s="21"/>
      <c r="BO83" s="21"/>
      <c r="BP83" s="21"/>
      <c r="BR83" s="45"/>
      <c r="BT83" s="21"/>
      <c r="BV83" s="7"/>
      <c r="BY83" s="48"/>
      <c r="CA83" s="49"/>
      <c r="CE83" s="52"/>
    </row>
    <row r="84" customFormat="false" ht="12" hidden="false" customHeight="true" outlineLevel="0" collapsed="false">
      <c r="BE84" s="20"/>
      <c r="BK84" s="21"/>
      <c r="BL84" s="21"/>
      <c r="BM84" s="21"/>
      <c r="BN84" s="21"/>
      <c r="BO84" s="21"/>
      <c r="BP84" s="21"/>
      <c r="BQ84" s="7"/>
      <c r="BR84" s="45"/>
      <c r="BS84" s="7"/>
      <c r="BT84" s="21"/>
      <c r="BU84" s="7"/>
      <c r="BV84" s="7"/>
      <c r="BW84" s="7"/>
      <c r="BX84" s="7"/>
      <c r="BY84" s="48"/>
      <c r="BZ84" s="7"/>
      <c r="CA84" s="49"/>
    </row>
    <row r="85" customFormat="false" ht="12" hidden="false" customHeight="false" outlineLevel="0" collapsed="false">
      <c r="BE85" s="20"/>
      <c r="BK85" s="21"/>
      <c r="BL85" s="21"/>
      <c r="BM85" s="21"/>
      <c r="BN85" s="21"/>
      <c r="BO85" s="21"/>
      <c r="BP85" s="21"/>
      <c r="BR85" s="45"/>
      <c r="BT85" s="42"/>
      <c r="BV85" s="7"/>
      <c r="BY85" s="48"/>
      <c r="CA85" s="49"/>
    </row>
    <row r="86" customFormat="false" ht="12" hidden="false" customHeight="false" outlineLevel="0" collapsed="false">
      <c r="BE86" s="20"/>
      <c r="BK86" s="21"/>
      <c r="BL86" s="21"/>
      <c r="BM86" s="21"/>
      <c r="BN86" s="21"/>
      <c r="BO86" s="21"/>
      <c r="BP86" s="21"/>
      <c r="BR86" s="45"/>
      <c r="BT86" s="21"/>
      <c r="BV86" s="7"/>
      <c r="BY86" s="48"/>
      <c r="CA86" s="49"/>
    </row>
    <row r="87" customFormat="false" ht="12" hidden="false" customHeight="false" outlineLevel="0" collapsed="false">
      <c r="BE87" s="20"/>
      <c r="BK87" s="21"/>
      <c r="BL87" s="21"/>
      <c r="BM87" s="21"/>
      <c r="BN87" s="21"/>
      <c r="BO87" s="21"/>
      <c r="BP87" s="21"/>
      <c r="BR87" s="45"/>
      <c r="BT87" s="21"/>
      <c r="BV87" s="7"/>
      <c r="BY87" s="48"/>
      <c r="CA87" s="49"/>
    </row>
    <row r="94" customFormat="false" ht="12" hidden="false" customHeight="false" outlineLevel="0" collapsed="false">
      <c r="BC94" s="56"/>
      <c r="BD94" s="56"/>
    </row>
    <row r="101" customFormat="false" ht="12" hidden="false" customHeight="false" outlineLevel="0" collapsed="false">
      <c r="BB101" s="7"/>
    </row>
    <row r="102" customFormat="false" ht="12" hidden="false" customHeight="false" outlineLevel="0" collapsed="false">
      <c r="AZ102" s="20"/>
      <c r="BB102" s="20"/>
      <c r="BE102" s="20"/>
      <c r="BK102" s="2"/>
    </row>
    <row r="103" customFormat="false" ht="12" hidden="false" customHeight="false" outlineLevel="0" collapsed="false">
      <c r="AZ103" s="20"/>
      <c r="BB103" s="20"/>
      <c r="BE103" s="20"/>
      <c r="BK103" s="42"/>
      <c r="BL103" s="42"/>
      <c r="BM103" s="42"/>
      <c r="BN103" s="42"/>
      <c r="BO103" s="42"/>
      <c r="BP103" s="42"/>
      <c r="BR103" s="7"/>
      <c r="BT103" s="7"/>
      <c r="BV103" s="7"/>
      <c r="BY103" s="7"/>
    </row>
    <row r="104" customFormat="false" ht="12" hidden="false" customHeight="false" outlineLevel="0" collapsed="false">
      <c r="W104" s="21"/>
      <c r="X104" s="7"/>
      <c r="Y104" s="7"/>
      <c r="Z104" s="7"/>
      <c r="AA104" s="7"/>
      <c r="AB104" s="7"/>
      <c r="AC104" s="7"/>
      <c r="AD104" s="7"/>
      <c r="AE104" s="7"/>
      <c r="AF104" s="7"/>
      <c r="AZ104" s="20"/>
      <c r="BB104" s="20"/>
      <c r="BE104" s="20"/>
      <c r="BK104" s="42"/>
      <c r="BL104" s="42"/>
      <c r="BM104" s="42"/>
      <c r="BN104" s="42"/>
      <c r="BO104" s="42"/>
      <c r="BP104" s="42"/>
      <c r="BR104" s="7"/>
      <c r="BT104" s="7"/>
      <c r="BV104" s="7"/>
      <c r="BY104" s="7"/>
    </row>
    <row r="105" customFormat="false" ht="12" hidden="false" customHeight="false" outlineLevel="0" collapsed="false">
      <c r="W105" s="7"/>
      <c r="X105" s="21"/>
      <c r="Y105" s="7"/>
      <c r="Z105" s="7"/>
      <c r="AA105" s="7"/>
      <c r="AB105" s="7"/>
      <c r="AC105" s="7"/>
      <c r="AD105" s="7"/>
      <c r="AE105" s="21"/>
      <c r="AF105" s="7"/>
      <c r="AZ105" s="60"/>
      <c r="BB105" s="7"/>
      <c r="BE105" s="7"/>
      <c r="BK105" s="42"/>
      <c r="BL105" s="42"/>
      <c r="BM105" s="42"/>
      <c r="BN105" s="42"/>
      <c r="BO105" s="42"/>
      <c r="BP105" s="42"/>
      <c r="BQ105" s="7"/>
      <c r="BR105" s="7"/>
      <c r="BS105" s="7"/>
      <c r="BT105" s="7"/>
      <c r="BU105" s="7"/>
      <c r="BV105" s="7"/>
      <c r="BW105" s="7"/>
      <c r="BX105" s="7"/>
      <c r="BY105" s="7"/>
    </row>
    <row r="106" customFormat="false" ht="12" hidden="false" customHeight="false" outlineLevel="0" collapsed="false">
      <c r="W106" s="7"/>
      <c r="X106" s="7"/>
      <c r="Y106" s="21"/>
      <c r="Z106" s="7"/>
      <c r="AA106" s="21"/>
      <c r="AB106" s="7"/>
      <c r="AC106" s="7"/>
      <c r="AD106" s="7"/>
      <c r="AE106" s="7"/>
      <c r="AF106" s="21"/>
      <c r="AZ106" s="7"/>
      <c r="BB106" s="7"/>
      <c r="BE106" s="7"/>
      <c r="BK106" s="42"/>
      <c r="BL106" s="42"/>
      <c r="BM106" s="42"/>
      <c r="BN106" s="42"/>
      <c r="BO106" s="42"/>
      <c r="BP106" s="42"/>
      <c r="BR106" s="45"/>
      <c r="BT106" s="7"/>
      <c r="BV106" s="7"/>
      <c r="BY106" s="7"/>
    </row>
    <row r="107" customFormat="false" ht="12" hidden="false" customHeight="false" outlineLevel="0" collapsed="false"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Z107" s="20"/>
      <c r="BB107" s="20"/>
      <c r="BE107" s="20"/>
      <c r="BK107" s="42"/>
      <c r="BL107" s="42"/>
      <c r="BM107" s="42"/>
      <c r="BN107" s="42"/>
      <c r="BO107" s="42"/>
      <c r="BP107" s="42"/>
      <c r="BR107" s="45"/>
      <c r="BT107" s="7"/>
      <c r="BV107" s="7"/>
      <c r="BY107" s="7"/>
    </row>
    <row r="108" customFormat="false" ht="12" hidden="false" customHeight="false" outlineLevel="0" collapsed="false">
      <c r="W108" s="7"/>
      <c r="X108" s="7"/>
      <c r="Y108" s="21"/>
      <c r="Z108" s="7"/>
      <c r="AA108" s="21"/>
      <c r="AB108" s="7"/>
      <c r="AC108" s="7"/>
      <c r="AD108" s="7"/>
      <c r="AE108" s="7"/>
      <c r="AF108" s="21"/>
      <c r="AZ108" s="7"/>
      <c r="BB108" s="20"/>
      <c r="BE108" s="62"/>
      <c r="BK108" s="42"/>
      <c r="BL108" s="42"/>
      <c r="BM108" s="42"/>
      <c r="BN108" s="42"/>
      <c r="BO108" s="42"/>
      <c r="BP108" s="42"/>
      <c r="BR108" s="45"/>
      <c r="BT108" s="7"/>
      <c r="BV108" s="7"/>
      <c r="BY108" s="7"/>
    </row>
    <row r="109" customFormat="false" ht="12" hidden="false" customHeight="false" outlineLevel="0" collapsed="false"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Z109" s="7"/>
      <c r="BB109" s="20"/>
      <c r="BE109" s="62"/>
    </row>
    <row r="110" customFormat="false" ht="12" hidden="false" customHeight="false" outlineLevel="0" collapsed="false"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Z110" s="20"/>
      <c r="BB110" s="20"/>
      <c r="BE110" s="62"/>
      <c r="BK110" s="2"/>
    </row>
    <row r="111" customFormat="false" ht="12" hidden="false" customHeight="false" outlineLevel="0" collapsed="false"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Z111" s="20"/>
      <c r="BB111" s="21"/>
      <c r="BE111" s="62"/>
      <c r="BK111" s="21"/>
      <c r="BL111" s="21"/>
      <c r="BM111" s="21"/>
      <c r="BN111" s="21"/>
      <c r="BO111" s="21"/>
      <c r="BP111" s="21"/>
      <c r="BR111" s="7"/>
      <c r="BT111" s="42"/>
      <c r="BV111" s="7"/>
      <c r="BY111" s="48"/>
      <c r="CA111" s="49"/>
    </row>
    <row r="112" customFormat="false" ht="12" hidden="false" customHeight="false" outlineLevel="0" collapsed="false">
      <c r="W112" s="7"/>
      <c r="X112" s="21"/>
      <c r="Y112" s="7"/>
      <c r="Z112" s="7"/>
      <c r="AA112" s="7"/>
      <c r="AB112" s="7"/>
      <c r="AC112" s="7"/>
      <c r="AD112" s="7"/>
      <c r="AE112" s="21"/>
      <c r="AF112" s="7"/>
      <c r="AZ112" s="20"/>
      <c r="BB112" s="21"/>
      <c r="BE112" s="62"/>
      <c r="BK112" s="21"/>
      <c r="BL112" s="21"/>
      <c r="BM112" s="21"/>
      <c r="BN112" s="21"/>
      <c r="BO112" s="21"/>
      <c r="BP112" s="21"/>
      <c r="BR112" s="7"/>
      <c r="BT112" s="42"/>
      <c r="BV112" s="7"/>
      <c r="BY112" s="48"/>
      <c r="CA112" s="49"/>
    </row>
    <row r="113" customFormat="false" ht="12" hidden="false" customHeight="false" outlineLevel="0" collapsed="false">
      <c r="W113" s="7"/>
      <c r="X113" s="7"/>
      <c r="Y113" s="21"/>
      <c r="Z113" s="7"/>
      <c r="AA113" s="21"/>
      <c r="AB113" s="7"/>
      <c r="AC113" s="7"/>
      <c r="AD113" s="7"/>
      <c r="AE113" s="7"/>
      <c r="AF113" s="21"/>
      <c r="AZ113" s="7"/>
      <c r="BB113" s="7"/>
      <c r="BE113" s="62"/>
      <c r="BK113" s="21"/>
      <c r="BL113" s="21"/>
      <c r="BM113" s="21"/>
      <c r="BN113" s="21"/>
      <c r="BO113" s="21"/>
      <c r="BP113" s="21"/>
      <c r="BQ113" s="7"/>
      <c r="BR113" s="7"/>
      <c r="BS113" s="7"/>
      <c r="BT113" s="42"/>
      <c r="BU113" s="7"/>
      <c r="BV113" s="7"/>
      <c r="BW113" s="7"/>
      <c r="BX113" s="7"/>
      <c r="BY113" s="48"/>
      <c r="BZ113" s="7"/>
      <c r="CA113" s="49"/>
    </row>
    <row r="114" customFormat="false" ht="12" hidden="false" customHeight="false" outlineLevel="0" collapsed="false"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Z114" s="7"/>
      <c r="BB114" s="7"/>
      <c r="BE114" s="62"/>
      <c r="BK114" s="21"/>
      <c r="BL114" s="21"/>
      <c r="BM114" s="21"/>
      <c r="BN114" s="21"/>
      <c r="BO114" s="21"/>
      <c r="BP114" s="21"/>
      <c r="BR114" s="7"/>
      <c r="BT114" s="42"/>
      <c r="BV114" s="7"/>
      <c r="BY114" s="48"/>
      <c r="CA114" s="49"/>
    </row>
    <row r="115" customFormat="false" ht="12" hidden="false" customHeight="false" outlineLevel="0" collapsed="false">
      <c r="W115" s="7"/>
      <c r="X115" s="7"/>
      <c r="Y115" s="21"/>
      <c r="Z115" s="7"/>
      <c r="AA115" s="21"/>
      <c r="AB115" s="7"/>
      <c r="AC115" s="7"/>
      <c r="AD115" s="7"/>
      <c r="AE115" s="7"/>
      <c r="AF115" s="21"/>
      <c r="AZ115" s="7"/>
      <c r="BB115" s="7"/>
      <c r="BE115" s="7"/>
      <c r="BK115" s="21"/>
      <c r="BL115" s="21"/>
      <c r="BM115" s="21"/>
      <c r="BN115" s="21"/>
      <c r="BO115" s="21"/>
      <c r="BP115" s="21"/>
      <c r="BR115" s="7"/>
      <c r="BT115" s="42"/>
      <c r="BV115" s="7"/>
      <c r="BY115" s="48"/>
      <c r="CA115" s="49"/>
    </row>
    <row r="116" customFormat="false" ht="12" hidden="false" customHeight="false" outlineLevel="0" collapsed="false">
      <c r="BK116" s="21"/>
      <c r="BL116" s="21"/>
      <c r="BM116" s="21"/>
      <c r="BN116" s="21"/>
      <c r="BO116" s="21"/>
      <c r="BP116" s="21"/>
      <c r="BR116" s="7"/>
      <c r="BT116" s="42"/>
      <c r="BV116" s="7"/>
      <c r="BY116" s="48"/>
      <c r="CA116" s="49"/>
    </row>
    <row r="118" customFormat="false" ht="12" hidden="false" customHeight="false" outlineLevel="0" collapsed="false">
      <c r="B118" s="2"/>
      <c r="AF118" s="2"/>
    </row>
    <row r="119" customFormat="false" ht="12" hidden="false" customHeight="false" outlineLevel="0" collapsed="false">
      <c r="E119" s="15"/>
      <c r="F119" s="9"/>
      <c r="V119" s="7"/>
    </row>
    <row r="120" customFormat="false" ht="12" hidden="false" customHeight="false" outlineLevel="0" collapsed="false">
      <c r="E120" s="15"/>
      <c r="F120" s="9"/>
      <c r="V120" s="7"/>
      <c r="AW120" s="7"/>
      <c r="AX120" s="7"/>
    </row>
    <row r="121" customFormat="false" ht="12" hidden="false" customHeight="false" outlineLevel="0" collapsed="false">
      <c r="E121" s="15"/>
      <c r="F121" s="9"/>
      <c r="V121" s="7"/>
      <c r="AW121" s="21"/>
      <c r="AX121" s="21"/>
      <c r="AZ121" s="20"/>
      <c r="BB121" s="20"/>
      <c r="BE121" s="62"/>
    </row>
    <row r="122" customFormat="false" ht="12" hidden="false" customHeight="false" outlineLevel="0" collapsed="false">
      <c r="V122" s="7"/>
      <c r="AW122" s="21"/>
      <c r="AX122" s="21"/>
      <c r="AZ122" s="20"/>
      <c r="BB122" s="20"/>
      <c r="BE122" s="62"/>
    </row>
    <row r="123" customFormat="false" ht="12" hidden="false" customHeight="false" outlineLevel="0" collapsed="false">
      <c r="V123" s="7"/>
      <c r="AW123" s="21"/>
      <c r="AX123" s="21"/>
      <c r="AZ123" s="20"/>
      <c r="BB123" s="20"/>
      <c r="BE123" s="62"/>
    </row>
    <row r="124" customFormat="false" ht="12" hidden="false" customHeight="false" outlineLevel="0" collapsed="false">
      <c r="V124" s="7"/>
      <c r="AW124" s="21"/>
      <c r="AX124" s="17"/>
      <c r="AZ124" s="60"/>
      <c r="BB124" s="21"/>
      <c r="BE124" s="62"/>
    </row>
    <row r="125" customFormat="false" ht="12" hidden="false" customHeight="false" outlineLevel="0" collapsed="false">
      <c r="V125" s="7"/>
      <c r="AW125" s="21"/>
      <c r="AX125" s="17"/>
      <c r="AZ125" s="60"/>
      <c r="BB125" s="21"/>
      <c r="BE125" s="62"/>
    </row>
    <row r="126" customFormat="false" ht="12" hidden="false" customHeight="false" outlineLevel="0" collapsed="false">
      <c r="V126" s="7"/>
      <c r="AW126" s="21"/>
      <c r="AX126" s="21"/>
      <c r="AY126" s="7"/>
      <c r="AZ126" s="60"/>
      <c r="BB126" s="20"/>
      <c r="BE126" s="62"/>
    </row>
    <row r="127" customFormat="false" ht="12" hidden="false" customHeight="false" outlineLevel="0" collapsed="false">
      <c r="V127" s="7"/>
      <c r="AW127" s="21"/>
      <c r="AX127" s="17"/>
      <c r="AZ127" s="60"/>
      <c r="BA127" s="7"/>
      <c r="BB127" s="20"/>
      <c r="BC127" s="46"/>
      <c r="BD127" s="46"/>
      <c r="BE127" s="62"/>
    </row>
    <row r="128" customFormat="false" ht="12" hidden="false" customHeight="false" outlineLevel="0" collapsed="false">
      <c r="V128" s="7"/>
      <c r="AW128" s="17"/>
      <c r="AX128" s="21"/>
      <c r="AZ128" s="60"/>
      <c r="BB128" s="20"/>
      <c r="BE128" s="62"/>
    </row>
    <row r="129" customFormat="false" ht="12" hidden="false" customHeight="false" outlineLevel="0" collapsed="false">
      <c r="V129" s="7"/>
      <c r="AW129" s="17"/>
      <c r="AX129" s="21"/>
      <c r="AY129" s="13"/>
      <c r="AZ129" s="60"/>
      <c r="BB129" s="20"/>
      <c r="BE129" s="62"/>
    </row>
    <row r="130" customFormat="false" ht="12" hidden="false" customHeight="false" outlineLevel="0" collapsed="false">
      <c r="V130" s="7"/>
      <c r="AW130" s="17"/>
      <c r="AX130" s="21"/>
      <c r="AZ130" s="60"/>
      <c r="BB130" s="20"/>
      <c r="BE130" s="62"/>
    </row>
    <row r="131" customFormat="false" ht="12" hidden="false" customHeight="false" outlineLevel="0" collapsed="false">
      <c r="V131" s="7"/>
      <c r="AW131" s="17"/>
      <c r="AX131" s="17"/>
      <c r="AZ131" s="60"/>
      <c r="BB131" s="21"/>
      <c r="BE131" s="62"/>
    </row>
    <row r="132" customFormat="false" ht="12" hidden="false" customHeight="false" outlineLevel="0" collapsed="false">
      <c r="V132" s="7"/>
      <c r="AW132" s="17"/>
      <c r="AX132" s="17"/>
      <c r="AZ132" s="60"/>
      <c r="BB132" s="21"/>
      <c r="BE132" s="62"/>
    </row>
    <row r="133" customFormat="false" ht="12" hidden="false" customHeight="false" outlineLevel="0" collapsed="false">
      <c r="V133" s="7"/>
      <c r="AJ133" s="7"/>
      <c r="AK133" s="21"/>
      <c r="AL133" s="21"/>
      <c r="AM133" s="21"/>
      <c r="AN133" s="21"/>
      <c r="AO133" s="21"/>
      <c r="AP133" s="21"/>
      <c r="AQ133" s="21"/>
      <c r="AR133" s="17"/>
      <c r="AS133" s="17"/>
      <c r="AT133" s="17"/>
      <c r="AU133" s="17"/>
      <c r="AV133" s="17"/>
      <c r="AW133" s="17"/>
      <c r="AX133" s="21"/>
      <c r="AZ133" s="60"/>
      <c r="BB133" s="20"/>
      <c r="BE133" s="62"/>
    </row>
    <row r="134" customFormat="false" ht="12" hidden="false" customHeight="false" outlineLevel="0" collapsed="false">
      <c r="V134" s="7"/>
      <c r="AJ134" s="7"/>
      <c r="AK134" s="21"/>
      <c r="AL134" s="21"/>
      <c r="AM134" s="21"/>
      <c r="AN134" s="17"/>
      <c r="AO134" s="17"/>
      <c r="AP134" s="21"/>
      <c r="AQ134" s="17"/>
      <c r="AR134" s="32"/>
      <c r="AS134" s="32"/>
      <c r="AT134" s="32"/>
      <c r="AU134" s="17"/>
      <c r="AV134" s="17"/>
      <c r="AW134" s="21"/>
      <c r="AX134" s="17"/>
      <c r="AZ134" s="60"/>
      <c r="BB134" s="20"/>
      <c r="BE134" s="62"/>
    </row>
    <row r="135" customFormat="false" ht="12" hidden="false" customHeight="false" outlineLevel="0" collapsed="false">
      <c r="V135" s="7"/>
      <c r="AK135" s="63"/>
      <c r="AL135" s="63"/>
      <c r="AM135" s="63"/>
    </row>
    <row r="136" customFormat="false" ht="12" hidden="false" customHeight="false" outlineLevel="0" collapsed="false">
      <c r="V136" s="7"/>
    </row>
    <row r="137" customFormat="false" ht="12" hidden="false" customHeight="false" outlineLevel="0" collapsed="false">
      <c r="BX137" s="64"/>
    </row>
    <row r="138" customFormat="false" ht="12" hidden="false" customHeight="false" outlineLevel="0" collapsed="false">
      <c r="BX138" s="64"/>
    </row>
    <row r="139" customFormat="false" ht="12" hidden="false" customHeight="false" outlineLevel="0" collapsed="false">
      <c r="BX139" s="64"/>
    </row>
    <row r="141" customFormat="false" ht="12" hidden="false" customHeight="false" outlineLevel="0" collapsed="false">
      <c r="BX141" s="64"/>
      <c r="CL141" s="56"/>
    </row>
    <row r="142" customFormat="false" ht="12" hidden="false" customHeight="false" outlineLevel="0" collapsed="false">
      <c r="BX142" s="64"/>
    </row>
    <row r="143" customFormat="false" ht="12" hidden="false" customHeight="false" outlineLevel="0" collapsed="false">
      <c r="BX143" s="64"/>
    </row>
    <row r="144" customFormat="false" ht="12" hidden="false" customHeight="false" outlineLevel="0" collapsed="false">
      <c r="BL144" s="7"/>
      <c r="BT144" s="2"/>
    </row>
    <row r="145" customFormat="false" ht="12" hidden="false" customHeight="false" outlineLevel="0" collapsed="false">
      <c r="BL145" s="7"/>
      <c r="BN145" s="7"/>
      <c r="BP145" s="7"/>
      <c r="BR145" s="7"/>
      <c r="BT145" s="42"/>
      <c r="BU145" s="7"/>
      <c r="BV145" s="7"/>
      <c r="BW145" s="7"/>
      <c r="BX145" s="7"/>
      <c r="BY145" s="7"/>
      <c r="BZ145" s="7"/>
      <c r="CA145" s="65"/>
      <c r="CB145" s="7"/>
      <c r="CD145" s="7"/>
      <c r="CF145" s="7"/>
    </row>
    <row r="146" customFormat="false" ht="12" hidden="false" customHeight="false" outlineLevel="0" collapsed="false">
      <c r="BL146" s="7"/>
      <c r="BN146" s="7"/>
      <c r="BP146" s="7"/>
      <c r="BR146" s="7"/>
      <c r="BT146" s="7"/>
      <c r="BU146" s="42"/>
      <c r="BV146" s="7"/>
      <c r="BW146" s="7"/>
      <c r="BX146" s="7"/>
      <c r="BY146" s="7"/>
      <c r="BZ146" s="7"/>
      <c r="CA146" s="66"/>
      <c r="CB146" s="7"/>
      <c r="CD146" s="7"/>
      <c r="CF146" s="7"/>
    </row>
    <row r="147" customFormat="false" ht="12" hidden="false" customHeight="false" outlineLevel="0" collapsed="false">
      <c r="BL147" s="7"/>
      <c r="BN147" s="7"/>
      <c r="BP147" s="7"/>
      <c r="BR147" s="7"/>
      <c r="BT147" s="7"/>
      <c r="BU147" s="7"/>
      <c r="BV147" s="7"/>
      <c r="BW147" s="7"/>
      <c r="BX147" s="7"/>
      <c r="BY147" s="7"/>
      <c r="BZ147" s="7"/>
      <c r="CA147" s="65"/>
      <c r="CB147" s="7"/>
      <c r="CC147" s="7"/>
      <c r="CD147" s="7"/>
      <c r="CE147" s="7"/>
      <c r="CF147" s="7"/>
    </row>
    <row r="148" customFormat="false" ht="12" hidden="false" customHeight="false" outlineLevel="0" collapsed="false">
      <c r="BL148" s="7"/>
      <c r="BN148" s="7"/>
      <c r="BP148" s="7"/>
      <c r="BR148" s="7"/>
      <c r="BT148" s="7"/>
      <c r="BU148" s="7"/>
      <c r="BV148" s="7"/>
      <c r="BW148" s="42"/>
      <c r="BX148" s="42"/>
      <c r="BY148" s="7"/>
      <c r="BZ148" s="7"/>
      <c r="CA148" s="66"/>
      <c r="CB148" s="21"/>
      <c r="CD148" s="7"/>
      <c r="CF148" s="21"/>
    </row>
    <row r="149" customFormat="false" ht="12" hidden="false" customHeight="false" outlineLevel="0" collapsed="false">
      <c r="AM149" s="2"/>
      <c r="BL149" s="7"/>
      <c r="BN149" s="7"/>
      <c r="BP149" s="7"/>
      <c r="BR149" s="7"/>
      <c r="BT149" s="7"/>
      <c r="BU149" s="7"/>
      <c r="BV149" s="7"/>
      <c r="BW149" s="7"/>
      <c r="BX149" s="7"/>
      <c r="BY149" s="42"/>
      <c r="BZ149" s="7"/>
      <c r="CA149" s="66"/>
      <c r="CB149" s="21"/>
      <c r="CD149" s="7"/>
      <c r="CF149" s="21"/>
    </row>
    <row r="150" customFormat="false" ht="12" hidden="false" customHeight="false" outlineLevel="0" collapsed="false">
      <c r="AN150" s="7"/>
      <c r="AO150" s="7"/>
      <c r="AP150" s="7"/>
      <c r="AQ150" s="7"/>
      <c r="AR150" s="7"/>
      <c r="AS150" s="7"/>
      <c r="AT150" s="7"/>
      <c r="AU150" s="7"/>
      <c r="BL150" s="7"/>
      <c r="BN150" s="7"/>
      <c r="BP150" s="7"/>
      <c r="BR150" s="7"/>
      <c r="BT150" s="7"/>
      <c r="BU150" s="7"/>
      <c r="BV150" s="7"/>
      <c r="BW150" s="7"/>
      <c r="BX150" s="7"/>
      <c r="BY150" s="7"/>
      <c r="BZ150" s="7"/>
      <c r="CA150" s="66"/>
      <c r="CB150" s="21"/>
      <c r="CD150" s="7"/>
      <c r="CF150" s="21"/>
    </row>
    <row r="151" customFormat="false" ht="12" hidden="false" customHeight="false" outlineLevel="0" collapsed="false">
      <c r="AM151" s="7"/>
      <c r="AN151" s="21"/>
      <c r="AO151" s="21"/>
      <c r="AP151" s="21"/>
      <c r="AQ151" s="21"/>
      <c r="AR151" s="21"/>
      <c r="AS151" s="21"/>
      <c r="AT151" s="21"/>
      <c r="AU151" s="21"/>
      <c r="AV151" s="7"/>
      <c r="AW151" s="20"/>
      <c r="AX151" s="7"/>
      <c r="AY151" s="21"/>
      <c r="BL151" s="7"/>
      <c r="BM151" s="7"/>
      <c r="BN151" s="7"/>
      <c r="BO151" s="7"/>
      <c r="BP151" s="7"/>
      <c r="BQ151" s="46"/>
      <c r="BR151" s="7"/>
    </row>
    <row r="152" customFormat="false" ht="12" hidden="false" customHeight="false" outlineLevel="0" collapsed="false">
      <c r="AM152" s="7"/>
      <c r="AN152" s="21"/>
      <c r="AO152" s="21"/>
      <c r="AP152" s="21"/>
      <c r="AQ152" s="21"/>
      <c r="AR152" s="21"/>
      <c r="AS152" s="21"/>
      <c r="AT152" s="21"/>
      <c r="AU152" s="21"/>
      <c r="AW152" s="20"/>
      <c r="AY152" s="21"/>
      <c r="BL152" s="42"/>
      <c r="BN152" s="20"/>
      <c r="BP152" s="15"/>
      <c r="BR152" s="17"/>
      <c r="BT152" s="2"/>
    </row>
    <row r="153" customFormat="false" ht="12" hidden="false" customHeight="false" outlineLevel="0" collapsed="false">
      <c r="AM153" s="7"/>
      <c r="AN153" s="21"/>
      <c r="AO153" s="21"/>
      <c r="AP153" s="21"/>
      <c r="AQ153" s="21"/>
      <c r="AR153" s="21"/>
      <c r="AS153" s="21"/>
      <c r="AT153" s="21"/>
      <c r="AU153" s="21"/>
      <c r="AW153" s="20"/>
      <c r="AY153" s="21"/>
      <c r="BL153" s="42"/>
      <c r="BN153" s="20"/>
      <c r="BP153" s="15"/>
      <c r="BR153" s="67"/>
      <c r="BT153" s="21"/>
      <c r="BU153" s="7"/>
      <c r="BV153" s="42"/>
      <c r="BW153" s="21"/>
      <c r="BX153" s="21"/>
      <c r="BY153" s="7"/>
      <c r="BZ153" s="42"/>
      <c r="CB153" s="7"/>
      <c r="CD153" s="7"/>
      <c r="CF153" s="7"/>
      <c r="CH153" s="68"/>
    </row>
    <row r="154" customFormat="false" ht="12" hidden="false" customHeight="false" outlineLevel="0" collapsed="false">
      <c r="AM154" s="7"/>
      <c r="AN154" s="21"/>
      <c r="AO154" s="21"/>
      <c r="AP154" s="21"/>
      <c r="AQ154" s="21"/>
      <c r="AR154" s="21"/>
      <c r="AS154" s="21"/>
      <c r="AT154" s="21"/>
      <c r="AU154" s="21"/>
      <c r="AW154" s="20"/>
      <c r="AY154" s="21"/>
      <c r="BL154" s="42"/>
      <c r="BN154" s="20"/>
      <c r="BP154" s="15"/>
      <c r="BR154" s="17"/>
      <c r="BT154" s="7"/>
      <c r="BU154" s="21"/>
      <c r="BV154" s="21"/>
      <c r="BW154" s="7"/>
      <c r="BX154" s="7"/>
      <c r="BY154" s="21"/>
      <c r="BZ154" s="21"/>
      <c r="CB154" s="7"/>
      <c r="CD154" s="21"/>
      <c r="CF154" s="7"/>
      <c r="CH154" s="68"/>
    </row>
    <row r="155" customFormat="false" ht="12" hidden="false" customHeight="false" outlineLevel="0" collapsed="false">
      <c r="AM155" s="7"/>
      <c r="AN155" s="21"/>
      <c r="AO155" s="21"/>
      <c r="AP155" s="21"/>
      <c r="AQ155" s="21"/>
      <c r="AR155" s="21"/>
      <c r="AS155" s="21"/>
      <c r="AT155" s="21"/>
      <c r="AU155" s="21"/>
      <c r="AW155" s="20"/>
      <c r="AY155" s="21"/>
      <c r="BL155" s="42"/>
      <c r="BN155" s="20"/>
      <c r="BP155" s="21"/>
      <c r="BR155" s="17"/>
      <c r="BT155" s="42"/>
      <c r="BU155" s="21"/>
      <c r="BV155" s="21"/>
      <c r="BW155" s="21"/>
      <c r="BX155" s="21"/>
      <c r="BY155" s="21"/>
      <c r="BZ155" s="21"/>
      <c r="CA155" s="7"/>
      <c r="CB155" s="7"/>
      <c r="CC155" s="7"/>
      <c r="CD155" s="21"/>
      <c r="CE155" s="7"/>
      <c r="CF155" s="7"/>
      <c r="CG155" s="7"/>
      <c r="CH155" s="68"/>
      <c r="CN155" s="52"/>
    </row>
    <row r="156" customFormat="false" ht="12" hidden="false" customHeight="false" outlineLevel="0" collapsed="false">
      <c r="AM156" s="7"/>
      <c r="AN156" s="21"/>
      <c r="AO156" s="21"/>
      <c r="AP156" s="21"/>
      <c r="AQ156" s="21"/>
      <c r="AR156" s="21"/>
      <c r="AS156" s="21"/>
      <c r="AT156" s="21"/>
      <c r="AU156" s="21"/>
      <c r="AW156" s="20"/>
      <c r="AY156" s="21"/>
      <c r="BL156" s="42"/>
      <c r="BN156" s="20"/>
      <c r="BP156" s="21"/>
      <c r="BR156" s="67"/>
      <c r="BT156" s="21"/>
      <c r="BU156" s="7"/>
      <c r="BV156" s="42"/>
      <c r="BW156" s="69"/>
      <c r="BX156" s="69"/>
      <c r="BY156" s="7"/>
      <c r="BZ156" s="42"/>
      <c r="CB156" s="21"/>
      <c r="CD156" s="7"/>
      <c r="CF156" s="7"/>
      <c r="CH156" s="68"/>
    </row>
    <row r="157" customFormat="false" ht="12" hidden="false" customHeight="false" outlineLevel="0" collapsed="false">
      <c r="AM157" s="7"/>
      <c r="AN157" s="21"/>
      <c r="AO157" s="21"/>
      <c r="AP157" s="21"/>
      <c r="AQ157" s="21"/>
      <c r="AR157" s="21"/>
      <c r="AS157" s="21"/>
      <c r="AT157" s="21"/>
      <c r="AU157" s="21"/>
      <c r="AW157" s="20"/>
      <c r="AY157" s="21"/>
      <c r="BD157" s="70"/>
      <c r="BL157" s="42"/>
      <c r="BN157" s="20"/>
      <c r="BO157" s="63"/>
      <c r="BP157" s="7"/>
      <c r="BR157" s="17"/>
      <c r="BT157" s="7"/>
      <c r="BU157" s="21"/>
      <c r="BV157" s="21"/>
      <c r="BW157" s="7"/>
      <c r="BX157" s="7"/>
      <c r="BY157" s="21"/>
      <c r="BZ157" s="21"/>
      <c r="CB157" s="21"/>
      <c r="CD157" s="21"/>
      <c r="CF157" s="7"/>
      <c r="CH157" s="68"/>
    </row>
    <row r="158" customFormat="false" ht="12" hidden="false" customHeight="false" outlineLevel="0" collapsed="false">
      <c r="AM158" s="7"/>
      <c r="AN158" s="21"/>
      <c r="AO158" s="21"/>
      <c r="AP158" s="21"/>
      <c r="AQ158" s="21"/>
      <c r="AR158" s="21"/>
      <c r="AS158" s="21"/>
      <c r="AT158" s="21"/>
      <c r="AU158" s="21"/>
      <c r="AW158" s="20"/>
      <c r="AY158" s="21"/>
      <c r="BD158" s="70"/>
      <c r="BL158" s="42"/>
      <c r="BN158" s="7"/>
      <c r="BP158" s="7"/>
      <c r="BR158" s="7"/>
      <c r="BT158" s="42"/>
      <c r="BU158" s="21"/>
      <c r="BV158" s="21"/>
      <c r="BW158" s="42"/>
      <c r="BX158" s="42"/>
      <c r="BY158" s="21"/>
      <c r="BZ158" s="21"/>
      <c r="CB158" s="21"/>
      <c r="CD158" s="21"/>
      <c r="CF158" s="7"/>
      <c r="CH158" s="71"/>
    </row>
    <row r="159" customFormat="false" ht="12" hidden="false" customHeight="false" outlineLevel="0" collapsed="false">
      <c r="BD159" s="70"/>
      <c r="BR159" s="63"/>
    </row>
    <row r="160" customFormat="false" ht="12" hidden="false" customHeight="false" outlineLevel="0" collapsed="false">
      <c r="AS160" s="56"/>
      <c r="BD160" s="70"/>
      <c r="BK160" s="2"/>
      <c r="BP160" s="63"/>
    </row>
    <row r="161" customFormat="false" ht="12" hidden="false" customHeight="false" outlineLevel="0" collapsed="false">
      <c r="BD161" s="70"/>
      <c r="BJ161" s="7"/>
      <c r="BK161" s="7"/>
      <c r="BL161" s="7"/>
      <c r="BM161" s="7"/>
      <c r="BN161" s="7"/>
      <c r="BO161" s="7"/>
      <c r="BP161" s="7"/>
      <c r="BQ161" s="7"/>
      <c r="BR161" s="7"/>
      <c r="BW161" s="72"/>
      <c r="BX161" s="72"/>
      <c r="CC161" s="56"/>
    </row>
    <row r="162" customFormat="false" ht="12" hidden="false" customHeight="false" outlineLevel="0" collapsed="false">
      <c r="AM162" s="2"/>
      <c r="AZ162" s="73"/>
      <c r="BA162" s="73"/>
      <c r="BB162" s="73"/>
      <c r="BC162" s="73"/>
      <c r="BD162" s="70"/>
      <c r="BK162" s="64"/>
      <c r="BL162" s="64"/>
      <c r="BN162" s="63"/>
      <c r="BT162" s="2"/>
      <c r="CA162" s="64"/>
      <c r="CB162" s="64"/>
      <c r="CC162" s="63"/>
    </row>
    <row r="163" customFormat="false" ht="12" hidden="false" customHeight="false" outlineLevel="0" collapsed="false">
      <c r="AN163" s="7"/>
      <c r="AO163" s="7"/>
      <c r="AP163" s="7"/>
      <c r="AQ163" s="7"/>
      <c r="AR163" s="7"/>
      <c r="AS163" s="7"/>
      <c r="AT163" s="7"/>
      <c r="AU163" s="7"/>
      <c r="AZ163" s="73"/>
      <c r="BA163" s="73"/>
      <c r="BB163" s="73"/>
      <c r="BC163" s="73"/>
      <c r="BD163" s="73"/>
      <c r="BE163" s="73"/>
    </row>
    <row r="164" customFormat="false" ht="12" hidden="false" customHeight="false" outlineLevel="0" collapsed="false">
      <c r="AM164" s="7"/>
      <c r="AN164" s="21"/>
      <c r="AO164" s="21"/>
      <c r="AP164" s="21"/>
      <c r="AQ164" s="21"/>
      <c r="AR164" s="21"/>
      <c r="AS164" s="21"/>
      <c r="AT164" s="21"/>
      <c r="AU164" s="21"/>
      <c r="AV164" s="7"/>
      <c r="AW164" s="13"/>
      <c r="AX164" s="7"/>
      <c r="AY164" s="20"/>
      <c r="AZ164" s="60"/>
      <c r="BA164" s="74"/>
      <c r="BB164" s="73"/>
      <c r="BC164" s="73"/>
      <c r="BD164" s="75"/>
      <c r="BE164" s="73"/>
      <c r="BQ164" s="64"/>
    </row>
    <row r="165" customFormat="false" ht="12" hidden="false" customHeight="false" outlineLevel="0" collapsed="false">
      <c r="AM165" s="7"/>
      <c r="AN165" s="21"/>
      <c r="AO165" s="21"/>
      <c r="AP165" s="21"/>
      <c r="AQ165" s="21"/>
      <c r="AR165" s="21"/>
      <c r="AS165" s="21"/>
      <c r="AT165" s="21"/>
      <c r="AU165" s="21"/>
      <c r="AW165" s="13"/>
      <c r="AY165" s="20"/>
      <c r="AZ165" s="73"/>
      <c r="BA165" s="74"/>
      <c r="BB165" s="73"/>
      <c r="BC165" s="73"/>
      <c r="BD165" s="75"/>
      <c r="BE165" s="73"/>
      <c r="BK165" s="2"/>
      <c r="BT165" s="2"/>
      <c r="BY165" s="2"/>
    </row>
    <row r="166" customFormat="false" ht="12" hidden="false" customHeight="false" outlineLevel="0" collapsed="false">
      <c r="AM166" s="7"/>
      <c r="AN166" s="21"/>
      <c r="AO166" s="21"/>
      <c r="AP166" s="21"/>
      <c r="AQ166" s="21"/>
      <c r="AR166" s="21"/>
      <c r="AS166" s="21"/>
      <c r="AT166" s="21"/>
      <c r="AU166" s="21"/>
      <c r="AW166" s="13"/>
      <c r="AY166" s="20"/>
      <c r="AZ166" s="73"/>
      <c r="BA166" s="74"/>
      <c r="BB166" s="76"/>
      <c r="BC166" s="73"/>
      <c r="BD166" s="77"/>
      <c r="BE166" s="73"/>
      <c r="BP166" s="78"/>
      <c r="BQ166" s="79"/>
      <c r="BR166" s="80"/>
      <c r="BT166" s="20"/>
      <c r="BU166" s="81"/>
      <c r="BV166" s="2"/>
      <c r="BY166" s="20"/>
      <c r="BZ166" s="79"/>
      <c r="CA166" s="2"/>
    </row>
    <row r="167" customFormat="false" ht="12" hidden="false" customHeight="false" outlineLevel="0" collapsed="false">
      <c r="AM167" s="7"/>
      <c r="AN167" s="21"/>
      <c r="AO167" s="21"/>
      <c r="AP167" s="21"/>
      <c r="AQ167" s="21"/>
      <c r="AR167" s="21"/>
      <c r="AS167" s="21"/>
      <c r="AT167" s="21"/>
      <c r="AU167" s="21"/>
      <c r="AW167" s="13"/>
      <c r="AY167" s="20"/>
      <c r="BA167" s="74"/>
      <c r="BB167" s="76"/>
      <c r="BC167" s="73"/>
      <c r="BD167" s="75"/>
      <c r="BE167" s="73"/>
      <c r="BP167" s="78"/>
      <c r="BQ167" s="79"/>
      <c r="BR167" s="80"/>
      <c r="BT167" s="20"/>
      <c r="BU167" s="81"/>
      <c r="BV167" s="2"/>
      <c r="BY167" s="20"/>
      <c r="BZ167" s="79"/>
      <c r="CA167" s="2"/>
    </row>
    <row r="168" customFormat="false" ht="12" hidden="false" customHeight="false" outlineLevel="0" collapsed="false">
      <c r="AM168" s="7"/>
      <c r="AN168" s="21"/>
      <c r="AO168" s="21"/>
      <c r="AP168" s="21"/>
      <c r="AQ168" s="21"/>
      <c r="AR168" s="21"/>
      <c r="AS168" s="21"/>
      <c r="AT168" s="21"/>
      <c r="AU168" s="21"/>
      <c r="AW168" s="13"/>
      <c r="AY168" s="20"/>
      <c r="AZ168" s="73"/>
      <c r="BA168" s="74"/>
      <c r="BB168" s="73"/>
      <c r="BC168" s="73"/>
      <c r="BD168" s="75"/>
      <c r="BE168" s="73"/>
      <c r="BP168" s="78"/>
      <c r="BQ168" s="79"/>
      <c r="BR168" s="80"/>
      <c r="BT168" s="20"/>
      <c r="BU168" s="81"/>
      <c r="BV168" s="2"/>
      <c r="BW168" s="82"/>
      <c r="BX168" s="82"/>
      <c r="BY168" s="20"/>
      <c r="BZ168" s="79"/>
      <c r="CA168" s="2"/>
    </row>
    <row r="169" customFormat="false" ht="12" hidden="false" customHeight="false" outlineLevel="0" collapsed="false">
      <c r="AM169" s="7"/>
      <c r="AN169" s="21"/>
      <c r="AO169" s="21"/>
      <c r="AP169" s="21"/>
      <c r="AQ169" s="21"/>
      <c r="AR169" s="21"/>
      <c r="AS169" s="21"/>
      <c r="AT169" s="21"/>
      <c r="AU169" s="21"/>
      <c r="AW169" s="13"/>
      <c r="AY169" s="20"/>
      <c r="AZ169" s="73"/>
      <c r="BA169" s="74"/>
      <c r="BB169" s="73"/>
      <c r="BC169" s="73"/>
      <c r="BD169" s="75"/>
      <c r="BE169" s="73"/>
      <c r="BL169" s="83"/>
      <c r="BM169" s="84"/>
      <c r="BN169" s="84"/>
      <c r="BP169" s="78"/>
      <c r="BQ169" s="79"/>
      <c r="BT169" s="20"/>
      <c r="BU169" s="81"/>
      <c r="BV169" s="2"/>
      <c r="BW169" s="82"/>
      <c r="BX169" s="82"/>
      <c r="BY169" s="20"/>
      <c r="BZ169" s="79"/>
      <c r="CA169" s="2"/>
    </row>
    <row r="170" customFormat="false" ht="12" hidden="false" customHeight="false" outlineLevel="0" collapsed="false">
      <c r="AM170" s="7"/>
      <c r="AN170" s="21"/>
      <c r="AO170" s="21"/>
      <c r="AP170" s="21"/>
      <c r="AQ170" s="21"/>
      <c r="AR170" s="21"/>
      <c r="AS170" s="21"/>
      <c r="AT170" s="21"/>
      <c r="AU170" s="21"/>
      <c r="AW170" s="13"/>
      <c r="AY170" s="20"/>
      <c r="AZ170" s="73"/>
      <c r="BA170" s="74"/>
      <c r="BB170" s="76"/>
      <c r="BC170" s="73"/>
      <c r="BD170" s="75"/>
      <c r="BE170" s="73"/>
      <c r="BP170" s="78"/>
      <c r="BQ170" s="70"/>
      <c r="BT170" s="20"/>
      <c r="BU170" s="81"/>
      <c r="BV170" s="2"/>
      <c r="BY170" s="20"/>
      <c r="BZ170" s="79"/>
      <c r="CA170" s="2"/>
    </row>
    <row r="171" customFormat="false" ht="12" hidden="false" customHeight="false" outlineLevel="0" collapsed="false">
      <c r="AM171" s="7"/>
      <c r="AN171" s="21"/>
      <c r="AO171" s="21"/>
      <c r="AP171" s="21"/>
      <c r="AQ171" s="21"/>
      <c r="AR171" s="21"/>
      <c r="AS171" s="21"/>
      <c r="AT171" s="21"/>
      <c r="AU171" s="21"/>
      <c r="AW171" s="13"/>
      <c r="AY171" s="20"/>
      <c r="AZ171" s="73"/>
      <c r="BA171" s="74"/>
      <c r="BB171" s="76"/>
      <c r="BC171" s="73"/>
      <c r="BD171" s="75"/>
      <c r="BE171" s="73"/>
      <c r="BP171" s="78"/>
      <c r="BQ171" s="70"/>
      <c r="BT171" s="20"/>
      <c r="BU171" s="81"/>
      <c r="BV171" s="2"/>
      <c r="BY171" s="20"/>
      <c r="BZ171" s="79"/>
      <c r="CA171" s="2"/>
      <c r="CF171" s="2"/>
    </row>
    <row r="172" customFormat="false" ht="12" hidden="false" customHeight="false" outlineLevel="0" collapsed="false">
      <c r="BB172" s="73"/>
      <c r="BC172" s="73"/>
      <c r="BD172" s="73"/>
      <c r="BE172" s="73"/>
      <c r="BW172" s="82"/>
      <c r="BX172" s="82"/>
      <c r="BY172" s="20"/>
      <c r="BZ172" s="79"/>
      <c r="CA172" s="2"/>
    </row>
    <row r="173" customFormat="false" ht="12" hidden="false" customHeight="false" outlineLevel="0" collapsed="false">
      <c r="AZ173" s="73"/>
      <c r="BA173" s="73"/>
      <c r="BB173" s="85"/>
      <c r="BC173" s="73"/>
      <c r="BD173" s="73"/>
      <c r="BE173" s="73"/>
      <c r="BF173" s="73"/>
      <c r="BW173" s="82"/>
      <c r="BX173" s="82"/>
      <c r="BY173" s="20"/>
      <c r="BZ173" s="79"/>
      <c r="CA173" s="2"/>
    </row>
    <row r="174" customFormat="false" ht="12" hidden="false" customHeight="false" outlineLevel="0" collapsed="false">
      <c r="AZ174" s="73"/>
      <c r="BA174" s="73"/>
      <c r="BB174" s="73"/>
      <c r="BC174" s="73"/>
      <c r="BD174" s="73"/>
      <c r="BE174" s="73"/>
      <c r="BF174" s="73"/>
    </row>
    <row r="175" customFormat="false" ht="12" hidden="false" customHeight="false" outlineLevel="0" collapsed="false">
      <c r="AM175" s="2"/>
      <c r="AZ175" s="73"/>
      <c r="BA175" s="73"/>
      <c r="BB175" s="73"/>
      <c r="BC175" s="73"/>
      <c r="BD175" s="73"/>
      <c r="BE175" s="73"/>
      <c r="BF175" s="73"/>
    </row>
    <row r="176" customFormat="false" ht="12" hidden="false" customHeight="false" outlineLevel="0" collapsed="false">
      <c r="AN176" s="7"/>
      <c r="AO176" s="7"/>
      <c r="AP176" s="7"/>
      <c r="AQ176" s="7"/>
      <c r="AR176" s="7"/>
      <c r="AS176" s="7"/>
      <c r="AT176" s="7"/>
      <c r="AU176" s="7"/>
      <c r="AW176" s="21"/>
      <c r="AZ176" s="73"/>
      <c r="BA176" s="73"/>
      <c r="BB176" s="73"/>
      <c r="BC176" s="73"/>
      <c r="BD176" s="73"/>
      <c r="BE176" s="73"/>
      <c r="BF176" s="73"/>
      <c r="BK176" s="2"/>
      <c r="BP176" s="2"/>
      <c r="BT176" s="2"/>
      <c r="BY176" s="2"/>
      <c r="CD176" s="2"/>
      <c r="CI176" s="2"/>
      <c r="CM176" s="2"/>
    </row>
    <row r="177" customFormat="false" ht="12" hidden="false" customHeight="false" outlineLevel="0" collapsed="false">
      <c r="AM177" s="7"/>
      <c r="AN177" s="21"/>
      <c r="AO177" s="21"/>
      <c r="AP177" s="21"/>
      <c r="AQ177" s="21"/>
      <c r="AR177" s="42"/>
      <c r="AS177" s="42"/>
      <c r="AT177" s="42"/>
      <c r="AU177" s="42"/>
      <c r="AW177" s="21"/>
      <c r="AY177" s="21"/>
      <c r="AZ177" s="73"/>
      <c r="BA177" s="15"/>
      <c r="BB177" s="73"/>
      <c r="BC177" s="71"/>
      <c r="BD177" s="71"/>
      <c r="BE177" s="73"/>
      <c r="BF177" s="49"/>
      <c r="BK177" s="15"/>
      <c r="BL177" s="70"/>
      <c r="BM177" s="2"/>
      <c r="BP177" s="7"/>
      <c r="BQ177" s="70"/>
      <c r="BR177" s="2"/>
      <c r="BT177" s="7"/>
      <c r="BU177" s="70"/>
      <c r="BV177" s="2"/>
      <c r="BY177" s="7"/>
      <c r="BZ177" s="70"/>
      <c r="CA177" s="2"/>
      <c r="CD177" s="7"/>
      <c r="CE177" s="70"/>
      <c r="CF177" s="2"/>
      <c r="CI177" s="7"/>
      <c r="CJ177" s="70"/>
      <c r="CK177" s="2"/>
      <c r="CM177" s="7"/>
      <c r="CN177" s="70"/>
      <c r="CO177" s="2"/>
    </row>
    <row r="178" customFormat="false" ht="12" hidden="false" customHeight="false" outlineLevel="0" collapsed="false">
      <c r="AM178" s="7"/>
      <c r="AN178" s="21"/>
      <c r="AO178" s="21"/>
      <c r="AP178" s="21"/>
      <c r="AQ178" s="21"/>
      <c r="AR178" s="42"/>
      <c r="AS178" s="42"/>
      <c r="AT178" s="42"/>
      <c r="AU178" s="42"/>
      <c r="AW178" s="21"/>
      <c r="AY178" s="21"/>
      <c r="AZ178" s="73"/>
      <c r="BA178" s="15"/>
      <c r="BB178" s="73"/>
      <c r="BC178" s="71"/>
      <c r="BD178" s="71"/>
      <c r="BE178" s="73"/>
      <c r="BF178" s="49"/>
      <c r="BK178" s="15"/>
      <c r="BL178" s="70"/>
      <c r="BM178" s="2"/>
      <c r="BP178" s="7"/>
      <c r="BQ178" s="70"/>
      <c r="BR178" s="2"/>
      <c r="BT178" s="7"/>
      <c r="BU178" s="70"/>
      <c r="BV178" s="2"/>
      <c r="BY178" s="7"/>
      <c r="BZ178" s="70"/>
      <c r="CA178" s="2"/>
      <c r="CD178" s="7"/>
      <c r="CE178" s="70"/>
      <c r="CF178" s="2"/>
      <c r="CI178" s="7"/>
      <c r="CJ178" s="70"/>
      <c r="CK178" s="2"/>
      <c r="CM178" s="7"/>
      <c r="CN178" s="70"/>
      <c r="CO178" s="2"/>
    </row>
    <row r="179" customFormat="false" ht="12" hidden="false" customHeight="false" outlineLevel="0" collapsed="false">
      <c r="AM179" s="7"/>
      <c r="AN179" s="21"/>
      <c r="AO179" s="21"/>
      <c r="AP179" s="21"/>
      <c r="AQ179" s="21"/>
      <c r="AR179" s="42"/>
      <c r="AS179" s="42"/>
      <c r="AT179" s="42"/>
      <c r="AU179" s="42"/>
      <c r="AV179" s="7"/>
      <c r="AW179" s="21"/>
      <c r="AX179" s="7"/>
      <c r="AY179" s="21"/>
      <c r="AZ179" s="60"/>
      <c r="BA179" s="15"/>
      <c r="BB179" s="60"/>
      <c r="BC179" s="71"/>
      <c r="BD179" s="71"/>
      <c r="BE179" s="60"/>
      <c r="BF179" s="49"/>
      <c r="BK179" s="15"/>
      <c r="BL179" s="70"/>
      <c r="BM179" s="2"/>
      <c r="BP179" s="7"/>
      <c r="BQ179" s="70"/>
      <c r="BR179" s="2"/>
      <c r="BT179" s="7"/>
      <c r="BU179" s="70"/>
      <c r="BV179" s="2"/>
      <c r="BY179" s="7"/>
      <c r="BZ179" s="70"/>
      <c r="CA179" s="2"/>
      <c r="CD179" s="7"/>
      <c r="CE179" s="70"/>
      <c r="CF179" s="2"/>
      <c r="CI179" s="7"/>
      <c r="CJ179" s="70"/>
      <c r="CK179" s="2"/>
      <c r="CM179" s="7"/>
      <c r="CN179" s="70"/>
      <c r="CO179" s="2"/>
    </row>
    <row r="180" customFormat="false" ht="12" hidden="false" customHeight="false" outlineLevel="0" collapsed="false">
      <c r="AM180" s="7"/>
      <c r="AN180" s="7"/>
      <c r="AO180" s="7"/>
      <c r="AP180" s="7"/>
      <c r="AQ180" s="7"/>
      <c r="AR180" s="21"/>
      <c r="AS180" s="21"/>
      <c r="AT180" s="21"/>
      <c r="AU180" s="21"/>
      <c r="AW180" s="21"/>
      <c r="AY180" s="21"/>
      <c r="AZ180" s="73"/>
      <c r="BA180" s="15"/>
      <c r="BB180" s="73"/>
      <c r="BC180" s="71"/>
      <c r="BD180" s="71"/>
      <c r="BE180" s="73"/>
      <c r="BF180" s="49"/>
      <c r="BK180" s="15"/>
      <c r="BL180" s="70"/>
      <c r="BM180" s="2"/>
      <c r="BP180" s="7"/>
      <c r="BQ180" s="70"/>
      <c r="BR180" s="2"/>
      <c r="BT180" s="7"/>
      <c r="BU180" s="70"/>
      <c r="BV180" s="2"/>
      <c r="BY180" s="7"/>
      <c r="BZ180" s="70"/>
      <c r="CA180" s="2"/>
      <c r="CD180" s="7"/>
      <c r="CE180" s="70"/>
      <c r="CF180" s="2"/>
      <c r="CI180" s="7"/>
      <c r="CJ180" s="70"/>
      <c r="CK180" s="2"/>
      <c r="CM180" s="7"/>
      <c r="CN180" s="70"/>
      <c r="CO180" s="2"/>
    </row>
    <row r="181" customFormat="false" ht="12" hidden="false" customHeight="false" outlineLevel="0" collapsed="false">
      <c r="AM181" s="7"/>
      <c r="AN181" s="7"/>
      <c r="AO181" s="7"/>
      <c r="AP181" s="7"/>
      <c r="AQ181" s="7"/>
      <c r="AR181" s="21"/>
      <c r="AS181" s="21"/>
      <c r="AT181" s="21"/>
      <c r="AU181" s="21"/>
      <c r="AW181" s="21"/>
      <c r="AY181" s="21"/>
      <c r="AZ181" s="73"/>
      <c r="BA181" s="15"/>
      <c r="BB181" s="73"/>
      <c r="BC181" s="71"/>
      <c r="BD181" s="71"/>
      <c r="BE181" s="73"/>
      <c r="BF181" s="49"/>
      <c r="BK181" s="15"/>
      <c r="BL181" s="70"/>
      <c r="BM181" s="2"/>
      <c r="BP181" s="7"/>
      <c r="BQ181" s="70"/>
      <c r="BR181" s="2"/>
      <c r="BT181" s="7"/>
      <c r="BU181" s="70"/>
      <c r="BV181" s="2"/>
      <c r="BY181" s="7"/>
      <c r="BZ181" s="70"/>
      <c r="CA181" s="2"/>
      <c r="CD181" s="7"/>
      <c r="CE181" s="70"/>
      <c r="CF181" s="2"/>
      <c r="CI181" s="7"/>
      <c r="CJ181" s="70"/>
      <c r="CK181" s="2"/>
      <c r="CM181" s="7"/>
      <c r="CN181" s="70"/>
      <c r="CO181" s="2"/>
    </row>
    <row r="182" customFormat="false" ht="12" hidden="false" customHeight="false" outlineLevel="0" collapsed="false">
      <c r="AM182" s="7"/>
      <c r="AN182" s="7"/>
      <c r="AO182" s="7"/>
      <c r="AP182" s="7"/>
      <c r="AQ182" s="7"/>
      <c r="AR182" s="21"/>
      <c r="AS182" s="21"/>
      <c r="AT182" s="21"/>
      <c r="AU182" s="21"/>
      <c r="AW182" s="21"/>
      <c r="AY182" s="21"/>
      <c r="AZ182" s="73"/>
      <c r="BA182" s="15"/>
      <c r="BB182" s="73"/>
      <c r="BC182" s="71"/>
      <c r="BD182" s="71"/>
      <c r="BE182" s="73"/>
      <c r="BF182" s="49"/>
      <c r="BK182" s="15"/>
      <c r="BL182" s="70"/>
      <c r="BM182" s="2"/>
      <c r="BP182" s="7"/>
      <c r="BQ182" s="70"/>
      <c r="BR182" s="2"/>
      <c r="BT182" s="7"/>
      <c r="BU182" s="70"/>
      <c r="BV182" s="2"/>
      <c r="BY182" s="7"/>
      <c r="BZ182" s="70"/>
      <c r="CA182" s="2"/>
      <c r="CD182" s="7"/>
      <c r="CE182" s="70"/>
      <c r="CF182" s="2"/>
      <c r="CI182" s="7"/>
      <c r="CJ182" s="70"/>
      <c r="CK182" s="2"/>
      <c r="CM182" s="7"/>
      <c r="CN182" s="70"/>
      <c r="CO182" s="2"/>
    </row>
    <row r="183" customFormat="false" ht="12" hidden="false" customHeight="false" outlineLevel="0" collapsed="false">
      <c r="AW183" s="21"/>
      <c r="AZ183" s="73"/>
      <c r="BA183" s="73"/>
      <c r="BB183" s="73"/>
      <c r="BC183" s="73"/>
      <c r="BD183" s="73"/>
      <c r="BE183" s="73"/>
      <c r="BF183" s="73"/>
      <c r="BT183" s="70"/>
    </row>
    <row r="184" customFormat="false" ht="12" hidden="false" customHeight="false" outlineLevel="0" collapsed="false">
      <c r="AW184" s="21"/>
      <c r="BE184" s="73"/>
      <c r="BF184" s="73"/>
    </row>
    <row r="185" customFormat="false" ht="12" hidden="false" customHeight="false" outlineLevel="0" collapsed="false">
      <c r="AW185" s="21"/>
      <c r="AZ185" s="73"/>
      <c r="BA185" s="73"/>
      <c r="BB185" s="73"/>
      <c r="BC185" s="73"/>
      <c r="BD185" s="73"/>
      <c r="BE185" s="73"/>
      <c r="BF185" s="73"/>
      <c r="BK185" s="2"/>
      <c r="BR185" s="86"/>
    </row>
    <row r="186" customFormat="false" ht="12" hidden="false" customHeight="false" outlineLevel="0" collapsed="false">
      <c r="AW186" s="21"/>
      <c r="BL186" s="79"/>
      <c r="BM186" s="2"/>
    </row>
    <row r="187" customFormat="false" ht="12" hidden="false" customHeight="false" outlineLevel="0" collapsed="false">
      <c r="BL187" s="79"/>
      <c r="BM187" s="2"/>
    </row>
    <row r="190" customFormat="false" ht="12" hidden="false" customHeight="false" outlineLevel="0" collapsed="false">
      <c r="BL190" s="79"/>
      <c r="BM190" s="2"/>
    </row>
    <row r="191" customFormat="false" ht="12" hidden="false" customHeight="false" outlineLevel="0" collapsed="false">
      <c r="BL191" s="79"/>
      <c r="BM191" s="2"/>
    </row>
    <row r="192" customFormat="false" ht="12" hidden="false" customHeight="false" outlineLevel="0" collapsed="false">
      <c r="BL192" s="79"/>
      <c r="BM192" s="2"/>
    </row>
    <row r="193" customFormat="false" ht="12" hidden="false" customHeight="false" outlineLevel="0" collapsed="false">
      <c r="BL193" s="79"/>
      <c r="BM193" s="2"/>
    </row>
    <row r="195" customFormat="false" ht="12" hidden="false" customHeight="false" outlineLevel="0" collapsed="false">
      <c r="BL195" s="79"/>
      <c r="BM195" s="2"/>
    </row>
    <row r="198" customFormat="false" ht="12" hidden="false" customHeight="false" outlineLevel="0" collapsed="false">
      <c r="BL198" s="79"/>
      <c r="BM198" s="2"/>
    </row>
    <row r="199" customFormat="false" ht="12" hidden="false" customHeight="false" outlineLevel="0" collapsed="false">
      <c r="BL199" s="79"/>
      <c r="BM199" s="2"/>
    </row>
    <row r="200" customFormat="false" ht="12" hidden="false" customHeight="false" outlineLevel="0" collapsed="false">
      <c r="BL200" s="79"/>
      <c r="BM200" s="2"/>
    </row>
    <row r="201" customFormat="false" ht="12" hidden="false" customHeight="false" outlineLevel="0" collapsed="false">
      <c r="BL201" s="79"/>
      <c r="BM201" s="2"/>
    </row>
    <row r="203" customFormat="false" ht="12" hidden="false" customHeight="false" outlineLevel="0" collapsed="false">
      <c r="BL203" s="79"/>
      <c r="BM203" s="2"/>
    </row>
    <row r="206" customFormat="false" ht="12" hidden="false" customHeight="false" outlineLevel="0" collapsed="false">
      <c r="BL206" s="79"/>
      <c r="BM206" s="2"/>
    </row>
    <row r="207" customFormat="false" ht="12" hidden="false" customHeight="false" outlineLevel="0" collapsed="false">
      <c r="BL207" s="79"/>
      <c r="BM207" s="2"/>
    </row>
    <row r="208" customFormat="false" ht="12" hidden="false" customHeight="false" outlineLevel="0" collapsed="false">
      <c r="BL208" s="79"/>
      <c r="BM208" s="2"/>
    </row>
    <row r="209" customFormat="false" ht="12" hidden="false" customHeight="false" outlineLevel="0" collapsed="false">
      <c r="BL209" s="79"/>
      <c r="BM209" s="2"/>
    </row>
    <row r="219" customFormat="false" ht="12" hidden="false" customHeight="false" outlineLevel="0" collapsed="false">
      <c r="BF219" s="73"/>
    </row>
    <row r="220" customFormat="false" ht="12" hidden="false" customHeight="false" outlineLevel="0" collapsed="false">
      <c r="BF220" s="73"/>
    </row>
    <row r="221" customFormat="false" ht="12" hidden="false" customHeight="false" outlineLevel="0" collapsed="false">
      <c r="BF221" s="73"/>
    </row>
    <row r="222" customFormat="false" ht="12" hidden="false" customHeight="false" outlineLevel="0" collapsed="false">
      <c r="BF222" s="73"/>
    </row>
    <row r="223" customFormat="false" ht="12" hidden="false" customHeight="false" outlineLevel="0" collapsed="false">
      <c r="BF223" s="73"/>
    </row>
    <row r="224" customFormat="false" ht="12" hidden="false" customHeight="false" outlineLevel="0" collapsed="false">
      <c r="BF224" s="73"/>
    </row>
    <row r="225" customFormat="false" ht="12" hidden="false" customHeight="false" outlineLevel="0" collapsed="false">
      <c r="BF225" s="73"/>
    </row>
    <row r="226" customFormat="false" ht="12" hidden="false" customHeight="false" outlineLevel="0" collapsed="false">
      <c r="BF226" s="73"/>
    </row>
    <row r="227" customFormat="false" ht="12" hidden="false" customHeight="false" outlineLevel="0" collapsed="false">
      <c r="BF227" s="73"/>
    </row>
  </sheetData>
  <conditionalFormatting sqref="V22:V28 V31:V36">
    <cfRule type="expression" priority="2" aboveAverage="0" equalAverage="0" bottom="0" percent="0" rank="0" text="" dxfId="10">
      <formula>ABS(V22)&lt;0.1</formula>
    </cfRule>
  </conditionalFormatting>
  <conditionalFormatting sqref="M22:R27 M13:R18 T13:Y18 M31:R36 M39:R44">
    <cfRule type="expression" priority="3" aboveAverage="0" equalAverage="0" bottom="0" percent="0" rank="0" text="" dxfId="11">
      <formula>ABS(M13)&lt;0.1</formula>
    </cfRule>
  </conditionalFormatting>
  <conditionalFormatting sqref="BR166:BR168">
    <cfRule type="cellIs" priority="4" operator="equal" aboveAverage="0" equalAverage="0" bottom="0" percent="0" rank="0" text="" dxfId="12">
      <formula>"VIRHE!"</formula>
    </cfRule>
    <cfRule type="cellIs" priority="5" operator="equal" aboveAverage="0" equalAverage="0" bottom="0" percent="0" rank="0" text="" dxfId="13">
      <formula>"OK!"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W2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V42" activeCellId="0" sqref="V42"/>
    </sheetView>
  </sheetViews>
  <sheetFormatPr defaultColWidth="9.140625" defaultRowHeight="12" customHeight="false" zeroHeight="false" outlineLevelRow="0" outlineLevelCol="0"/>
  <cols>
    <col collapsed="false" customWidth="false" hidden="false" outlineLevel="0" max="1" min="1" style="1" width="9.14"/>
    <col collapsed="false" customWidth="true" hidden="false" outlineLevel="0" max="4" min="2" style="1" width="9.3"/>
    <col collapsed="false" customWidth="true" hidden="false" outlineLevel="0" max="5" min="5" style="1" width="9.42"/>
    <col collapsed="false" customWidth="true" hidden="false" outlineLevel="0" max="7" min="6" style="1" width="9.3"/>
    <col collapsed="false" customWidth="false" hidden="false" outlineLevel="0" max="8" min="8" style="1" width="9.14"/>
    <col collapsed="false" customWidth="true" hidden="false" outlineLevel="0" max="9" min="9" style="1" width="9.57"/>
    <col collapsed="false" customWidth="false" hidden="false" outlineLevel="0" max="11" min="10" style="1" width="9.14"/>
    <col collapsed="false" customWidth="true" hidden="false" outlineLevel="0" max="12" min="12" style="1" width="9.72"/>
    <col collapsed="false" customWidth="true" hidden="false" outlineLevel="0" max="13" min="13" style="1" width="12.42"/>
    <col collapsed="false" customWidth="true" hidden="false" outlineLevel="0" max="14" min="14" style="1" width="9.3"/>
    <col collapsed="false" customWidth="true" hidden="false" outlineLevel="0" max="15" min="15" style="1" width="9.42"/>
    <col collapsed="false" customWidth="true" hidden="false" outlineLevel="0" max="16" min="16" style="1" width="10.42"/>
    <col collapsed="false" customWidth="true" hidden="false" outlineLevel="0" max="17" min="17" style="1" width="9.3"/>
    <col collapsed="false" customWidth="false" hidden="false" outlineLevel="0" max="18" min="18" style="1" width="9.14"/>
    <col collapsed="false" customWidth="true" hidden="false" outlineLevel="0" max="19" min="19" style="1" width="12.42"/>
    <col collapsed="false" customWidth="false" hidden="false" outlineLevel="0" max="20" min="20" style="1" width="9.14"/>
    <col collapsed="false" customWidth="true" hidden="false" outlineLevel="0" max="21" min="21" style="1" width="12.42"/>
    <col collapsed="false" customWidth="true" hidden="false" outlineLevel="0" max="22" min="22" style="1" width="13.86"/>
    <col collapsed="false" customWidth="true" hidden="false" outlineLevel="0" max="23" min="23" style="1" width="10.42"/>
    <col collapsed="false" customWidth="true" hidden="false" outlineLevel="0" max="24" min="24" style="1" width="12.42"/>
    <col collapsed="false" customWidth="true" hidden="false" outlineLevel="0" max="25" min="25" style="1" width="9.42"/>
    <col collapsed="false" customWidth="true" hidden="false" outlineLevel="0" max="27" min="26" style="1" width="9.3"/>
    <col collapsed="false" customWidth="false" hidden="false" outlineLevel="0" max="28" min="28" style="1" width="9.14"/>
    <col collapsed="false" customWidth="true" hidden="false" outlineLevel="0" max="29" min="29" style="1" width="9.3"/>
    <col collapsed="false" customWidth="false" hidden="false" outlineLevel="0" max="35" min="30" style="1" width="9.14"/>
    <col collapsed="false" customWidth="true" hidden="false" outlineLevel="0" max="36" min="36" style="1" width="9.3"/>
    <col collapsed="false" customWidth="true" hidden="false" outlineLevel="0" max="37" min="37" style="1" width="11"/>
    <col collapsed="false" customWidth="true" hidden="false" outlineLevel="0" max="38" min="38" style="1" width="11.14"/>
    <col collapsed="false" customWidth="true" hidden="false" outlineLevel="0" max="39" min="39" style="1" width="10.42"/>
    <col collapsed="false" customWidth="true" hidden="false" outlineLevel="0" max="40" min="40" style="1" width="9.57"/>
    <col collapsed="false" customWidth="true" hidden="false" outlineLevel="0" max="43" min="41" style="1" width="11"/>
    <col collapsed="false" customWidth="true" hidden="false" outlineLevel="0" max="44" min="44" style="1" width="9.57"/>
    <col collapsed="false" customWidth="true" hidden="false" outlineLevel="0" max="48" min="45" style="1" width="9.3"/>
    <col collapsed="false" customWidth="false" hidden="false" outlineLevel="0" max="49" min="49" style="1" width="9.14"/>
    <col collapsed="false" customWidth="true" hidden="false" outlineLevel="0" max="53" min="50" style="1" width="9.3"/>
    <col collapsed="false" customWidth="true" hidden="false" outlineLevel="0" max="54" min="54" style="1" width="12.42"/>
    <col collapsed="false" customWidth="true" hidden="false" outlineLevel="0" max="55" min="55" style="1" width="9.3"/>
    <col collapsed="false" customWidth="true" hidden="false" outlineLevel="0" max="56" min="56" style="1" width="11"/>
    <col collapsed="false" customWidth="true" hidden="false" outlineLevel="0" max="62" min="57" style="1" width="9.3"/>
    <col collapsed="false" customWidth="false" hidden="false" outlineLevel="0" max="16384" min="63" style="1" width="9.14"/>
  </cols>
  <sheetData>
    <row r="1" customFormat="false" ht="12" hidden="false" customHeight="false" outlineLevel="0" collapsed="false">
      <c r="B1" s="1" t="s">
        <v>0</v>
      </c>
    </row>
    <row r="3" customFormat="false" ht="12" hidden="false" customHeight="false" outlineLevel="0" collapsed="false">
      <c r="B3" s="2" t="s">
        <v>1</v>
      </c>
      <c r="E3" s="3"/>
      <c r="F3" s="4"/>
      <c r="L3" s="2" t="s">
        <v>6</v>
      </c>
      <c r="Y3" s="4"/>
    </row>
    <row r="4" customFormat="false" ht="12" hidden="false" customHeight="false" outlineLevel="0" collapsed="false">
      <c r="B4" s="1" t="s">
        <v>4</v>
      </c>
      <c r="E4" s="5" t="n">
        <v>45</v>
      </c>
      <c r="F4" s="1" t="s">
        <v>5</v>
      </c>
      <c r="L4" s="10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11" t="n">
        <v>6</v>
      </c>
      <c r="S4" s="7"/>
      <c r="T4" s="7"/>
      <c r="U4" s="7"/>
      <c r="V4" s="7"/>
      <c r="W4" s="7"/>
      <c r="X4" s="7"/>
      <c r="Y4" s="9"/>
      <c r="AZ4" s="2"/>
    </row>
    <row r="5" customFormat="false" ht="12" hidden="false" customHeight="false" outlineLevel="0" collapsed="false">
      <c r="B5" s="8" t="s">
        <v>8</v>
      </c>
      <c r="C5" s="9" t="n">
        <f aca="false">COS(RADIANS(E4))</f>
        <v>0.707106781186548</v>
      </c>
      <c r="D5" s="8" t="s">
        <v>9</v>
      </c>
      <c r="E5" s="6" t="n">
        <f aca="false">SIN(RADIANS(E4))</f>
        <v>0.707106781186548</v>
      </c>
      <c r="L5" s="11" t="n">
        <v>1</v>
      </c>
      <c r="M5" s="12" t="n">
        <f aca="false">B20</f>
        <v>262664.0625</v>
      </c>
      <c r="N5" s="12" t="n">
        <f aca="false">C20</f>
        <v>262335.9375</v>
      </c>
      <c r="O5" s="12" t="n">
        <f aca="false">D20</f>
        <v>-464038.825153672</v>
      </c>
      <c r="P5" s="12" t="n">
        <f aca="false">E20</f>
        <v>-262664.0625</v>
      </c>
      <c r="Q5" s="12" t="n">
        <f aca="false">F20</f>
        <v>-262335.9375</v>
      </c>
      <c r="R5" s="12" t="n">
        <f aca="false">G20</f>
        <v>-464038.825153672</v>
      </c>
      <c r="S5" s="21" t="n">
        <f aca="false">I20</f>
        <v>14142.135623731</v>
      </c>
      <c r="T5" s="7"/>
      <c r="U5" s="7"/>
      <c r="V5" s="7"/>
      <c r="W5" s="7"/>
      <c r="X5" s="7"/>
      <c r="Y5" s="9"/>
      <c r="AW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</row>
    <row r="6" customFormat="false" ht="12" hidden="false" customHeight="false" outlineLevel="0" collapsed="false">
      <c r="B6" s="1" t="s">
        <v>11</v>
      </c>
      <c r="E6" s="6" t="n">
        <v>4000</v>
      </c>
      <c r="F6" s="1" t="s">
        <v>12</v>
      </c>
      <c r="L6" s="11" t="n">
        <v>2</v>
      </c>
      <c r="M6" s="12" t="n">
        <f aca="false">B21</f>
        <v>262335.9375</v>
      </c>
      <c r="N6" s="12" t="n">
        <f aca="false">C21</f>
        <v>262664.0625</v>
      </c>
      <c r="O6" s="12" t="n">
        <f aca="false">D21</f>
        <v>464038.825153672</v>
      </c>
      <c r="P6" s="12" t="n">
        <f aca="false">E21</f>
        <v>-262335.9375</v>
      </c>
      <c r="Q6" s="12" t="n">
        <f aca="false">F21</f>
        <v>-262664.0625</v>
      </c>
      <c r="R6" s="12" t="n">
        <f aca="false">G21</f>
        <v>464038.825153672</v>
      </c>
      <c r="S6" s="21" t="n">
        <f aca="false">I21</f>
        <v>-14142.135623731</v>
      </c>
      <c r="T6" s="7"/>
      <c r="U6" s="7"/>
      <c r="V6" s="7"/>
      <c r="W6" s="7"/>
      <c r="X6" s="7"/>
      <c r="Y6" s="9"/>
      <c r="AW6" s="7"/>
      <c r="AX6" s="13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</row>
    <row r="7" customFormat="false" ht="12" hidden="false" customHeight="false" outlineLevel="0" collapsed="false">
      <c r="B7" s="1" t="s">
        <v>13</v>
      </c>
      <c r="E7" s="14" t="n">
        <f aca="false">100*100</f>
        <v>10000</v>
      </c>
      <c r="F7" s="1" t="s">
        <v>14</v>
      </c>
      <c r="L7" s="11" t="n">
        <v>3</v>
      </c>
      <c r="M7" s="12" t="n">
        <f aca="false">B22</f>
        <v>-464038.825153672</v>
      </c>
      <c r="N7" s="12" t="n">
        <f aca="false">C22</f>
        <v>464038.825153672</v>
      </c>
      <c r="O7" s="12" t="n">
        <f aca="false">D22</f>
        <v>1750000000</v>
      </c>
      <c r="P7" s="12" t="n">
        <f aca="false">E22</f>
        <v>464038.825153672</v>
      </c>
      <c r="Q7" s="12" t="n">
        <f aca="false">F22</f>
        <v>-464038.825153672</v>
      </c>
      <c r="R7" s="12" t="n">
        <f aca="false">G22</f>
        <v>875000000</v>
      </c>
      <c r="S7" s="21" t="n">
        <f aca="false">I22</f>
        <v>-13333333.3333333</v>
      </c>
      <c r="T7" s="7"/>
      <c r="U7" s="7"/>
      <c r="V7" s="41"/>
      <c r="W7" s="7"/>
      <c r="X7" s="7"/>
      <c r="Y7" s="35"/>
      <c r="AW7" s="7"/>
      <c r="AX7" s="13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</row>
    <row r="8" customFormat="false" ht="12" hidden="false" customHeight="false" outlineLevel="0" collapsed="false">
      <c r="B8" s="1" t="s">
        <v>15</v>
      </c>
      <c r="E8" s="14" t="n">
        <f aca="false">100*100^3/12</f>
        <v>8333333.33333333</v>
      </c>
      <c r="F8" s="1" t="s">
        <v>16</v>
      </c>
      <c r="L8" s="11" t="n">
        <v>4</v>
      </c>
      <c r="M8" s="12" t="n">
        <f aca="false">B23</f>
        <v>-262664.0625</v>
      </c>
      <c r="N8" s="12" t="n">
        <f aca="false">C23</f>
        <v>-262335.9375</v>
      </c>
      <c r="O8" s="12" t="n">
        <f aca="false">D23</f>
        <v>464038.825153672</v>
      </c>
      <c r="P8" s="12" t="n">
        <f aca="false">E23</f>
        <v>262664.0625</v>
      </c>
      <c r="Q8" s="12" t="n">
        <f aca="false">F23</f>
        <v>262335.9375</v>
      </c>
      <c r="R8" s="12" t="n">
        <f aca="false">G23</f>
        <v>464038.825153672</v>
      </c>
      <c r="S8" s="21" t="n">
        <f aca="false">I23</f>
        <v>14142.135623731</v>
      </c>
      <c r="T8" s="7"/>
      <c r="U8" s="7"/>
      <c r="V8" s="7"/>
      <c r="W8" s="7"/>
      <c r="X8" s="7"/>
      <c r="Y8" s="35"/>
      <c r="AW8" s="7"/>
      <c r="AX8" s="13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</row>
    <row r="9" customFormat="false" ht="12" hidden="false" customHeight="false" outlineLevel="0" collapsed="false">
      <c r="B9" s="1" t="s">
        <v>17</v>
      </c>
      <c r="E9" s="14" t="n">
        <f aca="false">210*10^3</f>
        <v>210000</v>
      </c>
      <c r="F9" s="1" t="s">
        <v>18</v>
      </c>
      <c r="L9" s="11" t="n">
        <v>5</v>
      </c>
      <c r="M9" s="12" t="n">
        <f aca="false">B24</f>
        <v>-262335.9375</v>
      </c>
      <c r="N9" s="12" t="n">
        <f aca="false">C24</f>
        <v>-262664.0625</v>
      </c>
      <c r="O9" s="12" t="n">
        <f aca="false">D24</f>
        <v>-464038.825153672</v>
      </c>
      <c r="P9" s="12" t="n">
        <f aca="false">E24</f>
        <v>262335.9375</v>
      </c>
      <c r="Q9" s="12" t="n">
        <f aca="false">F24</f>
        <v>262664.0625</v>
      </c>
      <c r="R9" s="12" t="n">
        <f aca="false">G24</f>
        <v>-464038.825153672</v>
      </c>
      <c r="S9" s="21" t="n">
        <f aca="false">I24</f>
        <v>-14142.135623731</v>
      </c>
      <c r="T9" s="7"/>
      <c r="U9" s="7"/>
      <c r="V9" s="7"/>
      <c r="W9" s="7"/>
      <c r="X9" s="7"/>
      <c r="Y9" s="35"/>
      <c r="AW9" s="7"/>
      <c r="AX9" s="13"/>
      <c r="AZ9" s="7"/>
      <c r="BA9" s="7"/>
      <c r="BB9" s="7"/>
      <c r="BC9" s="7"/>
      <c r="BD9" s="17"/>
      <c r="BE9" s="17"/>
      <c r="BF9" s="17"/>
      <c r="BG9" s="7"/>
      <c r="BH9" s="7"/>
      <c r="BI9" s="7"/>
      <c r="BJ9" s="17"/>
      <c r="BK9" s="17"/>
      <c r="BL9" s="17"/>
      <c r="BM9" s="17"/>
      <c r="BN9" s="13"/>
    </row>
    <row r="10" customFormat="false" ht="12" hidden="false" customHeight="false" outlineLevel="0" collapsed="false">
      <c r="B10" s="1" t="s">
        <v>21</v>
      </c>
      <c r="E10" s="18" t="n">
        <f aca="false">E9*E7</f>
        <v>2100000000</v>
      </c>
      <c r="F10" s="1" t="s">
        <v>22</v>
      </c>
      <c r="L10" s="11" t="n">
        <v>6</v>
      </c>
      <c r="M10" s="12" t="n">
        <f aca="false">B25</f>
        <v>-464038.825153672</v>
      </c>
      <c r="N10" s="12" t="n">
        <f aca="false">C25</f>
        <v>464038.825153672</v>
      </c>
      <c r="O10" s="12" t="n">
        <f aca="false">D25</f>
        <v>875000000</v>
      </c>
      <c r="P10" s="12" t="n">
        <f aca="false">E25</f>
        <v>464038.825153672</v>
      </c>
      <c r="Q10" s="12" t="n">
        <f aca="false">F25</f>
        <v>-464038.825153672</v>
      </c>
      <c r="R10" s="12" t="n">
        <f aca="false">G25</f>
        <v>1750000000</v>
      </c>
      <c r="S10" s="21" t="n">
        <f aca="false">I25</f>
        <v>13333333.3333333</v>
      </c>
      <c r="T10" s="7"/>
      <c r="U10" s="7"/>
      <c r="V10" s="7"/>
      <c r="W10" s="7"/>
      <c r="X10" s="7"/>
      <c r="Y10" s="13"/>
      <c r="AW10" s="7"/>
      <c r="AX10" s="13"/>
      <c r="AZ10" s="7"/>
      <c r="BA10" s="7"/>
      <c r="BB10" s="7"/>
      <c r="BC10" s="7"/>
      <c r="BD10" s="17"/>
      <c r="BE10" s="17"/>
      <c r="BF10" s="17"/>
      <c r="BG10" s="7"/>
      <c r="BH10" s="7"/>
      <c r="BI10" s="7"/>
      <c r="BJ10" s="17"/>
      <c r="BK10" s="17"/>
      <c r="BL10" s="17"/>
      <c r="BM10" s="17"/>
    </row>
    <row r="11" customFormat="false" ht="12" hidden="false" customHeight="false" outlineLevel="0" collapsed="false">
      <c r="B11" s="1" t="s">
        <v>23</v>
      </c>
      <c r="E11" s="18" t="n">
        <f aca="false">E9*E8</f>
        <v>1750000000000</v>
      </c>
      <c r="F11" s="1" t="s">
        <v>24</v>
      </c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13"/>
      <c r="AW11" s="7"/>
      <c r="AX11" s="13"/>
      <c r="AZ11" s="7"/>
      <c r="BA11" s="7"/>
      <c r="BB11" s="7"/>
      <c r="BC11" s="7"/>
      <c r="BD11" s="17"/>
      <c r="BE11" s="17"/>
      <c r="BF11" s="17"/>
      <c r="BG11" s="7"/>
      <c r="BH11" s="7"/>
      <c r="BI11" s="7"/>
      <c r="BJ11" s="17"/>
      <c r="BK11" s="17"/>
      <c r="BL11" s="17"/>
      <c r="BM11" s="17"/>
    </row>
    <row r="12" customFormat="false" ht="12" hidden="false" customHeight="false" outlineLevel="0" collapsed="false">
      <c r="L12" s="2" t="s">
        <v>109</v>
      </c>
      <c r="M12" s="7"/>
      <c r="N12" s="7" t="s">
        <v>110</v>
      </c>
      <c r="O12" s="159" t="n">
        <v>0</v>
      </c>
      <c r="P12" s="7" t="s">
        <v>111</v>
      </c>
      <c r="Q12" s="159" t="n">
        <v>45</v>
      </c>
      <c r="R12" s="7"/>
      <c r="S12" s="7"/>
      <c r="T12" s="2" t="s">
        <v>112</v>
      </c>
      <c r="U12" s="7"/>
      <c r="V12" s="7"/>
      <c r="W12" s="7"/>
      <c r="X12" s="7"/>
      <c r="AW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17"/>
    </row>
    <row r="13" customFormat="false" ht="12" hidden="false" customHeight="false" outlineLevel="0" collapsed="false">
      <c r="B13" s="2" t="s">
        <v>26</v>
      </c>
      <c r="L13" s="11" t="n">
        <v>1</v>
      </c>
      <c r="M13" s="12" t="n">
        <f aca="false">COS(RADIANS(O12))</f>
        <v>1</v>
      </c>
      <c r="N13" s="12" t="n">
        <f aca="false">SIN(RADIANS(O12))</f>
        <v>0</v>
      </c>
      <c r="O13" s="12" t="n">
        <v>0</v>
      </c>
      <c r="P13" s="12" t="n">
        <v>0</v>
      </c>
      <c r="Q13" s="12" t="n">
        <v>0</v>
      </c>
      <c r="R13" s="12" t="n">
        <v>0</v>
      </c>
      <c r="S13" s="7"/>
      <c r="T13" s="12" t="n">
        <f aca="false" t="array" ref="T13:Y18">TRANSPOSE(M13:R18)</f>
        <v>1</v>
      </c>
      <c r="U13" s="12" t="n">
        <v>-0</v>
      </c>
      <c r="V13" s="12" t="n">
        <v>0</v>
      </c>
      <c r="W13" s="12" t="n">
        <v>0</v>
      </c>
      <c r="X13" s="12" t="n">
        <v>0</v>
      </c>
      <c r="Y13" s="12" t="n">
        <v>0</v>
      </c>
      <c r="AW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</row>
    <row r="14" customFormat="false" ht="12" hidden="false" customHeight="false" outlineLevel="0" collapsed="false">
      <c r="B14" s="1" t="s">
        <v>27</v>
      </c>
      <c r="E14" s="19" t="n">
        <v>0</v>
      </c>
      <c r="F14" s="1" t="s">
        <v>28</v>
      </c>
      <c r="L14" s="11" t="n">
        <v>2</v>
      </c>
      <c r="M14" s="12" t="n">
        <f aca="false">-SIN(RADIANS(O12))</f>
        <v>-0</v>
      </c>
      <c r="N14" s="12" t="n">
        <f aca="false">COS(RADIANS(O12))</f>
        <v>1</v>
      </c>
      <c r="O14" s="12" t="n">
        <v>0</v>
      </c>
      <c r="P14" s="12" t="n">
        <v>0</v>
      </c>
      <c r="Q14" s="12" t="n">
        <v>0</v>
      </c>
      <c r="R14" s="12" t="n">
        <v>0</v>
      </c>
      <c r="S14" s="7"/>
      <c r="T14" s="12" t="n">
        <v>0</v>
      </c>
      <c r="U14" s="12" t="n">
        <v>1</v>
      </c>
      <c r="V14" s="12" t="n">
        <v>0</v>
      </c>
      <c r="W14" s="12" t="n">
        <v>0</v>
      </c>
      <c r="X14" s="12" t="n">
        <v>0</v>
      </c>
      <c r="Y14" s="12" t="n">
        <v>0</v>
      </c>
      <c r="AW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</row>
    <row r="15" customFormat="false" ht="12" hidden="false" customHeight="false" outlineLevel="0" collapsed="false">
      <c r="B15" s="1" t="s">
        <v>29</v>
      </c>
      <c r="E15" s="19" t="n">
        <v>10</v>
      </c>
      <c r="F15" s="1" t="s">
        <v>28</v>
      </c>
      <c r="L15" s="11" t="n">
        <v>3</v>
      </c>
      <c r="M15" s="12" t="n">
        <v>0</v>
      </c>
      <c r="N15" s="12" t="n">
        <v>0</v>
      </c>
      <c r="O15" s="12" t="n">
        <v>1</v>
      </c>
      <c r="P15" s="12" t="n">
        <v>0</v>
      </c>
      <c r="Q15" s="12" t="n">
        <v>0</v>
      </c>
      <c r="R15" s="12" t="n">
        <v>0</v>
      </c>
      <c r="S15" s="7"/>
      <c r="T15" s="12" t="n">
        <v>0</v>
      </c>
      <c r="U15" s="12" t="n">
        <v>0</v>
      </c>
      <c r="V15" s="12" t="n">
        <v>1</v>
      </c>
      <c r="W15" s="12" t="n">
        <v>0</v>
      </c>
      <c r="X15" s="12" t="n">
        <v>0</v>
      </c>
      <c r="Y15" s="12" t="n">
        <v>0</v>
      </c>
      <c r="AW15" s="7"/>
      <c r="AX15" s="20"/>
      <c r="AZ15" s="7"/>
      <c r="BA15" s="7"/>
      <c r="BB15" s="7"/>
      <c r="BC15" s="7"/>
      <c r="BD15" s="17"/>
      <c r="BE15" s="17"/>
      <c r="BF15" s="17"/>
      <c r="BG15" s="7"/>
      <c r="BH15" s="7"/>
      <c r="BI15" s="7"/>
      <c r="BJ15" s="17"/>
      <c r="BK15" s="17"/>
      <c r="BL15" s="17"/>
      <c r="BM15" s="17"/>
      <c r="BN15" s="17"/>
    </row>
    <row r="16" customFormat="false" ht="12" hidden="false" customHeight="false" outlineLevel="0" collapsed="false">
      <c r="E16" s="13"/>
      <c r="L16" s="11" t="n">
        <v>4</v>
      </c>
      <c r="M16" s="12" t="n">
        <v>0</v>
      </c>
      <c r="N16" s="12" t="n">
        <v>0</v>
      </c>
      <c r="O16" s="12" t="n">
        <v>0</v>
      </c>
      <c r="P16" s="12" t="n">
        <f aca="false">COS(RADIANS(Q12))</f>
        <v>0.707106781186548</v>
      </c>
      <c r="Q16" s="12" t="n">
        <f aca="false">SIN(RADIANS(Q12))</f>
        <v>0.707106781186548</v>
      </c>
      <c r="R16" s="12" t="n">
        <v>0</v>
      </c>
      <c r="T16" s="12" t="n">
        <v>0</v>
      </c>
      <c r="U16" s="12" t="n">
        <v>0</v>
      </c>
      <c r="V16" s="12" t="n">
        <v>0</v>
      </c>
      <c r="W16" s="12" t="n">
        <v>0.707106781186548</v>
      </c>
      <c r="X16" s="12" t="n">
        <v>-0.707106781186548</v>
      </c>
      <c r="Y16" s="12" t="n">
        <v>0</v>
      </c>
      <c r="AW16" s="7"/>
      <c r="AX16" s="20"/>
      <c r="AZ16" s="7"/>
      <c r="BA16" s="7"/>
      <c r="BB16" s="7"/>
      <c r="BC16" s="7"/>
      <c r="BD16" s="17"/>
      <c r="BE16" s="17"/>
      <c r="BF16" s="17"/>
      <c r="BG16" s="7"/>
      <c r="BH16" s="7"/>
      <c r="BI16" s="7"/>
      <c r="BJ16" s="17"/>
      <c r="BK16" s="17"/>
      <c r="BL16" s="17"/>
      <c r="BM16" s="17"/>
      <c r="BN16" s="20"/>
    </row>
    <row r="17" customFormat="false" ht="12" hidden="false" customHeight="false" outlineLevel="0" collapsed="false">
      <c r="B17" s="1" t="s">
        <v>124</v>
      </c>
      <c r="E17" s="1" t="n">
        <f aca="false">C5*E6</f>
        <v>2828.42712474619</v>
      </c>
      <c r="L17" s="11" t="n">
        <v>5</v>
      </c>
      <c r="M17" s="12" t="n">
        <v>0</v>
      </c>
      <c r="N17" s="12" t="n">
        <v>0</v>
      </c>
      <c r="O17" s="12" t="n">
        <v>0</v>
      </c>
      <c r="P17" s="12" t="n">
        <f aca="false">-SIN(RADIANS(Q12))</f>
        <v>-0.707106781186548</v>
      </c>
      <c r="Q17" s="12" t="n">
        <f aca="false">COS(RADIANS(Q12))</f>
        <v>0.707106781186548</v>
      </c>
      <c r="R17" s="12" t="n">
        <v>0</v>
      </c>
      <c r="T17" s="12" t="n">
        <v>0</v>
      </c>
      <c r="U17" s="12" t="n">
        <v>0</v>
      </c>
      <c r="V17" s="12" t="n">
        <v>0</v>
      </c>
      <c r="W17" s="12" t="n">
        <v>0.707106781186548</v>
      </c>
      <c r="X17" s="12" t="n">
        <v>0.707106781186548</v>
      </c>
      <c r="Y17" s="12" t="n">
        <v>0</v>
      </c>
      <c r="AW17" s="7"/>
      <c r="AX17" s="20"/>
      <c r="AZ17" s="7"/>
      <c r="BA17" s="7"/>
      <c r="BB17" s="7"/>
      <c r="BC17" s="7"/>
      <c r="BD17" s="17"/>
      <c r="BE17" s="17"/>
      <c r="BF17" s="17"/>
      <c r="BG17" s="7"/>
      <c r="BH17" s="7"/>
      <c r="BI17" s="7"/>
      <c r="BJ17" s="17"/>
      <c r="BK17" s="17"/>
      <c r="BL17" s="17"/>
      <c r="BM17" s="17"/>
      <c r="BN17" s="20"/>
    </row>
    <row r="18" customFormat="false" ht="12" hidden="false" customHeight="false" outlineLevel="0" collapsed="false">
      <c r="B18" s="1" t="s">
        <v>125</v>
      </c>
      <c r="E18" s="1" t="n">
        <f aca="false">E5*E6</f>
        <v>2828.42712474619</v>
      </c>
      <c r="L18" s="11" t="n">
        <v>6</v>
      </c>
      <c r="M18" s="12" t="n">
        <v>0</v>
      </c>
      <c r="N18" s="12" t="n">
        <v>0</v>
      </c>
      <c r="O18" s="12" t="n">
        <v>0</v>
      </c>
      <c r="P18" s="12" t="n">
        <v>0</v>
      </c>
      <c r="Q18" s="12" t="n">
        <v>0</v>
      </c>
      <c r="R18" s="12" t="n">
        <v>1</v>
      </c>
      <c r="T18" s="12" t="n">
        <v>0</v>
      </c>
      <c r="U18" s="12" t="n">
        <v>0</v>
      </c>
      <c r="V18" s="12" t="n">
        <v>0</v>
      </c>
      <c r="W18" s="12" t="n">
        <v>0</v>
      </c>
      <c r="X18" s="12" t="n">
        <v>0</v>
      </c>
      <c r="Y18" s="12" t="n">
        <v>1</v>
      </c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Z18" s="7"/>
      <c r="BA18" s="7"/>
      <c r="BB18" s="7"/>
      <c r="BC18" s="7"/>
      <c r="BD18" s="17"/>
      <c r="BE18" s="17"/>
      <c r="BF18" s="7"/>
      <c r="BG18" s="17"/>
      <c r="BH18" s="7"/>
      <c r="BI18" s="7"/>
      <c r="BJ18" s="7"/>
      <c r="BK18" s="17"/>
      <c r="BL18" s="17"/>
      <c r="BM18" s="7"/>
      <c r="BN18" s="17"/>
    </row>
    <row r="19" customFormat="false" ht="12" hidden="false" customHeight="false" outlineLevel="0" collapsed="false">
      <c r="B19" s="2" t="s">
        <v>30</v>
      </c>
      <c r="I19" s="2" t="s">
        <v>31</v>
      </c>
      <c r="AC19" s="2"/>
      <c r="AM19" s="7"/>
      <c r="AN19" s="21"/>
      <c r="AO19" s="7"/>
      <c r="AP19" s="7"/>
      <c r="AQ19" s="7"/>
      <c r="AR19" s="7"/>
      <c r="AS19" s="7"/>
      <c r="AT19" s="7"/>
      <c r="AU19" s="21"/>
      <c r="AV19" s="7"/>
      <c r="AW19" s="7"/>
      <c r="AX19" s="7"/>
      <c r="AZ19" s="7"/>
      <c r="BA19" s="7"/>
      <c r="BB19" s="7"/>
      <c r="BC19" s="7"/>
      <c r="BD19" s="17"/>
      <c r="BE19" s="17"/>
      <c r="BF19" s="7"/>
      <c r="BG19" s="17"/>
      <c r="BH19" s="7"/>
      <c r="BI19" s="7"/>
      <c r="BJ19" s="7"/>
      <c r="BK19" s="17"/>
      <c r="BL19" s="17"/>
      <c r="BM19" s="7"/>
      <c r="BN19" s="17"/>
    </row>
    <row r="20" customFormat="false" ht="12" hidden="false" customHeight="false" outlineLevel="0" collapsed="false">
      <c r="B20" s="22" t="n">
        <f aca="false">$B36*B$45+$C36*B$46+$D36*B$47+$E36*B$48+$F36*B$49+$G36*B$50</f>
        <v>262664.0625</v>
      </c>
      <c r="C20" s="22" t="n">
        <f aca="false">$B36*C$45+$C36*C$46+$D36*C$47+$E36*C$48+$F36*C$49+$G36*C$50</f>
        <v>262335.9375</v>
      </c>
      <c r="D20" s="22" t="n">
        <f aca="false">$B36*D$45+$C36*D$46+$D36*D$47+$E36*D$48+$F36*D$49+$G36*D$50</f>
        <v>-464038.825153672</v>
      </c>
      <c r="E20" s="22" t="n">
        <f aca="false">$B36*E$45+$C36*E$46+$D36*E$47+$E36*E$48+$F36*E$49+$G36*E$50</f>
        <v>-262664.0625</v>
      </c>
      <c r="F20" s="22" t="n">
        <f aca="false">$B36*F$45+$C36*F$46+$D36*F$47+$E36*F$48+$F36*F$49+$G36*F$50</f>
        <v>-262335.9375</v>
      </c>
      <c r="G20" s="22" t="n">
        <f aca="false">$B36*G$45+$C36*G$46+$D36*G$47+$E36*G$48+$F36*G$49+$G36*G$50</f>
        <v>-464038.825153672</v>
      </c>
      <c r="I20" s="23" t="n">
        <f aca="false">B54*I28+C54*I29+D54*I30+E54*I31+F54*I32+G54*I33</f>
        <v>14142.135623731</v>
      </c>
      <c r="L20" s="2" t="s">
        <v>36</v>
      </c>
      <c r="S20" s="7"/>
      <c r="T20" s="7"/>
      <c r="U20" s="7"/>
      <c r="V20" s="7"/>
      <c r="W20" s="7"/>
      <c r="X20" s="7"/>
      <c r="Y20" s="13"/>
      <c r="AJ20" s="2"/>
    </row>
    <row r="21" customFormat="false" ht="12" hidden="false" customHeight="false" outlineLevel="0" collapsed="false">
      <c r="B21" s="22" t="n">
        <f aca="false">$B37*B$45+$C37*B$46+$D37*B$47+$E37*B$48+$F37*B$49+$G37*B$50</f>
        <v>262335.9375</v>
      </c>
      <c r="C21" s="22" t="n">
        <f aca="false">$B37*C$45+$C37*C$46+$D37*C$47+$E37*C$48+$F37*C$49+$G37*C$50</f>
        <v>262664.0625</v>
      </c>
      <c r="D21" s="22" t="n">
        <f aca="false">$B37*D$45+$C37*D$46+$D37*D$47+$E37*D$48+$F37*D$49+$G37*D$50</f>
        <v>464038.825153672</v>
      </c>
      <c r="E21" s="22" t="n">
        <f aca="false">$B37*E$45+$C37*E$46+$D37*E$47+$E37*E$48+$F37*E$49+$G37*E$50</f>
        <v>-262335.9375</v>
      </c>
      <c r="F21" s="22" t="n">
        <f aca="false">$B37*F$45+$C37*F$46+$D37*F$47+$E37*F$48+$F37*F$49+$G37*F$50</f>
        <v>-262664.0625</v>
      </c>
      <c r="G21" s="22" t="n">
        <f aca="false">$B37*G$45+$C37*G$46+$D37*G$47+$E37*G$48+$F37*G$49+$G37*G$50</f>
        <v>464038.825153672</v>
      </c>
      <c r="I21" s="23" t="n">
        <f aca="false">B55*I28+C55*I29+D55*I30+E55*I31+F55*I32+G55*I33</f>
        <v>-14142.135623731</v>
      </c>
      <c r="L21" s="10"/>
      <c r="M21" s="11" t="n">
        <v>1</v>
      </c>
      <c r="N21" s="11" t="n">
        <v>2</v>
      </c>
      <c r="O21" s="11" t="n">
        <v>3</v>
      </c>
      <c r="P21" s="11" t="n">
        <v>4</v>
      </c>
      <c r="Q21" s="11" t="n">
        <v>5</v>
      </c>
      <c r="R21" s="11" t="n">
        <v>6</v>
      </c>
      <c r="S21" s="7" t="s">
        <v>37</v>
      </c>
      <c r="T21" s="10" t="s">
        <v>38</v>
      </c>
      <c r="U21" s="7" t="s">
        <v>39</v>
      </c>
      <c r="V21" s="10" t="s">
        <v>10</v>
      </c>
      <c r="X21" s="10" t="s">
        <v>38</v>
      </c>
      <c r="Y21" s="34"/>
      <c r="Z21" s="34" t="s">
        <v>40</v>
      </c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</row>
    <row r="22" customFormat="false" ht="12" hidden="false" customHeight="false" outlineLevel="0" collapsed="false">
      <c r="B22" s="22" t="n">
        <f aca="false">$B38*B$45+$C38*B$46+$D38*B$47+$E38*B$48+$F38*B$49+$G38*B$50</f>
        <v>-464038.825153672</v>
      </c>
      <c r="C22" s="22" t="n">
        <f aca="false">$B38*C$45+$C38*C$46+$D38*C$47+$E38*C$48+$F38*C$49+$G38*C$50</f>
        <v>464038.825153672</v>
      </c>
      <c r="D22" s="22" t="n">
        <f aca="false">$B38*D$45+$C38*D$46+$D38*D$47+$E38*D$48+$F38*D$49+$G38*D$50</f>
        <v>1750000000</v>
      </c>
      <c r="E22" s="22" t="n">
        <f aca="false">$B38*E$45+$C38*E$46+$D38*E$47+$E38*E$48+$F38*E$49+$G38*E$50</f>
        <v>464038.825153672</v>
      </c>
      <c r="F22" s="22" t="n">
        <f aca="false">$B38*F$45+$C38*F$46+$D38*F$47+$E38*F$48+$F38*F$49+$G38*F$50</f>
        <v>-464038.825153672</v>
      </c>
      <c r="G22" s="22" t="n">
        <f aca="false">-1*$B38*G$45+$C38*G$46+$D38*G$47+$E38*G$48+$F38*G$49+$G38*G$50</f>
        <v>875000000</v>
      </c>
      <c r="I22" s="23" t="n">
        <f aca="false">B56*I28+C56*I29+D56*I30+E56*I31+F56*I32+G56*I33</f>
        <v>-13333333.3333333</v>
      </c>
      <c r="L22" s="11" t="n">
        <v>1</v>
      </c>
      <c r="M22" s="12" t="n">
        <f aca="false">(M5+BA6+AK22)</f>
        <v>262664.0625</v>
      </c>
      <c r="N22" s="12" t="n">
        <f aca="false">(N5+BB6+AL22)</f>
        <v>262335.9375</v>
      </c>
      <c r="O22" s="12" t="n">
        <f aca="false">O5+BC6+AM22</f>
        <v>-464038.825153672</v>
      </c>
      <c r="P22" s="12" t="n">
        <f aca="false">P5+BD6+AN22</f>
        <v>-262664.0625</v>
      </c>
      <c r="Q22" s="12" t="n">
        <f aca="false">Q5+BE6+AO22</f>
        <v>-262335.9375</v>
      </c>
      <c r="R22" s="12" t="n">
        <f aca="false">R5+BF6+AP22</f>
        <v>-464038.825153672</v>
      </c>
      <c r="T22" s="7" t="n">
        <v>0</v>
      </c>
      <c r="V22" s="13" t="n">
        <f aca="false">S5</f>
        <v>14142.135623731</v>
      </c>
      <c r="W22" s="1" t="s">
        <v>41</v>
      </c>
      <c r="X22" s="36" t="n">
        <f aca="false" t="array" ref="X22:X24">T22:T24</f>
        <v>0</v>
      </c>
      <c r="Y22" s="7"/>
      <c r="Z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</row>
    <row r="23" customFormat="false" ht="12" hidden="false" customHeight="false" outlineLevel="0" collapsed="false">
      <c r="B23" s="22" t="n">
        <f aca="false">$B39*B$45+$C39*B$46+$D39*B$47+$E39*B$48+$F39*B$49+$G39*B$50</f>
        <v>-262664.0625</v>
      </c>
      <c r="C23" s="22" t="n">
        <f aca="false">$B39*C$45+$C39*C$46+$D39*C$47+$E39*C$48+$F39*C$49+$G39*C$50</f>
        <v>-262335.9375</v>
      </c>
      <c r="D23" s="22" t="n">
        <f aca="false">$B39*D$45+$C39*D$46+$D39*D$47+$E39*D$48+$F39*D$49+$G39*D$50</f>
        <v>464038.825153672</v>
      </c>
      <c r="E23" s="22" t="n">
        <f aca="false">$B39*E$45+$C39*E$46+$D39*E$47+$E39*E$48+$F39*E$49+$G39*E$50</f>
        <v>262664.0625</v>
      </c>
      <c r="F23" s="22" t="n">
        <f aca="false">$B39*F$45+$C39*F$46+$D39*F$47+$E39*F$48+$F39*F$49+$G39*F$50</f>
        <v>262335.9375</v>
      </c>
      <c r="G23" s="22" t="n">
        <f aca="false">$B39*G$45+$C39*G$46+$D39*G$47+$E39*G$48+$F39*G$49+$G39*G$50</f>
        <v>464038.825153672</v>
      </c>
      <c r="I23" s="23" t="n">
        <f aca="false">B57*I28+C57*I29+D57*I30+E57*I31+F57*I32+G57*I33</f>
        <v>14142.135623731</v>
      </c>
      <c r="L23" s="11" t="n">
        <v>2</v>
      </c>
      <c r="M23" s="12" t="n">
        <f aca="false">(M6+BA7+AK23)</f>
        <v>262335.9375</v>
      </c>
      <c r="N23" s="12" t="n">
        <f aca="false">(N6+BB7+AL23)</f>
        <v>262664.0625</v>
      </c>
      <c r="O23" s="12" t="n">
        <f aca="false">O6+BC7+AM23</f>
        <v>464038.825153672</v>
      </c>
      <c r="P23" s="12" t="n">
        <f aca="false">P6+BD7+AN23</f>
        <v>-262335.9375</v>
      </c>
      <c r="Q23" s="12" t="n">
        <f aca="false">Q6+BE7+AO23</f>
        <v>-262664.0625</v>
      </c>
      <c r="R23" s="12" t="n">
        <f aca="false">R6+BF7+AP23</f>
        <v>464038.825153672</v>
      </c>
      <c r="T23" s="7" t="n">
        <v>0</v>
      </c>
      <c r="V23" s="13" t="n">
        <f aca="false">S6</f>
        <v>-14142.135623731</v>
      </c>
      <c r="W23" s="1" t="s">
        <v>43</v>
      </c>
      <c r="X23" s="36" t="n">
        <v>0</v>
      </c>
      <c r="Y23" s="37"/>
      <c r="Z23" s="20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</row>
    <row r="24" customFormat="false" ht="12" hidden="false" customHeight="false" outlineLevel="0" collapsed="false">
      <c r="B24" s="22" t="n">
        <f aca="false">$B40*B$45+$C40*B$46+$D40*B$47+$E40*B$48+$F40*B$49+$G40*B$50</f>
        <v>-262335.9375</v>
      </c>
      <c r="C24" s="22" t="n">
        <f aca="false">$B40*C$45+$C40*C$46+$D40*C$47+$E40*C$48+$F40*C$49+$G40*C$50</f>
        <v>-262664.0625</v>
      </c>
      <c r="D24" s="22" t="n">
        <f aca="false">$B40*D$45+$C40*D$46+$D40*D$47+$E40*D$48+$F40*D$49+$G40*D$50</f>
        <v>-464038.825153672</v>
      </c>
      <c r="E24" s="22" t="n">
        <f aca="false">$B40*E$45+$C40*E$46+$D40*E$47+$E40*E$48+$F40*E$49+$G40*E$50</f>
        <v>262335.9375</v>
      </c>
      <c r="F24" s="22" t="n">
        <f aca="false">$B40*F$45+$C40*F$46+$D40*F$47+$E40*F$48+$F40*F$49+$G40*F$50</f>
        <v>262664.0625</v>
      </c>
      <c r="G24" s="22" t="n">
        <f aca="false">$B40*G$45+$C40*G$46+$D40*G$47+$E40*G$48+$F40*G$49+$G40*G$50</f>
        <v>-464038.825153672</v>
      </c>
      <c r="I24" s="23" t="n">
        <f aca="false">B58*I28+C58*I29+D58*I30+E58*I31+F58*I32+G58*I33</f>
        <v>-14142.135623731</v>
      </c>
      <c r="L24" s="11" t="n">
        <v>3</v>
      </c>
      <c r="M24" s="12" t="n">
        <f aca="false">M7+BA8+AK24</f>
        <v>-464038.825153672</v>
      </c>
      <c r="N24" s="12" t="n">
        <f aca="false">N7+BB8+AL24</f>
        <v>464038.825153672</v>
      </c>
      <c r="O24" s="12" t="n">
        <f aca="false">O7+BC8+AM24</f>
        <v>1750000000</v>
      </c>
      <c r="P24" s="12" t="n">
        <f aca="false">P7+BD8+AN24</f>
        <v>464038.825153672</v>
      </c>
      <c r="Q24" s="12" t="n">
        <f aca="false">Q7+BE8+AO24</f>
        <v>-464038.825153672</v>
      </c>
      <c r="R24" s="12" t="n">
        <f aca="false">R7+BF8+AP24</f>
        <v>875000000</v>
      </c>
      <c r="T24" s="7" t="n">
        <v>0</v>
      </c>
      <c r="V24" s="13" t="n">
        <f aca="false">S7</f>
        <v>-13333333.3333333</v>
      </c>
      <c r="X24" s="36" t="n">
        <v>0</v>
      </c>
      <c r="Y24" s="37"/>
      <c r="Z24" s="20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</row>
    <row r="25" customFormat="false" ht="12" hidden="false" customHeight="false" outlineLevel="0" collapsed="false">
      <c r="B25" s="22" t="n">
        <f aca="false">$B41*B$45+$C41*B$46+$D41*B$47+$E41*B$48+$F41*B$49+$G41*B$50</f>
        <v>-464038.825153672</v>
      </c>
      <c r="C25" s="22" t="n">
        <f aca="false">$B41*C$45+$C41*C$46+$D41*C$47+$E41*C$48+$F41*C$49+$G41*C$50</f>
        <v>464038.825153672</v>
      </c>
      <c r="D25" s="22" t="n">
        <f aca="false">$B41*D$45+$C41*D$46+$D41*D$47+$E41*D$48+$F41*D$49+$G41*D$50</f>
        <v>875000000</v>
      </c>
      <c r="E25" s="22" t="n">
        <f aca="false">$B41*E$45+$C41*E$46+$D41*E$47+$E41*E$48+$F41*E$49+$G41*E$50</f>
        <v>464038.825153672</v>
      </c>
      <c r="F25" s="22" t="n">
        <f aca="false">$B41*F$45+$C41*F$46+$D41*F$47+$E41*F$48+$F41*F$49+$G41*F$50</f>
        <v>-464038.825153672</v>
      </c>
      <c r="G25" s="22" t="n">
        <f aca="false">$B41*G$45+$C41*G$46+$D41*G$47+$E41*G$48+$F41*G$49+$G41*G$50</f>
        <v>1750000000</v>
      </c>
      <c r="I25" s="23" t="n">
        <f aca="false">B59*I28+C59*I29+D59*I30+E59*I31+F59*I32+G59*I33</f>
        <v>13333333.3333333</v>
      </c>
      <c r="K25" s="2"/>
      <c r="L25" s="11" t="n">
        <v>4</v>
      </c>
      <c r="M25" s="12" t="n">
        <f aca="false">M8+BA9+AK25</f>
        <v>-262664.0625</v>
      </c>
      <c r="N25" s="12" t="n">
        <f aca="false">N8+BB9+AL25</f>
        <v>-262335.9375</v>
      </c>
      <c r="O25" s="12" t="n">
        <f aca="false">O8+BC9+AM25</f>
        <v>464038.825153672</v>
      </c>
      <c r="P25" s="39" t="n">
        <f aca="false">(P8+BD9+AN25)</f>
        <v>262664.0625</v>
      </c>
      <c r="Q25" s="39" t="n">
        <f aca="false">(Q8+BE9+AO25)</f>
        <v>262335.9375</v>
      </c>
      <c r="R25" s="39" t="n">
        <f aca="false">R8+BF9+AP25</f>
        <v>464038.825153672</v>
      </c>
      <c r="T25" s="7" t="n">
        <v>0</v>
      </c>
      <c r="V25" s="13" t="n">
        <f aca="false">S8</f>
        <v>14142.135623731</v>
      </c>
      <c r="W25" s="1" t="s">
        <v>113</v>
      </c>
      <c r="X25" s="36" t="n">
        <f aca="false">U66</f>
        <v>129.299525702692</v>
      </c>
      <c r="Y25" s="37"/>
      <c r="Z25" s="20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</row>
    <row r="26" customFormat="false" ht="12" hidden="false" customHeight="false" outlineLevel="0" collapsed="false">
      <c r="I26" s="13"/>
      <c r="L26" s="11" t="n">
        <v>5</v>
      </c>
      <c r="M26" s="12" t="n">
        <f aca="false">M9+BA10+AK26</f>
        <v>-262335.9375</v>
      </c>
      <c r="N26" s="12" t="n">
        <f aca="false">N9+BB10+AL26</f>
        <v>-262664.0625</v>
      </c>
      <c r="O26" s="12" t="n">
        <f aca="false">O9+BC10+AM26</f>
        <v>-464038.825153672</v>
      </c>
      <c r="P26" s="39" t="n">
        <f aca="false">(P9+BD10+AN26)</f>
        <v>262335.9375</v>
      </c>
      <c r="Q26" s="39" t="n">
        <f aca="false">(Q9+BE10+AO26)</f>
        <v>262664.0625</v>
      </c>
      <c r="R26" s="39" t="n">
        <f aca="false">R9+BF10+AP26</f>
        <v>-464038.825153672</v>
      </c>
      <c r="T26" s="7" t="s">
        <v>102</v>
      </c>
      <c r="V26" s="13" t="n">
        <f aca="false">S9</f>
        <v>-14142.135623731</v>
      </c>
      <c r="W26" s="1" t="s">
        <v>114</v>
      </c>
      <c r="X26" s="36" t="n">
        <f aca="false">U67</f>
        <v>-129.299525702692</v>
      </c>
      <c r="Y26" s="34"/>
      <c r="Z26" s="34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Y26" s="2"/>
    </row>
    <row r="27" customFormat="false" ht="12" hidden="false" customHeight="false" outlineLevel="0" collapsed="false">
      <c r="B27" s="2" t="s">
        <v>33</v>
      </c>
      <c r="I27" s="27" t="s">
        <v>34</v>
      </c>
      <c r="L27" s="11" t="n">
        <v>6</v>
      </c>
      <c r="M27" s="12" t="n">
        <f aca="false">M10+BA11+AK27</f>
        <v>-464038.825153672</v>
      </c>
      <c r="N27" s="12" t="n">
        <f aca="false">N10+BB11+AL27</f>
        <v>464038.825153672</v>
      </c>
      <c r="O27" s="12" t="n">
        <f aca="false">O10+BC11+AM27</f>
        <v>875000000</v>
      </c>
      <c r="P27" s="39" t="n">
        <f aca="false">P10+BD11+AN27</f>
        <v>464038.825153672</v>
      </c>
      <c r="Q27" s="39" t="n">
        <f aca="false">Q10+BE11+AO27</f>
        <v>-464038.825153672</v>
      </c>
      <c r="R27" s="39" t="n">
        <f aca="false">R10+BF11+AP27</f>
        <v>1750000000</v>
      </c>
      <c r="T27" s="7" t="s">
        <v>115</v>
      </c>
      <c r="V27" s="13" t="n">
        <f aca="false">S10</f>
        <v>13333333.3333333</v>
      </c>
      <c r="X27" s="40" t="n">
        <f aca="false">U60</f>
        <v>-0.0609523809523856</v>
      </c>
      <c r="Y27" s="37"/>
      <c r="Z27" s="20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Y27" s="2"/>
    </row>
    <row r="28" customFormat="false" ht="12" hidden="false" customHeight="false" outlineLevel="0" collapsed="false">
      <c r="B28" s="28" t="n">
        <f aca="false">$E$10/E6</f>
        <v>525000</v>
      </c>
      <c r="C28" s="29" t="n">
        <v>0</v>
      </c>
      <c r="D28" s="29" t="n">
        <v>0</v>
      </c>
      <c r="E28" s="28" t="n">
        <f aca="false">-$E$10/E6</f>
        <v>-525000</v>
      </c>
      <c r="F28" s="29" t="n">
        <v>0</v>
      </c>
      <c r="G28" s="29" t="n">
        <v>0</v>
      </c>
      <c r="I28" s="28" t="n">
        <f aca="false">-E6/2*E15*I38</f>
        <v>1.22464679914735E-012</v>
      </c>
      <c r="T28" s="7"/>
      <c r="V28" s="13"/>
      <c r="X28" s="36"/>
      <c r="Y28" s="37"/>
      <c r="Z28" s="20"/>
      <c r="AJ28" s="7"/>
      <c r="AK28" s="7"/>
      <c r="AL28" s="7"/>
      <c r="AM28" s="7"/>
      <c r="AN28" s="7"/>
      <c r="AO28" s="7"/>
      <c r="AP28" s="7"/>
      <c r="AQ28" s="17"/>
      <c r="AR28" s="17"/>
      <c r="AS28" s="17"/>
      <c r="AT28" s="17"/>
      <c r="AU28" s="17"/>
      <c r="AV28" s="17"/>
      <c r="AW28" s="7"/>
      <c r="AX28" s="13"/>
      <c r="AY28" s="32"/>
    </row>
    <row r="29" customFormat="false" ht="12" hidden="false" customHeight="false" outlineLevel="0" collapsed="false">
      <c r="B29" s="29" t="n">
        <v>0</v>
      </c>
      <c r="C29" s="28" t="n">
        <f aca="false">(12*$E$11)/$E$6^3</f>
        <v>328.125</v>
      </c>
      <c r="D29" s="28" t="n">
        <f aca="false">(6*$E$11)/$E$6^2</f>
        <v>656250</v>
      </c>
      <c r="E29" s="29" t="n">
        <v>0</v>
      </c>
      <c r="F29" s="28" t="n">
        <f aca="false">-(12*$E$11)/$E$6^3</f>
        <v>-328.125</v>
      </c>
      <c r="G29" s="28" t="n">
        <f aca="false">(6*$E$11)/$E$6^2</f>
        <v>656250</v>
      </c>
      <c r="I29" s="28" t="n">
        <f aca="false">-E6/2*E15*I39</f>
        <v>-20000</v>
      </c>
      <c r="L29" s="2" t="s">
        <v>116</v>
      </c>
      <c r="T29" s="7"/>
      <c r="V29" s="10" t="s">
        <v>117</v>
      </c>
      <c r="X29" s="36"/>
      <c r="Y29" s="41"/>
      <c r="Z29" s="7"/>
      <c r="AJ29" s="7"/>
      <c r="AK29" s="7"/>
      <c r="AL29" s="7"/>
      <c r="AM29" s="7"/>
      <c r="AN29" s="7"/>
      <c r="AO29" s="7"/>
      <c r="AP29" s="7"/>
      <c r="AQ29" s="17"/>
      <c r="AR29" s="17"/>
      <c r="AS29" s="17"/>
      <c r="AT29" s="17"/>
      <c r="AU29" s="17"/>
      <c r="AV29" s="17"/>
      <c r="AW29" s="7"/>
      <c r="AX29" s="13"/>
      <c r="AY29" s="33"/>
    </row>
    <row r="30" customFormat="false" ht="12" hidden="false" customHeight="false" outlineLevel="0" collapsed="false">
      <c r="B30" s="29" t="n">
        <v>0</v>
      </c>
      <c r="C30" s="28" t="n">
        <f aca="false">(6*$E$11)/$E$6^2</f>
        <v>656250</v>
      </c>
      <c r="D30" s="28" t="n">
        <f aca="false">4*$E$11/$E$6</f>
        <v>1750000000</v>
      </c>
      <c r="E30" s="29" t="n">
        <v>0</v>
      </c>
      <c r="F30" s="28" t="n">
        <f aca="false">-(6*$E$11)/$E$6^2</f>
        <v>-656250</v>
      </c>
      <c r="G30" s="28" t="n">
        <f aca="false">2*$E$11/$E$6</f>
        <v>875000000</v>
      </c>
      <c r="I30" s="28" t="n">
        <f aca="false">-1*(E15*E6^2)/12*I39</f>
        <v>-13333333.3333333</v>
      </c>
      <c r="L30" s="10"/>
      <c r="M30" s="11" t="n">
        <v>1</v>
      </c>
      <c r="N30" s="11" t="n">
        <v>2</v>
      </c>
      <c r="O30" s="11" t="n">
        <v>3</v>
      </c>
      <c r="P30" s="11" t="n">
        <v>4</v>
      </c>
      <c r="Q30" s="11" t="n">
        <v>5</v>
      </c>
      <c r="R30" s="11" t="n">
        <v>6</v>
      </c>
      <c r="T30" s="7"/>
      <c r="V30" s="10" t="s">
        <v>10</v>
      </c>
      <c r="X30" s="36"/>
      <c r="Y30" s="37"/>
      <c r="Z30" s="20"/>
      <c r="AA30" s="7"/>
      <c r="AJ30" s="7"/>
      <c r="AK30" s="7"/>
      <c r="AL30" s="7"/>
      <c r="AM30" s="7"/>
      <c r="AN30" s="7"/>
      <c r="AO30" s="7"/>
      <c r="AP30" s="7"/>
      <c r="AQ30" s="17"/>
      <c r="AR30" s="17"/>
      <c r="AS30" s="17"/>
      <c r="AT30" s="17"/>
      <c r="AU30" s="17"/>
      <c r="AV30" s="17"/>
      <c r="AW30" s="7"/>
      <c r="AX30" s="13"/>
      <c r="AY30" s="32"/>
    </row>
    <row r="31" customFormat="false" ht="12" hidden="false" customHeight="false" outlineLevel="0" collapsed="false">
      <c r="B31" s="28" t="n">
        <f aca="false">-$E$10/E6</f>
        <v>-525000</v>
      </c>
      <c r="C31" s="29" t="n">
        <v>0</v>
      </c>
      <c r="D31" s="29" t="n">
        <v>0</v>
      </c>
      <c r="E31" s="28" t="n">
        <f aca="false">$E$10/E6</f>
        <v>525000</v>
      </c>
      <c r="F31" s="29" t="n">
        <v>0</v>
      </c>
      <c r="G31" s="29" t="n">
        <v>0</v>
      </c>
      <c r="I31" s="28" t="n">
        <f aca="false">-E6/2*E15*I38</f>
        <v>1.22464679914735E-012</v>
      </c>
      <c r="L31" s="11" t="n">
        <v>1</v>
      </c>
      <c r="M31" s="12" t="n">
        <f aca="false" t="array" ref="M31:R36">MMULT(M22:R27,T13:Y18)</f>
        <v>262664.0625</v>
      </c>
      <c r="N31" s="12" t="n">
        <v>262335.9375</v>
      </c>
      <c r="O31" s="12" t="n">
        <v>-464038.825153672</v>
      </c>
      <c r="P31" s="12" t="n">
        <v>-371231.060122938</v>
      </c>
      <c r="Q31" s="12" t="n">
        <v>232.019412576832</v>
      </c>
      <c r="R31" s="12" t="n">
        <v>-464038.825153672</v>
      </c>
      <c r="T31" s="7"/>
      <c r="V31" s="13" t="n">
        <f aca="false" t="array" ref="V31:V36">MMULT(M13:R18,V22:V27)</f>
        <v>14142.135623731</v>
      </c>
      <c r="X31" s="36"/>
      <c r="Y31" s="41"/>
      <c r="Z31" s="7"/>
      <c r="AJ31" s="7"/>
      <c r="AK31" s="7"/>
      <c r="AL31" s="7"/>
      <c r="AM31" s="7"/>
      <c r="AN31" s="7"/>
      <c r="AO31" s="7"/>
      <c r="AP31" s="7"/>
      <c r="AQ31" s="17"/>
      <c r="AR31" s="17"/>
      <c r="AS31" s="17"/>
      <c r="AT31" s="17"/>
      <c r="AU31" s="17"/>
      <c r="AV31" s="17"/>
      <c r="AW31" s="7"/>
      <c r="AX31" s="13"/>
      <c r="AY31" s="32"/>
    </row>
    <row r="32" customFormat="false" ht="12" hidden="false" customHeight="false" outlineLevel="0" collapsed="false">
      <c r="B32" s="29" t="n">
        <v>0</v>
      </c>
      <c r="C32" s="28" t="n">
        <f aca="false">-(12*$E$11)/$E$6^3</f>
        <v>-328.125</v>
      </c>
      <c r="D32" s="28" t="n">
        <f aca="false">-(6*$E$11)/$E$6^2</f>
        <v>-656250</v>
      </c>
      <c r="E32" s="29" t="n">
        <v>0</v>
      </c>
      <c r="F32" s="28" t="n">
        <f aca="false">(12*$E$11)/$E$6^3</f>
        <v>328.125</v>
      </c>
      <c r="G32" s="28" t="n">
        <f aca="false">-(6*$E$11)/$E$6^2</f>
        <v>-656250</v>
      </c>
      <c r="I32" s="28" t="n">
        <f aca="false">-E6/2*E15*I39</f>
        <v>-20000</v>
      </c>
      <c r="L32" s="11" t="n">
        <v>2</v>
      </c>
      <c r="M32" s="12" t="n">
        <v>262335.9375</v>
      </c>
      <c r="N32" s="12" t="n">
        <v>262664.0625</v>
      </c>
      <c r="O32" s="12" t="n">
        <v>464038.825153672</v>
      </c>
      <c r="P32" s="12" t="n">
        <v>-371231.060122938</v>
      </c>
      <c r="Q32" s="12" t="n">
        <v>-232.019412576832</v>
      </c>
      <c r="R32" s="12" t="n">
        <v>464038.825153672</v>
      </c>
      <c r="V32" s="13" t="n">
        <v>-14142.135623731</v>
      </c>
      <c r="AJ32" s="7"/>
      <c r="AK32" s="7"/>
      <c r="AL32" s="7"/>
      <c r="AM32" s="7"/>
      <c r="AN32" s="7"/>
      <c r="AO32" s="7"/>
      <c r="AP32" s="7"/>
      <c r="AQ32" s="17"/>
      <c r="AR32" s="17"/>
      <c r="AS32" s="17"/>
      <c r="AT32" s="17"/>
      <c r="AU32" s="17"/>
      <c r="AV32" s="17"/>
      <c r="AW32" s="7"/>
      <c r="AX32" s="13"/>
      <c r="AY32" s="33"/>
    </row>
    <row r="33" customFormat="false" ht="12" hidden="false" customHeight="false" outlineLevel="0" collapsed="false">
      <c r="B33" s="29" t="n">
        <v>0</v>
      </c>
      <c r="C33" s="28" t="n">
        <f aca="false">(6*$E$11)/$E$6^2</f>
        <v>656250</v>
      </c>
      <c r="D33" s="28" t="n">
        <f aca="false">2*$E$11/$E$6</f>
        <v>875000000</v>
      </c>
      <c r="E33" s="29" t="n">
        <v>0</v>
      </c>
      <c r="F33" s="28" t="n">
        <f aca="false">-(6*$E$11)/$E$6^2</f>
        <v>-656250</v>
      </c>
      <c r="G33" s="28" t="n">
        <f aca="false">4*$E$11/$E$6</f>
        <v>1750000000</v>
      </c>
      <c r="I33" s="28" t="n">
        <f aca="false">1*(E15*E6^2)/12*I39</f>
        <v>13333333.3333333</v>
      </c>
      <c r="L33" s="11" t="n">
        <v>3</v>
      </c>
      <c r="M33" s="12" t="n">
        <v>-464038.825153672</v>
      </c>
      <c r="N33" s="12" t="n">
        <v>464038.825153672</v>
      </c>
      <c r="O33" s="12" t="n">
        <v>1750000000</v>
      </c>
      <c r="P33" s="12" t="n">
        <v>0</v>
      </c>
      <c r="Q33" s="12" t="n">
        <v>-656250</v>
      </c>
      <c r="R33" s="12" t="n">
        <v>875000000</v>
      </c>
      <c r="V33" s="13" t="n">
        <v>-13333333.3333333</v>
      </c>
      <c r="AJ33" s="7"/>
      <c r="AK33" s="7"/>
      <c r="AL33" s="7"/>
      <c r="AM33" s="7"/>
      <c r="AN33" s="7"/>
      <c r="AO33" s="7"/>
      <c r="AP33" s="7"/>
      <c r="AQ33" s="17"/>
      <c r="AR33" s="17"/>
      <c r="AS33" s="17"/>
      <c r="AT33" s="17"/>
      <c r="AU33" s="17"/>
      <c r="AV33" s="17"/>
      <c r="AW33" s="7"/>
      <c r="AX33" s="13"/>
      <c r="AY33" s="32"/>
    </row>
    <row r="34" customFormat="false" ht="12" hidden="false" customHeight="false" outlineLevel="0" collapsed="false">
      <c r="L34" s="11" t="n">
        <v>4</v>
      </c>
      <c r="M34" s="12" t="n">
        <v>-262664.0625</v>
      </c>
      <c r="N34" s="12" t="n">
        <v>-262335.9375</v>
      </c>
      <c r="O34" s="12" t="n">
        <v>464038.825153672</v>
      </c>
      <c r="P34" s="12" t="n">
        <v>371231.060122938</v>
      </c>
      <c r="Q34" s="12" t="n">
        <v>-232.019412576832</v>
      </c>
      <c r="R34" s="12" t="n">
        <v>464038.825153672</v>
      </c>
      <c r="V34" s="13" t="n">
        <v>0</v>
      </c>
      <c r="AB34" s="20"/>
      <c r="AD34" s="36"/>
      <c r="AE34" s="41"/>
      <c r="AF34" s="41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</row>
    <row r="35" customFormat="false" ht="12" hidden="false" customHeight="false" outlineLevel="0" collapsed="false">
      <c r="B35" s="2" t="s">
        <v>35</v>
      </c>
      <c r="I35" s="1" t="s">
        <v>118</v>
      </c>
      <c r="L35" s="11" t="n">
        <v>5</v>
      </c>
      <c r="M35" s="12" t="n">
        <v>-262335.9375</v>
      </c>
      <c r="N35" s="12" t="n">
        <v>-262664.0625</v>
      </c>
      <c r="O35" s="12" t="n">
        <v>-464038.825153672</v>
      </c>
      <c r="P35" s="12" t="n">
        <v>371231.060122938</v>
      </c>
      <c r="Q35" s="12" t="n">
        <v>232.019412576832</v>
      </c>
      <c r="R35" s="12" t="n">
        <v>-464038.825153672</v>
      </c>
      <c r="V35" s="13" t="n">
        <v>-20000</v>
      </c>
      <c r="AB35" s="20"/>
      <c r="AD35" s="36"/>
      <c r="AE35" s="34"/>
      <c r="AF35" s="34"/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</row>
    <row r="36" customFormat="false" ht="12" hidden="false" customHeight="false" outlineLevel="0" collapsed="false">
      <c r="B36" s="28" t="n">
        <f aca="false">$B54*B28+$C54*B29+$D54*B30+$E54*B31+$F54*B32+$G54*B33</f>
        <v>371231.060122938</v>
      </c>
      <c r="C36" s="28" t="n">
        <f aca="false">$B54*C28+$C54*C29+$D54*C30+$E54*C31+$F54*C32+$G54*C33</f>
        <v>-232.019412576836</v>
      </c>
      <c r="D36" s="28" t="n">
        <f aca="false">$B54*D28+$C54*D29+$D54*D30+$E54*D31+$F54*D32+$G54*D33</f>
        <v>-464038.825153672</v>
      </c>
      <c r="E36" s="28" t="n">
        <f aca="false">$B54*E28+$C54*E29+$D54*E30+$E54*E31+$F54*E32+$G54*E33</f>
        <v>-371231.060122938</v>
      </c>
      <c r="F36" s="28" t="n">
        <f aca="false">$B54*F28+$C54*F29+$D54*F30+$E54*F31+$F54*F32+$G54*F33</f>
        <v>232.019412576836</v>
      </c>
      <c r="G36" s="28" t="n">
        <f aca="false">$B54*G28+$C54*G29+$D54*G30+$E54*G31+$F54*G32+$G54*G33</f>
        <v>-464038.825153672</v>
      </c>
      <c r="I36" s="1" t="s">
        <v>119</v>
      </c>
      <c r="L36" s="11" t="n">
        <v>6</v>
      </c>
      <c r="M36" s="12" t="n">
        <v>-464038.825153672</v>
      </c>
      <c r="N36" s="12" t="n">
        <v>464038.825153672</v>
      </c>
      <c r="O36" s="12" t="n">
        <v>875000000</v>
      </c>
      <c r="P36" s="12" t="n">
        <v>0</v>
      </c>
      <c r="Q36" s="12" t="n">
        <v>-656250</v>
      </c>
      <c r="R36" s="12" t="n">
        <v>1750000000</v>
      </c>
      <c r="V36" s="13" t="n">
        <v>13333333.3333333</v>
      </c>
      <c r="AB36" s="20"/>
      <c r="AD36" s="7"/>
    </row>
    <row r="37" customFormat="false" ht="12" hidden="false" customHeight="false" outlineLevel="0" collapsed="false">
      <c r="B37" s="28" t="n">
        <f aca="false">$B55*B28+$C55*B29+$D55*B30+$E55*B31+$F55*B32+$G55*B33</f>
        <v>371231.060122938</v>
      </c>
      <c r="C37" s="28" t="n">
        <f aca="false">$B55*C28+$C55*C29+$D55*C30+$E55*C31+$F55*C32+$G55*C33</f>
        <v>232.019412576836</v>
      </c>
      <c r="D37" s="28" t="n">
        <f aca="false">$B55*D28+$C55*D29+$D55*D30+$E55*D31+$F55*D32+$G55*D33</f>
        <v>464038.825153672</v>
      </c>
      <c r="E37" s="28" t="n">
        <f aca="false">$B55*E28+$C55*E29+$D55*E30+$E55*E31+$F55*E32+$G55*E33</f>
        <v>-371231.060122938</v>
      </c>
      <c r="F37" s="28" t="n">
        <f aca="false">$B55*F28+$C55*F29+$D55*F30+$E55*F31+$F55*F32+$G55*F33</f>
        <v>-232.019412576836</v>
      </c>
      <c r="G37" s="28" t="n">
        <f aca="false">$B55*G28+$C55*G29+$D55*G30+$E55*G31+$F55*G32+$G55*G33</f>
        <v>464038.825153672</v>
      </c>
      <c r="I37" s="64" t="n">
        <v>-90</v>
      </c>
      <c r="L37" s="2" t="s">
        <v>120</v>
      </c>
      <c r="AB37" s="20"/>
      <c r="AC37" s="7"/>
      <c r="AD37" s="20"/>
      <c r="AE37" s="46"/>
      <c r="AF37" s="46"/>
    </row>
    <row r="38" customFormat="false" ht="12" hidden="false" customHeight="false" outlineLevel="0" collapsed="false">
      <c r="B38" s="28" t="n">
        <f aca="false">$B56*B28+$C56*B29+$D56*B30+$E56*B31+$F56*B32+$G56*B33</f>
        <v>0</v>
      </c>
      <c r="C38" s="28" t="n">
        <f aca="false">$B56*C28+$C56*C29+$D56*C30+$E56*C31+$F56*C32+$G56*C33</f>
        <v>656250</v>
      </c>
      <c r="D38" s="28" t="n">
        <f aca="false">$B56*D28+$C56*D29+$D56*D30+$E56*D31+$F56*D32+$G56*D33</f>
        <v>1750000000</v>
      </c>
      <c r="E38" s="28" t="n">
        <f aca="false">$B56*E28+$C56*E29+$D56*E30+$E56*E31+$F56*E32+$G56*E33</f>
        <v>0</v>
      </c>
      <c r="F38" s="28" t="n">
        <f aca="false">$B56*F28+$C56*F29+$D56*F30+$E56*F31+$F56*F32+$G56*F33</f>
        <v>-656250</v>
      </c>
      <c r="G38" s="28" t="n">
        <f aca="false">$B56*G28+$C56*G29+$D56*G30+$E56*G31+$F56*G32+$G56*G33</f>
        <v>875000000</v>
      </c>
      <c r="I38" s="9" t="n">
        <f aca="false">-COS(RADIANS(I37))</f>
        <v>-6.12323399573677E-017</v>
      </c>
      <c r="L38" s="10"/>
      <c r="M38" s="11" t="n">
        <v>1</v>
      </c>
      <c r="N38" s="11" t="n">
        <v>2</v>
      </c>
      <c r="O38" s="11" t="n">
        <v>3</v>
      </c>
      <c r="P38" s="11" t="n">
        <v>4</v>
      </c>
      <c r="Q38" s="11" t="n">
        <v>5</v>
      </c>
      <c r="R38" s="11" t="n">
        <v>6</v>
      </c>
      <c r="AD38" s="20"/>
    </row>
    <row r="39" customFormat="false" ht="12" hidden="false" customHeight="false" outlineLevel="0" collapsed="false">
      <c r="B39" s="28" t="n">
        <f aca="false">$B57*B$28+$C57*B$29+$D57*B$30+$E57*B$31+$F57*B$32+$G57*B$33</f>
        <v>-371231.060122938</v>
      </c>
      <c r="C39" s="28" t="n">
        <f aca="false">$B57*C$28+$C57*C$29+$D57*C$30+$E57*C$31+$F57*C$32+$G57*C$33</f>
        <v>232.019412576836</v>
      </c>
      <c r="D39" s="28" t="n">
        <f aca="false">$B57*D$28+$C57*D$29+$D57*D$30+$E57*D$31+$F57*D$32+$G57*D$33</f>
        <v>464038.825153672</v>
      </c>
      <c r="E39" s="28" t="n">
        <f aca="false">$B57*E$28+$C57*E$29+$D57*E$30+$E57*E$31+$F57*E$32+$G57*E$33</f>
        <v>371231.060122938</v>
      </c>
      <c r="F39" s="28" t="n">
        <f aca="false">$B57*F$28+$C57*F$29+$D57*F$30+$E57*F$31+$F57*F$32+$G57*F$33</f>
        <v>-232.019412576836</v>
      </c>
      <c r="G39" s="28" t="n">
        <f aca="false">$B57*G$28+$C57*G$29+$D57*G$30+$E57*G$31+$F57*G$32+$G57*G$33</f>
        <v>464038.825153672</v>
      </c>
      <c r="I39" s="9" t="n">
        <f aca="false">-SIN(RADIANS(I37))</f>
        <v>1</v>
      </c>
      <c r="L39" s="11" t="n">
        <v>1</v>
      </c>
      <c r="M39" s="12" t="n">
        <f aca="false" t="array" ref="M39:R44">MMULT(M13:R18,M31:R36)</f>
        <v>262664.0625</v>
      </c>
      <c r="N39" s="12" t="n">
        <v>262335.9375</v>
      </c>
      <c r="O39" s="12" t="n">
        <v>-464038.825153672</v>
      </c>
      <c r="P39" s="12" t="n">
        <v>-371231.060122938</v>
      </c>
      <c r="Q39" s="12" t="n">
        <v>232.019412576832</v>
      </c>
      <c r="R39" s="12" t="n">
        <v>-464038.825153672</v>
      </c>
      <c r="T39" s="1" t="n">
        <v>0</v>
      </c>
      <c r="V39" s="69" t="n">
        <f aca="false" t="array" ref="V39:V44">MMULT(M39:R44,T39:T44)-V31:V36</f>
        <v>-28284.2712474619</v>
      </c>
      <c r="AD39" s="20"/>
    </row>
    <row r="40" customFormat="false" ht="12" hidden="false" customHeight="false" outlineLevel="0" collapsed="false">
      <c r="B40" s="28" t="n">
        <f aca="false">$B58*B$28+$C58*B$29+$D58*B$30+$E58*B$31+$F58*B$32+$G58*B$33</f>
        <v>-371231.060122938</v>
      </c>
      <c r="C40" s="28" t="n">
        <f aca="false">$B58*C$28+$C58*C$29+$D58*C$30+$E58*C$31+$F58*C$32+$G58*C$33</f>
        <v>-232.019412576836</v>
      </c>
      <c r="D40" s="28" t="n">
        <f aca="false">$B58*D$28+$C58*D$29+$D58*D$30+$E58*D$31+$F58*D$32+$G58*D$33</f>
        <v>-464038.825153672</v>
      </c>
      <c r="E40" s="28" t="n">
        <f aca="false">$B58*E$28+$C58*E$29+$D58*E$30+$E58*E$31+$F58*E$32+$G58*E$33</f>
        <v>371231.060122938</v>
      </c>
      <c r="F40" s="28" t="n">
        <f aca="false">$B58*F$28+$C58*F$29+$D58*F$30+$E58*F$31+$F58*F$32+$G58*F$33</f>
        <v>232.019412576836</v>
      </c>
      <c r="G40" s="28" t="n">
        <f aca="false">$B58*G$28+$C58*G$29+$D58*G$30+$E58*G$31+$F58*G$32+$G58*G$33</f>
        <v>-464038.825153672</v>
      </c>
      <c r="L40" s="11" t="n">
        <v>2</v>
      </c>
      <c r="M40" s="12" t="n">
        <v>262335.9375</v>
      </c>
      <c r="N40" s="12" t="n">
        <v>262664.0625</v>
      </c>
      <c r="O40" s="12" t="n">
        <v>464038.825153672</v>
      </c>
      <c r="P40" s="12" t="n">
        <v>-371231.060122938</v>
      </c>
      <c r="Q40" s="12" t="n">
        <v>-232.019412576832</v>
      </c>
      <c r="R40" s="12" t="n">
        <v>464038.825153672</v>
      </c>
      <c r="T40" s="1" t="n">
        <v>0</v>
      </c>
      <c r="V40" s="69" t="n">
        <v>28284.2712474619</v>
      </c>
      <c r="AC40" s="7"/>
      <c r="AD40" s="20"/>
      <c r="AE40" s="7"/>
      <c r="AF40" s="7"/>
    </row>
    <row r="41" customFormat="false" ht="12" hidden="false" customHeight="false" outlineLevel="0" collapsed="false">
      <c r="B41" s="28" t="n">
        <f aca="false">$B59*B$28+$C59*B$29+$D59*B$30+$E59*B$31+$F59*B$32+$G59*B$33</f>
        <v>0</v>
      </c>
      <c r="C41" s="28" t="n">
        <f aca="false">$B59*C$28+$C59*C$29+$D59*C$30+$E59*C$31+$F59*C$32+$G59*C$33</f>
        <v>656250</v>
      </c>
      <c r="D41" s="28" t="n">
        <f aca="false">$B59*D$28+$C59*D$29+$D59*D$30+$E59*D$31+$F59*D$32+$G59*D$33</f>
        <v>875000000</v>
      </c>
      <c r="E41" s="28" t="n">
        <f aca="false">$B59*E$28+$C59*E$29+$D59*E$30+$E59*E$31+$F59*E$32+$G59*E$33</f>
        <v>0</v>
      </c>
      <c r="F41" s="28" t="n">
        <f aca="false">$B59*F$28+$C59*F$29+$D59*F$30+$E59*F$31+$F59*F$32+$G59*F$33</f>
        <v>-656250</v>
      </c>
      <c r="G41" s="28" t="n">
        <f aca="false">$B59*G$28+$C59*G$29+$D59*G$30+$E59*G$31+$F59*G$32+$G59*G$33</f>
        <v>1750000000</v>
      </c>
      <c r="L41" s="11" t="n">
        <v>3</v>
      </c>
      <c r="M41" s="12" t="n">
        <v>-464038.825153672</v>
      </c>
      <c r="N41" s="12" t="n">
        <v>464038.825153672</v>
      </c>
      <c r="O41" s="12" t="n">
        <v>1750000000</v>
      </c>
      <c r="P41" s="12" t="n">
        <v>0</v>
      </c>
      <c r="Q41" s="12" t="n">
        <v>-656250</v>
      </c>
      <c r="R41" s="12" t="n">
        <v>875000000</v>
      </c>
      <c r="T41" s="36" t="n">
        <v>0</v>
      </c>
      <c r="V41" s="69" t="n">
        <v>80000000.000004</v>
      </c>
      <c r="AD41" s="20"/>
    </row>
    <row r="42" customFormat="false" ht="12" hidden="false" customHeight="false" outlineLevel="0" collapsed="false">
      <c r="L42" s="11" t="n">
        <v>4</v>
      </c>
      <c r="M42" s="12" t="n">
        <v>-371231.060122938</v>
      </c>
      <c r="N42" s="12" t="n">
        <v>-371231.060122938</v>
      </c>
      <c r="O42" s="12" t="n">
        <v>0</v>
      </c>
      <c r="P42" s="12" t="n">
        <v>525000</v>
      </c>
      <c r="Q42" s="12" t="n">
        <v>0</v>
      </c>
      <c r="R42" s="12" t="n">
        <v>0</v>
      </c>
      <c r="T42" s="36" t="n">
        <v>0</v>
      </c>
      <c r="V42" s="69" t="n">
        <v>0</v>
      </c>
      <c r="AD42" s="20"/>
    </row>
    <row r="43" customFormat="false" ht="12" hidden="false" customHeight="false" outlineLevel="0" collapsed="false">
      <c r="H43" s="35"/>
      <c r="L43" s="11" t="n">
        <v>5</v>
      </c>
      <c r="M43" s="12" t="n">
        <v>232.019412576832</v>
      </c>
      <c r="N43" s="12" t="n">
        <v>-232.019412576832</v>
      </c>
      <c r="O43" s="12" t="n">
        <v>-656250</v>
      </c>
      <c r="P43" s="12" t="n">
        <v>0</v>
      </c>
      <c r="Q43" s="12" t="n">
        <v>328.124999999995</v>
      </c>
      <c r="R43" s="12" t="n">
        <v>-656250</v>
      </c>
      <c r="T43" s="36" t="n">
        <f aca="false">U59</f>
        <v>-182.857142857155</v>
      </c>
      <c r="V43" s="69" t="n">
        <v>0</v>
      </c>
    </row>
    <row r="44" customFormat="false" ht="12" hidden="false" customHeight="false" outlineLevel="0" collapsed="false">
      <c r="B44" s="2" t="s">
        <v>42</v>
      </c>
      <c r="L44" s="11" t="n">
        <v>6</v>
      </c>
      <c r="M44" s="12" t="n">
        <v>-464038.825153672</v>
      </c>
      <c r="N44" s="12" t="n">
        <v>464038.825153672</v>
      </c>
      <c r="O44" s="12" t="n">
        <v>875000000</v>
      </c>
      <c r="P44" s="12" t="n">
        <v>0</v>
      </c>
      <c r="Q44" s="12" t="n">
        <v>-656250</v>
      </c>
      <c r="R44" s="12" t="n">
        <v>1750000000</v>
      </c>
      <c r="T44" s="36" t="n">
        <f aca="false">U60</f>
        <v>-0.0609523809523856</v>
      </c>
      <c r="V44" s="69" t="n">
        <v>0</v>
      </c>
    </row>
    <row r="45" customFormat="false" ht="12" hidden="false" customHeight="false" outlineLevel="0" collapsed="false">
      <c r="B45" s="38" t="n">
        <f aca="false">$C$5</f>
        <v>0.707106781186548</v>
      </c>
      <c r="C45" s="38" t="n">
        <f aca="false">$E$5</f>
        <v>0.707106781186548</v>
      </c>
      <c r="D45" s="38" t="n">
        <v>0</v>
      </c>
      <c r="E45" s="38" t="n">
        <v>0</v>
      </c>
      <c r="F45" s="38" t="n">
        <v>0</v>
      </c>
      <c r="G45" s="38" t="n">
        <v>0</v>
      </c>
      <c r="AE45" s="56"/>
      <c r="AF45" s="56"/>
    </row>
    <row r="46" customFormat="false" ht="12" hidden="false" customHeight="false" outlineLevel="0" collapsed="false">
      <c r="B46" s="38" t="n">
        <f aca="false">-$E$5</f>
        <v>-0.707106781186548</v>
      </c>
      <c r="C46" s="38" t="n">
        <f aca="false">$C$5</f>
        <v>0.707106781186548</v>
      </c>
      <c r="D46" s="38" t="n">
        <v>0</v>
      </c>
      <c r="E46" s="38" t="n">
        <v>0</v>
      </c>
      <c r="F46" s="38" t="n">
        <v>0</v>
      </c>
      <c r="G46" s="38" t="n">
        <v>0</v>
      </c>
      <c r="L46" s="2" t="s">
        <v>55</v>
      </c>
      <c r="CE46" s="2"/>
    </row>
    <row r="47" customFormat="false" ht="12" hidden="false" customHeight="false" outlineLevel="0" collapsed="false">
      <c r="B47" s="38" t="n">
        <v>0</v>
      </c>
      <c r="C47" s="38" t="n">
        <v>0</v>
      </c>
      <c r="D47" s="38" t="n">
        <v>1</v>
      </c>
      <c r="E47" s="38" t="n">
        <v>0</v>
      </c>
      <c r="F47" s="38" t="n">
        <v>0</v>
      </c>
      <c r="G47" s="38" t="n">
        <v>0</v>
      </c>
      <c r="L47" s="10"/>
      <c r="M47" s="10"/>
      <c r="N47" s="10" t="n">
        <v>5</v>
      </c>
      <c r="O47" s="10" t="n">
        <v>6</v>
      </c>
      <c r="R47" s="7" t="s">
        <v>37</v>
      </c>
      <c r="S47" s="10" t="s">
        <v>38</v>
      </c>
      <c r="T47" s="7" t="s">
        <v>39</v>
      </c>
      <c r="U47" s="47" t="s">
        <v>10</v>
      </c>
      <c r="BS47" s="13"/>
      <c r="CE47" s="2"/>
    </row>
    <row r="48" customFormat="false" ht="12" hidden="false" customHeight="false" outlineLevel="0" collapsed="false">
      <c r="B48" s="38" t="n">
        <v>0</v>
      </c>
      <c r="C48" s="38" t="n">
        <v>0</v>
      </c>
      <c r="D48" s="38" t="n">
        <v>0</v>
      </c>
      <c r="E48" s="38" t="n">
        <f aca="false">$C$5</f>
        <v>0.707106781186548</v>
      </c>
      <c r="F48" s="38" t="n">
        <f aca="false">$E$5</f>
        <v>0.707106781186548</v>
      </c>
      <c r="G48" s="38" t="n">
        <v>0</v>
      </c>
      <c r="L48" s="10"/>
      <c r="M48" s="13" t="n">
        <f aca="false" t="array" ref="M48:N49">Q43:R44</f>
        <v>328.124999999995</v>
      </c>
      <c r="N48" s="1" t="n">
        <v>-656250</v>
      </c>
      <c r="O48" s="13"/>
      <c r="P48" s="13"/>
      <c r="Q48" s="13"/>
      <c r="R48" s="13"/>
      <c r="S48" s="21" t="str">
        <f aca="false" t="array" ref="S48:S49">T26:T27</f>
        <v>r14</v>
      </c>
      <c r="U48" s="50" t="n">
        <f aca="false" t="array" ref="U48:U49">V35:V36</f>
        <v>-20000</v>
      </c>
    </row>
    <row r="49" customFormat="false" ht="12" hidden="false" customHeight="false" outlineLevel="0" collapsed="false">
      <c r="B49" s="38" t="n">
        <v>0</v>
      </c>
      <c r="C49" s="38" t="n">
        <v>0</v>
      </c>
      <c r="D49" s="38" t="n">
        <v>0</v>
      </c>
      <c r="E49" s="38" t="n">
        <f aca="false">-$E$5</f>
        <v>-0.707106781186548</v>
      </c>
      <c r="F49" s="38" t="n">
        <f aca="false">$C$5</f>
        <v>0.707106781186548</v>
      </c>
      <c r="G49" s="38" t="n">
        <v>0</v>
      </c>
      <c r="L49" s="10" t="n">
        <v>5</v>
      </c>
      <c r="M49" s="13" t="n">
        <v>-656250</v>
      </c>
      <c r="N49" s="13" t="n">
        <v>1750000000</v>
      </c>
      <c r="P49" s="13"/>
      <c r="Q49" s="13"/>
      <c r="R49" s="13"/>
      <c r="S49" s="21" t="str">
        <v>r16</v>
      </c>
      <c r="U49" s="13" t="n">
        <v>13333333.3333333</v>
      </c>
      <c r="AH49" s="2"/>
      <c r="AI49" s="2"/>
      <c r="CW49" s="2"/>
    </row>
    <row r="50" customFormat="false" ht="12" hidden="false" customHeight="false" outlineLevel="0" collapsed="false">
      <c r="B50" s="38" t="n">
        <v>0</v>
      </c>
      <c r="C50" s="38" t="n">
        <v>0</v>
      </c>
      <c r="D50" s="38" t="n">
        <v>0</v>
      </c>
      <c r="E50" s="38" t="n">
        <v>0</v>
      </c>
      <c r="F50" s="38" t="n">
        <v>0</v>
      </c>
      <c r="G50" s="38" t="n">
        <f aca="false">D47</f>
        <v>1</v>
      </c>
      <c r="L50" s="10" t="n">
        <v>6</v>
      </c>
      <c r="M50" s="13"/>
      <c r="P50" s="13"/>
      <c r="AH50" s="2"/>
      <c r="AI50" s="2"/>
      <c r="BK50" s="2"/>
      <c r="CW50" s="2"/>
    </row>
    <row r="51" customFormat="false" ht="12" hidden="false" customHeight="false" outlineLevel="0" collapsed="false">
      <c r="E51" s="7"/>
      <c r="F51" s="7"/>
      <c r="Q51" s="13"/>
      <c r="R51" s="13"/>
      <c r="U51" s="50"/>
      <c r="AA51" s="7"/>
      <c r="AH51" s="32"/>
      <c r="AI51" s="32"/>
      <c r="BK51" s="42"/>
      <c r="BL51" s="42"/>
      <c r="BM51" s="42"/>
      <c r="BN51" s="42"/>
      <c r="BO51" s="42"/>
      <c r="BP51" s="42"/>
      <c r="BR51" s="7"/>
      <c r="BT51" s="7"/>
      <c r="BV51" s="7"/>
      <c r="BY51" s="7"/>
    </row>
    <row r="52" customFormat="false" ht="12" hidden="false" customHeight="false" outlineLevel="0" collapsed="false">
      <c r="L52" s="7"/>
      <c r="M52" s="13"/>
      <c r="Q52" s="13"/>
      <c r="V52" s="7"/>
      <c r="X52" s="13"/>
      <c r="AA52" s="7"/>
      <c r="AD52" s="7"/>
      <c r="AH52" s="33"/>
      <c r="AI52" s="33"/>
      <c r="BE52" s="17"/>
      <c r="BK52" s="42"/>
      <c r="BL52" s="42"/>
      <c r="BM52" s="42"/>
      <c r="BN52" s="42"/>
      <c r="BO52" s="42"/>
      <c r="BP52" s="42"/>
      <c r="BR52" s="7"/>
      <c r="BT52" s="7"/>
      <c r="BV52" s="7"/>
      <c r="BY52" s="7"/>
    </row>
    <row r="53" customFormat="false" ht="12" hidden="false" customHeight="false" outlineLevel="0" collapsed="false">
      <c r="B53" s="2" t="s">
        <v>52</v>
      </c>
      <c r="I53" s="13"/>
      <c r="L53" s="7"/>
      <c r="V53" s="7"/>
      <c r="AB53" s="20"/>
      <c r="AD53" s="20"/>
      <c r="AH53" s="32"/>
      <c r="AI53" s="32"/>
      <c r="BE53" s="17"/>
      <c r="BK53" s="42"/>
      <c r="BL53" s="42"/>
      <c r="BM53" s="42"/>
      <c r="BN53" s="42"/>
      <c r="BO53" s="42"/>
      <c r="BP53" s="42"/>
      <c r="BQ53" s="7"/>
      <c r="BR53" s="7"/>
      <c r="BS53" s="7"/>
      <c r="BT53" s="7"/>
      <c r="BU53" s="7"/>
      <c r="BV53" s="7"/>
      <c r="BW53" s="7"/>
      <c r="BX53" s="7"/>
      <c r="BY53" s="7"/>
    </row>
    <row r="54" customFormat="false" ht="12" hidden="false" customHeight="true" outlineLevel="0" collapsed="false">
      <c r="B54" s="38" t="n">
        <f aca="false">$C$5</f>
        <v>0.707106781186548</v>
      </c>
      <c r="C54" s="38" t="n">
        <f aca="false">-$E$5</f>
        <v>-0.707106781186548</v>
      </c>
      <c r="D54" s="38" t="n">
        <v>0</v>
      </c>
      <c r="E54" s="38" t="n">
        <v>0</v>
      </c>
      <c r="F54" s="38" t="n">
        <v>0</v>
      </c>
      <c r="G54" s="38" t="n">
        <v>0</v>
      </c>
      <c r="L54" s="7"/>
      <c r="V54" s="7"/>
      <c r="AB54" s="20"/>
      <c r="AD54" s="20"/>
      <c r="AH54" s="32"/>
      <c r="AI54" s="32"/>
      <c r="BE54" s="17"/>
      <c r="BK54" s="42"/>
      <c r="BL54" s="42"/>
      <c r="BM54" s="42"/>
      <c r="BN54" s="42"/>
      <c r="BO54" s="42"/>
      <c r="BP54" s="42"/>
      <c r="BR54" s="45"/>
      <c r="BT54" s="7"/>
      <c r="BV54" s="7"/>
      <c r="BY54" s="7"/>
    </row>
    <row r="55" customFormat="false" ht="12" hidden="false" customHeight="false" outlineLevel="0" collapsed="false">
      <c r="B55" s="38" t="n">
        <f aca="false">$E$5</f>
        <v>0.707106781186548</v>
      </c>
      <c r="C55" s="38" t="n">
        <f aca="false">$C$5</f>
        <v>0.707106781186548</v>
      </c>
      <c r="D55" s="38" t="n">
        <v>0</v>
      </c>
      <c r="E55" s="38" t="n">
        <v>0</v>
      </c>
      <c r="F55" s="38" t="n">
        <v>0</v>
      </c>
      <c r="G55" s="38" t="n">
        <v>0</v>
      </c>
      <c r="L55" s="7"/>
      <c r="V55" s="7"/>
      <c r="AB55" s="20"/>
      <c r="AD55" s="20"/>
      <c r="AH55" s="33"/>
      <c r="AI55" s="33"/>
      <c r="BE55" s="17"/>
      <c r="BK55" s="42"/>
      <c r="BL55" s="42"/>
      <c r="BM55" s="42"/>
      <c r="BN55" s="42"/>
      <c r="BO55" s="42"/>
      <c r="BP55" s="42"/>
      <c r="BR55" s="45"/>
      <c r="BT55" s="7"/>
      <c r="BV55" s="7"/>
      <c r="BY55" s="7"/>
    </row>
    <row r="56" customFormat="false" ht="12" hidden="false" customHeight="false" outlineLevel="0" collapsed="false">
      <c r="B56" s="38" t="n">
        <v>0</v>
      </c>
      <c r="C56" s="38" t="n">
        <v>0</v>
      </c>
      <c r="D56" s="38" t="n">
        <f aca="false">D47</f>
        <v>1</v>
      </c>
      <c r="E56" s="38" t="n">
        <v>0</v>
      </c>
      <c r="F56" s="38" t="n">
        <v>0</v>
      </c>
      <c r="G56" s="38" t="n">
        <v>0</v>
      </c>
      <c r="AB56" s="60"/>
      <c r="AD56" s="7"/>
      <c r="AH56" s="32"/>
      <c r="AI56" s="32"/>
      <c r="BE56" s="17"/>
      <c r="BK56" s="42"/>
      <c r="BL56" s="42"/>
      <c r="BM56" s="42"/>
      <c r="BN56" s="42"/>
      <c r="BO56" s="42"/>
      <c r="BP56" s="42"/>
      <c r="BR56" s="45"/>
      <c r="BT56" s="7"/>
      <c r="BV56" s="7"/>
      <c r="BY56" s="7"/>
    </row>
    <row r="57" customFormat="false" ht="12" hidden="false" customHeight="false" outlineLevel="0" collapsed="false">
      <c r="B57" s="38" t="n">
        <v>0</v>
      </c>
      <c r="C57" s="38" t="n">
        <v>0</v>
      </c>
      <c r="D57" s="38" t="n">
        <v>0</v>
      </c>
      <c r="E57" s="38" t="n">
        <f aca="false">$C$5</f>
        <v>0.707106781186548</v>
      </c>
      <c r="F57" s="38" t="n">
        <f aca="false">-$E$5</f>
        <v>-0.707106781186548</v>
      </c>
      <c r="G57" s="38" t="n">
        <v>0</v>
      </c>
      <c r="U57" s="10" t="s">
        <v>117</v>
      </c>
      <c r="AB57" s="7"/>
      <c r="AD57" s="7"/>
      <c r="BE57" s="17"/>
    </row>
    <row r="58" customFormat="false" ht="12" hidden="false" customHeight="false" outlineLevel="0" collapsed="false">
      <c r="B58" s="38" t="n">
        <v>0</v>
      </c>
      <c r="C58" s="38" t="n">
        <v>0</v>
      </c>
      <c r="D58" s="38" t="n">
        <v>0</v>
      </c>
      <c r="E58" s="38" t="n">
        <f aca="false">$E$5</f>
        <v>0.707106781186548</v>
      </c>
      <c r="F58" s="38" t="n">
        <f aca="false">$C$5</f>
        <v>0.707106781186548</v>
      </c>
      <c r="G58" s="38" t="n">
        <v>0</v>
      </c>
      <c r="L58" s="10"/>
      <c r="M58" s="10" t="n">
        <v>5</v>
      </c>
      <c r="N58" s="10" t="n">
        <v>6</v>
      </c>
      <c r="O58" s="10"/>
      <c r="P58" s="10"/>
      <c r="R58" s="7" t="s">
        <v>37</v>
      </c>
      <c r="S58" s="47" t="s">
        <v>10</v>
      </c>
      <c r="T58" s="7" t="s">
        <v>39</v>
      </c>
      <c r="U58" s="10" t="s">
        <v>38</v>
      </c>
      <c r="AB58" s="60"/>
      <c r="AC58" s="7"/>
      <c r="AD58" s="7"/>
      <c r="AE58" s="46"/>
      <c r="AF58" s="46"/>
      <c r="BE58" s="20"/>
      <c r="BK58" s="2"/>
    </row>
    <row r="59" customFormat="false" ht="12" hidden="false" customHeight="false" outlineLevel="0" collapsed="false">
      <c r="B59" s="38" t="n">
        <v>0</v>
      </c>
      <c r="C59" s="38" t="n">
        <v>0</v>
      </c>
      <c r="D59" s="38" t="n">
        <v>0</v>
      </c>
      <c r="E59" s="38" t="n">
        <v>0</v>
      </c>
      <c r="F59" s="38" t="n">
        <v>0</v>
      </c>
      <c r="G59" s="38" t="n">
        <f aca="false">D47</f>
        <v>1</v>
      </c>
      <c r="L59" s="10" t="n">
        <v>5</v>
      </c>
      <c r="M59" s="1" t="n">
        <f aca="false" t="array" ref="M59:N60">MINVERSE(M48:N49)</f>
        <v>0.012190476190477</v>
      </c>
      <c r="N59" s="1" t="n">
        <v>4.57142857142888E-006</v>
      </c>
      <c r="S59" s="13" t="n">
        <f aca="false" t="array" ref="S59:S60">U48:U49</f>
        <v>-20000</v>
      </c>
      <c r="U59" s="36" t="n">
        <f aca="false" t="array" ref="U59:U60">MMULT(M59:N60,S59:S60)</f>
        <v>-182.857142857155</v>
      </c>
      <c r="V59" s="1" t="s">
        <v>12</v>
      </c>
      <c r="W59" s="1" t="s">
        <v>126</v>
      </c>
      <c r="AB59" s="60"/>
      <c r="AC59" s="7"/>
      <c r="AD59" s="7"/>
      <c r="AE59" s="46"/>
      <c r="AF59" s="46"/>
      <c r="BE59" s="20"/>
      <c r="BK59" s="21"/>
      <c r="BL59" s="7"/>
      <c r="BM59" s="7"/>
      <c r="BN59" s="7"/>
      <c r="BO59" s="7"/>
      <c r="BP59" s="7"/>
      <c r="BR59" s="7"/>
      <c r="BT59" s="42"/>
      <c r="BV59" s="7"/>
      <c r="BY59" s="48"/>
      <c r="CA59" s="49"/>
    </row>
    <row r="60" customFormat="false" ht="12" hidden="false" customHeight="false" outlineLevel="0" collapsed="false">
      <c r="L60" s="10" t="n">
        <v>6</v>
      </c>
      <c r="M60" s="1" t="n">
        <v>4.57142857142888E-006</v>
      </c>
      <c r="N60" s="13" t="n">
        <v>2.2857142857144E-009</v>
      </c>
      <c r="P60" s="13"/>
      <c r="S60" s="1" t="n">
        <v>13333333.3333333</v>
      </c>
      <c r="U60" s="36" t="n">
        <v>-0.0609523809523856</v>
      </c>
      <c r="V60" s="1" t="s">
        <v>78</v>
      </c>
      <c r="W60" s="1" t="n">
        <f aca="false">1000*U60</f>
        <v>-60.9523809523856</v>
      </c>
      <c r="X60" s="1" t="s">
        <v>79</v>
      </c>
      <c r="AB60" s="7"/>
      <c r="AD60" s="20"/>
      <c r="BE60" s="20"/>
      <c r="BK60" s="21"/>
      <c r="BL60" s="7"/>
      <c r="BM60" s="7"/>
      <c r="BN60" s="7"/>
      <c r="BO60" s="7"/>
      <c r="BP60" s="7"/>
      <c r="BR60" s="7"/>
      <c r="BT60" s="42"/>
      <c r="BV60" s="7"/>
      <c r="BY60" s="48"/>
      <c r="CA60" s="49"/>
    </row>
    <row r="61" customFormat="false" ht="12" hidden="false" customHeight="false" outlineLevel="0" collapsed="false">
      <c r="L61" s="10"/>
      <c r="N61" s="13"/>
      <c r="P61" s="13"/>
      <c r="U61" s="36"/>
      <c r="AB61" s="7"/>
      <c r="AD61" s="20"/>
      <c r="BE61" s="20"/>
      <c r="BF61" s="7"/>
      <c r="BK61" s="21"/>
      <c r="BL61" s="7"/>
      <c r="BM61" s="7"/>
      <c r="BN61" s="7"/>
      <c r="BO61" s="7"/>
      <c r="BP61" s="7"/>
      <c r="BQ61" s="7"/>
      <c r="BR61" s="7"/>
      <c r="BS61" s="7"/>
      <c r="BT61" s="42"/>
      <c r="BU61" s="7"/>
      <c r="BV61" s="7"/>
      <c r="BW61" s="7"/>
      <c r="BX61" s="7"/>
      <c r="BY61" s="48"/>
      <c r="BZ61" s="7"/>
      <c r="CA61" s="49"/>
      <c r="CE61" s="52"/>
    </row>
    <row r="62" customFormat="false" ht="12" hidden="false" customHeight="false" outlineLevel="0" collapsed="false">
      <c r="L62" s="10"/>
      <c r="U62" s="36"/>
      <c r="AB62" s="20"/>
      <c r="AD62" s="20"/>
      <c r="BE62" s="20"/>
      <c r="BK62" s="21"/>
      <c r="BL62" s="7"/>
      <c r="BM62" s="7"/>
      <c r="BN62" s="7"/>
      <c r="BO62" s="7"/>
      <c r="BP62" s="7"/>
      <c r="BR62" s="7"/>
      <c r="BT62" s="42"/>
      <c r="BV62" s="7"/>
      <c r="BY62" s="48"/>
      <c r="CA62" s="49"/>
    </row>
    <row r="63" customFormat="false" ht="12" hidden="false" customHeight="false" outlineLevel="0" collapsed="false">
      <c r="V63" s="13"/>
      <c r="X63" s="36"/>
      <c r="AB63" s="20"/>
      <c r="AD63" s="20"/>
      <c r="BE63" s="20"/>
      <c r="BK63" s="21"/>
      <c r="BL63" s="7"/>
      <c r="BM63" s="7"/>
      <c r="BN63" s="7"/>
      <c r="BO63" s="7"/>
      <c r="BP63" s="7"/>
      <c r="BR63" s="7"/>
      <c r="BT63" s="42"/>
      <c r="BV63" s="7"/>
      <c r="BY63" s="48"/>
      <c r="CA63" s="49"/>
    </row>
    <row r="64" customFormat="false" ht="12" hidden="false" customHeight="false" outlineLevel="0" collapsed="false">
      <c r="Q64" s="13"/>
      <c r="U64" s="10" t="s">
        <v>122</v>
      </c>
      <c r="X64" s="36"/>
      <c r="AB64" s="7"/>
      <c r="AD64" s="7"/>
      <c r="BR64" s="54"/>
    </row>
    <row r="65" customFormat="false" ht="12" hidden="false" customHeight="false" outlineLevel="0" collapsed="false">
      <c r="U65" s="10" t="s">
        <v>38</v>
      </c>
      <c r="AB65" s="7"/>
      <c r="AD65" s="7"/>
      <c r="BR65" s="54"/>
    </row>
    <row r="66" customFormat="false" ht="12" hidden="false" customHeight="false" outlineLevel="0" collapsed="false">
      <c r="T66" s="1" t="s">
        <v>102</v>
      </c>
      <c r="U66" s="1" t="n">
        <f aca="false">-SIN(RADIANS(Q12))*U59</f>
        <v>129.299525702692</v>
      </c>
      <c r="V66" s="1" t="s">
        <v>12</v>
      </c>
      <c r="W66" s="1" t="n">
        <v>0</v>
      </c>
      <c r="X66" s="1" t="n">
        <f aca="false" t="array" ref="X66:X67">MMULT(W16:X17,W66:W67)</f>
        <v>129.299525702692</v>
      </c>
      <c r="AB66" s="7"/>
      <c r="AD66" s="7"/>
      <c r="BR66" s="54"/>
    </row>
    <row r="67" customFormat="false" ht="12" hidden="false" customHeight="false" outlineLevel="0" collapsed="false">
      <c r="I67" s="9"/>
      <c r="T67" s="1" t="s">
        <v>123</v>
      </c>
      <c r="U67" s="1" t="n">
        <f aca="false">COS(RADIANS(Q12))*U59</f>
        <v>-129.299525702692</v>
      </c>
      <c r="V67" s="1" t="s">
        <v>12</v>
      </c>
      <c r="W67" s="36" t="n">
        <f aca="false">U59</f>
        <v>-182.857142857155</v>
      </c>
      <c r="X67" s="1" t="n">
        <v>-129.299525702692</v>
      </c>
      <c r="BR67" s="54"/>
    </row>
    <row r="68" customFormat="false" ht="12" hidden="false" customHeight="false" outlineLevel="0" collapsed="false">
      <c r="BR68" s="54"/>
    </row>
    <row r="69" customFormat="false" ht="12" hidden="false" customHeight="true" outlineLevel="0" collapsed="false">
      <c r="BR69" s="54"/>
    </row>
    <row r="70" customFormat="false" ht="12" hidden="false" customHeight="false" outlineLevel="0" collapsed="false">
      <c r="E70" s="15"/>
      <c r="AG70" s="2"/>
      <c r="AH70" s="2"/>
    </row>
    <row r="71" customFormat="false" ht="12" hidden="false" customHeight="false" outlineLevel="0" collapsed="false">
      <c r="AG71" s="2"/>
      <c r="AH71" s="2"/>
      <c r="AI71" s="2"/>
    </row>
    <row r="72" customFormat="false" ht="12" hidden="false" customHeight="true" outlineLevel="0" collapsed="false"/>
    <row r="73" customFormat="false" ht="15" hidden="false" customHeight="true" outlineLevel="0" collapsed="false">
      <c r="BK73" s="2"/>
    </row>
    <row r="74" customFormat="false" ht="12" hidden="false" customHeight="false" outlineLevel="0" collapsed="false">
      <c r="L74" s="1" t="s">
        <v>83</v>
      </c>
      <c r="BE74" s="20"/>
      <c r="BK74" s="42"/>
      <c r="BL74" s="42"/>
      <c r="BM74" s="42"/>
      <c r="BN74" s="42"/>
      <c r="BO74" s="42"/>
      <c r="BP74" s="42"/>
      <c r="BR74" s="45"/>
      <c r="BT74" s="7"/>
      <c r="BV74" s="58"/>
    </row>
    <row r="75" customFormat="false" ht="19.4" hidden="false" customHeight="false" outlineLevel="0" collapsed="false">
      <c r="G75" s="59"/>
      <c r="L75" s="1" t="s">
        <v>84</v>
      </c>
      <c r="V75" s="160" t="s">
        <v>85</v>
      </c>
      <c r="X75" s="160" t="s">
        <v>88</v>
      </c>
      <c r="BE75" s="20"/>
      <c r="BK75" s="42"/>
      <c r="BL75" s="42"/>
      <c r="BM75" s="42"/>
      <c r="BN75" s="42"/>
      <c r="BO75" s="42"/>
      <c r="BP75" s="42"/>
      <c r="BR75" s="45"/>
      <c r="BT75" s="7"/>
      <c r="BV75" s="58"/>
    </row>
    <row r="76" customFormat="false" ht="12" hidden="false" customHeight="false" outlineLevel="0" collapsed="false">
      <c r="L76" s="10"/>
      <c r="M76" s="10" t="n">
        <v>1</v>
      </c>
      <c r="N76" s="10" t="n">
        <v>2</v>
      </c>
      <c r="O76" s="10" t="n">
        <v>3</v>
      </c>
      <c r="P76" s="10" t="n">
        <v>4</v>
      </c>
      <c r="Q76" s="10" t="n">
        <v>5</v>
      </c>
      <c r="R76" s="10" t="n">
        <v>6</v>
      </c>
      <c r="S76" s="7" t="s">
        <v>37</v>
      </c>
      <c r="T76" s="10" t="s">
        <v>86</v>
      </c>
      <c r="U76" s="7" t="s">
        <v>87</v>
      </c>
      <c r="V76" s="160"/>
      <c r="W76" s="7" t="s">
        <v>39</v>
      </c>
      <c r="X76" s="160"/>
      <c r="BE76" s="20"/>
      <c r="BK76" s="42"/>
      <c r="BL76" s="42"/>
      <c r="BM76" s="42"/>
      <c r="BN76" s="42"/>
      <c r="BO76" s="42"/>
      <c r="BP76" s="42"/>
      <c r="BQ76" s="7"/>
      <c r="BR76" s="45"/>
      <c r="BS76" s="7"/>
      <c r="BT76" s="7"/>
      <c r="BU76" s="7"/>
      <c r="BV76" s="58"/>
    </row>
    <row r="77" customFormat="false" ht="12" hidden="false" customHeight="false" outlineLevel="0" collapsed="false">
      <c r="L77" s="10" t="n">
        <v>1</v>
      </c>
      <c r="M77" s="13" t="n">
        <f aca="false">B28</f>
        <v>525000</v>
      </c>
      <c r="N77" s="13" t="n">
        <f aca="false">C28</f>
        <v>0</v>
      </c>
      <c r="O77" s="13" t="n">
        <f aca="false">D28</f>
        <v>0</v>
      </c>
      <c r="P77" s="13" t="n">
        <f aca="false">E28</f>
        <v>-525000</v>
      </c>
      <c r="Q77" s="13" t="n">
        <f aca="false">F28</f>
        <v>0</v>
      </c>
      <c r="R77" s="13" t="n">
        <f aca="false">G28</f>
        <v>0</v>
      </c>
      <c r="T77" s="1" t="n">
        <f aca="false" t="array" ref="T77:T82">MMULT(B45:G50,X22:X27)</f>
        <v>0</v>
      </c>
      <c r="V77" s="13" t="n">
        <f aca="false">I28</f>
        <v>1.22464679914735E-012</v>
      </c>
      <c r="X77" s="13" t="e">
        <f aca="false" t="array" ref="X77:X82">MMULT(M77:R82,_xlfn.anchorarray(T77))-V77:V82</f>
        <v>#NAME?</v>
      </c>
      <c r="BE77" s="7"/>
      <c r="BK77" s="42"/>
      <c r="BL77" s="42"/>
      <c r="BM77" s="42"/>
      <c r="BN77" s="42"/>
      <c r="BO77" s="42"/>
      <c r="BP77" s="42"/>
      <c r="BR77" s="45"/>
      <c r="BT77" s="7"/>
      <c r="BV77" s="58"/>
    </row>
    <row r="78" customFormat="false" ht="12" hidden="false" customHeight="false" outlineLevel="0" collapsed="false">
      <c r="L78" s="10" t="n">
        <v>2</v>
      </c>
      <c r="M78" s="13" t="n">
        <f aca="false">B29</f>
        <v>0</v>
      </c>
      <c r="N78" s="13" t="n">
        <f aca="false">C29</f>
        <v>328.125</v>
      </c>
      <c r="O78" s="13" t="n">
        <f aca="false">D29</f>
        <v>656250</v>
      </c>
      <c r="P78" s="13" t="n">
        <f aca="false">E29</f>
        <v>0</v>
      </c>
      <c r="Q78" s="13" t="n">
        <f aca="false">F29</f>
        <v>-328.125</v>
      </c>
      <c r="R78" s="13" t="n">
        <f aca="false">G29</f>
        <v>656250</v>
      </c>
      <c r="T78" s="1" t="n">
        <v>0</v>
      </c>
      <c r="V78" s="13" t="n">
        <f aca="false">I29</f>
        <v>-20000</v>
      </c>
      <c r="X78" s="1" t="e">
        <v>#NAME?</v>
      </c>
      <c r="BE78" s="20"/>
      <c r="BK78" s="42"/>
      <c r="BL78" s="42"/>
      <c r="BM78" s="42"/>
      <c r="BN78" s="42"/>
      <c r="BO78" s="42"/>
      <c r="BP78" s="42"/>
      <c r="BR78" s="45"/>
      <c r="BT78" s="7"/>
      <c r="BV78" s="58"/>
    </row>
    <row r="79" customFormat="false" ht="12" hidden="false" customHeight="false" outlineLevel="0" collapsed="false">
      <c r="L79" s="10" t="n">
        <v>3</v>
      </c>
      <c r="M79" s="13" t="n">
        <f aca="false">B30</f>
        <v>0</v>
      </c>
      <c r="N79" s="13" t="n">
        <f aca="false">C30</f>
        <v>656250</v>
      </c>
      <c r="O79" s="13" t="n">
        <f aca="false">D30</f>
        <v>1750000000</v>
      </c>
      <c r="P79" s="13" t="n">
        <f aca="false">E30</f>
        <v>0</v>
      </c>
      <c r="Q79" s="13" t="n">
        <f aca="false">F30</f>
        <v>-656250</v>
      </c>
      <c r="R79" s="13" t="n">
        <f aca="false">G30</f>
        <v>875000000</v>
      </c>
      <c r="T79" s="1" t="n">
        <v>0</v>
      </c>
      <c r="V79" s="13" t="n">
        <f aca="false">I30</f>
        <v>-13333333.3333333</v>
      </c>
      <c r="X79" s="1" t="e">
        <v>#NAME?</v>
      </c>
      <c r="BE79" s="20"/>
      <c r="BK79" s="42"/>
      <c r="BL79" s="42"/>
      <c r="BM79" s="42"/>
      <c r="BN79" s="42"/>
      <c r="BO79" s="42"/>
      <c r="BP79" s="42"/>
      <c r="BR79" s="45"/>
      <c r="BT79" s="7"/>
      <c r="BV79" s="58"/>
    </row>
    <row r="80" customFormat="false" ht="12" hidden="false" customHeight="false" outlineLevel="0" collapsed="false">
      <c r="L80" s="10" t="n">
        <v>4</v>
      </c>
      <c r="M80" s="13" t="n">
        <f aca="false">B31</f>
        <v>-525000</v>
      </c>
      <c r="N80" s="13" t="n">
        <f aca="false">C31</f>
        <v>0</v>
      </c>
      <c r="O80" s="13" t="n">
        <f aca="false">D31</f>
        <v>0</v>
      </c>
      <c r="P80" s="13" t="n">
        <f aca="false">E31</f>
        <v>525000</v>
      </c>
      <c r="Q80" s="13" t="n">
        <f aca="false">F31</f>
        <v>0</v>
      </c>
      <c r="R80" s="13" t="n">
        <f aca="false">G31</f>
        <v>0</v>
      </c>
      <c r="T80" s="1" t="n">
        <v>0</v>
      </c>
      <c r="V80" s="13" t="n">
        <f aca="false">I31</f>
        <v>1.22464679914735E-012</v>
      </c>
      <c r="X80" s="1" t="e">
        <v>#NAME?</v>
      </c>
      <c r="BE80" s="20"/>
    </row>
    <row r="81" customFormat="false" ht="12" hidden="false" customHeight="false" outlineLevel="0" collapsed="false">
      <c r="L81" s="10" t="n">
        <v>5</v>
      </c>
      <c r="M81" s="13" t="n">
        <f aca="false">B32</f>
        <v>0</v>
      </c>
      <c r="N81" s="13" t="n">
        <f aca="false">C32</f>
        <v>-328.125</v>
      </c>
      <c r="O81" s="13" t="n">
        <f aca="false">D32</f>
        <v>-656250</v>
      </c>
      <c r="P81" s="13" t="n">
        <f aca="false">E32</f>
        <v>0</v>
      </c>
      <c r="Q81" s="13" t="n">
        <f aca="false">F32</f>
        <v>328.125</v>
      </c>
      <c r="R81" s="13" t="n">
        <f aca="false">G32</f>
        <v>-656250</v>
      </c>
      <c r="T81" s="1" t="n">
        <v>-182.857142857155</v>
      </c>
      <c r="V81" s="13" t="n">
        <f aca="false">I32</f>
        <v>-20000</v>
      </c>
      <c r="X81" s="1" t="e">
        <v>#NAME?</v>
      </c>
      <c r="BE81" s="20"/>
      <c r="BK81" s="2"/>
    </row>
    <row r="82" customFormat="false" ht="12" hidden="false" customHeight="false" outlineLevel="0" collapsed="false">
      <c r="L82" s="10" t="n">
        <v>6</v>
      </c>
      <c r="M82" s="13" t="n">
        <f aca="false">B33</f>
        <v>0</v>
      </c>
      <c r="N82" s="13" t="n">
        <f aca="false">C33</f>
        <v>656250</v>
      </c>
      <c r="O82" s="13" t="n">
        <f aca="false">D33</f>
        <v>875000000</v>
      </c>
      <c r="P82" s="13" t="n">
        <f aca="false">E33</f>
        <v>0</v>
      </c>
      <c r="Q82" s="13" t="n">
        <f aca="false">F33</f>
        <v>-656250</v>
      </c>
      <c r="R82" s="13" t="n">
        <f aca="false">G33</f>
        <v>1750000000</v>
      </c>
      <c r="T82" s="1" t="n">
        <v>-0.0609523809523856</v>
      </c>
      <c r="V82" s="13" t="n">
        <f aca="false">I33</f>
        <v>13333333.3333333</v>
      </c>
      <c r="X82" s="1" t="e">
        <v>#NAME?</v>
      </c>
      <c r="BE82" s="20"/>
      <c r="BK82" s="21"/>
      <c r="BL82" s="21"/>
      <c r="BM82" s="21"/>
      <c r="BN82" s="21"/>
      <c r="BO82" s="21"/>
      <c r="BP82" s="21"/>
      <c r="BR82" s="45"/>
      <c r="BT82" s="42"/>
      <c r="BV82" s="7"/>
      <c r="BY82" s="48"/>
      <c r="CA82" s="49"/>
    </row>
    <row r="83" customFormat="false" ht="12" hidden="false" customHeight="false" outlineLevel="0" collapsed="false">
      <c r="BE83" s="20"/>
      <c r="BK83" s="21"/>
      <c r="BL83" s="21"/>
      <c r="BM83" s="21"/>
      <c r="BN83" s="21"/>
      <c r="BO83" s="21"/>
      <c r="BP83" s="21"/>
      <c r="BR83" s="45"/>
      <c r="BT83" s="21"/>
      <c r="BV83" s="7"/>
      <c r="BY83" s="48"/>
      <c r="CA83" s="49"/>
      <c r="CE83" s="52"/>
    </row>
    <row r="84" customFormat="false" ht="12" hidden="false" customHeight="true" outlineLevel="0" collapsed="false">
      <c r="BE84" s="20"/>
      <c r="BK84" s="21"/>
      <c r="BL84" s="21"/>
      <c r="BM84" s="21"/>
      <c r="BN84" s="21"/>
      <c r="BO84" s="21"/>
      <c r="BP84" s="21"/>
      <c r="BQ84" s="7"/>
      <c r="BR84" s="45"/>
      <c r="BS84" s="7"/>
      <c r="BT84" s="21"/>
      <c r="BU84" s="7"/>
      <c r="BV84" s="7"/>
      <c r="BW84" s="7"/>
      <c r="BX84" s="7"/>
      <c r="BY84" s="48"/>
      <c r="BZ84" s="7"/>
      <c r="CA84" s="49"/>
    </row>
    <row r="85" customFormat="false" ht="12" hidden="false" customHeight="false" outlineLevel="0" collapsed="false">
      <c r="BE85" s="20"/>
      <c r="BK85" s="21"/>
      <c r="BL85" s="21"/>
      <c r="BM85" s="21"/>
      <c r="BN85" s="21"/>
      <c r="BO85" s="21"/>
      <c r="BP85" s="21"/>
      <c r="BR85" s="45"/>
      <c r="BT85" s="42"/>
      <c r="BV85" s="7"/>
      <c r="BY85" s="48"/>
      <c r="CA85" s="49"/>
    </row>
    <row r="86" customFormat="false" ht="12" hidden="false" customHeight="false" outlineLevel="0" collapsed="false">
      <c r="BE86" s="20"/>
      <c r="BK86" s="21"/>
      <c r="BL86" s="21"/>
      <c r="BM86" s="21"/>
      <c r="BN86" s="21"/>
      <c r="BO86" s="21"/>
      <c r="BP86" s="21"/>
      <c r="BR86" s="45"/>
      <c r="BT86" s="21"/>
      <c r="BV86" s="7"/>
      <c r="BY86" s="48"/>
      <c r="CA86" s="49"/>
    </row>
    <row r="87" customFormat="false" ht="12" hidden="false" customHeight="false" outlineLevel="0" collapsed="false">
      <c r="BE87" s="20"/>
      <c r="BK87" s="21"/>
      <c r="BL87" s="21"/>
      <c r="BM87" s="21"/>
      <c r="BN87" s="21"/>
      <c r="BO87" s="21"/>
      <c r="BP87" s="21"/>
      <c r="BR87" s="45"/>
      <c r="BT87" s="21"/>
      <c r="BV87" s="7"/>
      <c r="BY87" s="48"/>
      <c r="CA87" s="49"/>
    </row>
    <row r="94" customFormat="false" ht="12" hidden="false" customHeight="false" outlineLevel="0" collapsed="false">
      <c r="BC94" s="56"/>
      <c r="BD94" s="56"/>
    </row>
    <row r="101" customFormat="false" ht="12" hidden="false" customHeight="false" outlineLevel="0" collapsed="false">
      <c r="BB101" s="7"/>
    </row>
    <row r="102" customFormat="false" ht="12" hidden="false" customHeight="false" outlineLevel="0" collapsed="false">
      <c r="AZ102" s="20"/>
      <c r="BB102" s="20"/>
      <c r="BE102" s="20"/>
      <c r="BK102" s="2"/>
    </row>
    <row r="103" customFormat="false" ht="12" hidden="false" customHeight="false" outlineLevel="0" collapsed="false">
      <c r="AZ103" s="20"/>
      <c r="BB103" s="20"/>
      <c r="BE103" s="20"/>
      <c r="BK103" s="42"/>
      <c r="BL103" s="42"/>
      <c r="BM103" s="42"/>
      <c r="BN103" s="42"/>
      <c r="BO103" s="42"/>
      <c r="BP103" s="42"/>
      <c r="BR103" s="7"/>
      <c r="BT103" s="7"/>
      <c r="BV103" s="7"/>
      <c r="BY103" s="7"/>
    </row>
    <row r="104" customFormat="false" ht="12" hidden="false" customHeight="false" outlineLevel="0" collapsed="false">
      <c r="W104" s="21"/>
      <c r="X104" s="7"/>
      <c r="Y104" s="7"/>
      <c r="Z104" s="7"/>
      <c r="AA104" s="7"/>
      <c r="AB104" s="7"/>
      <c r="AC104" s="7"/>
      <c r="AD104" s="7"/>
      <c r="AE104" s="7"/>
      <c r="AF104" s="7"/>
      <c r="AZ104" s="20"/>
      <c r="BB104" s="20"/>
      <c r="BE104" s="20"/>
      <c r="BK104" s="42"/>
      <c r="BL104" s="42"/>
      <c r="BM104" s="42"/>
      <c r="BN104" s="42"/>
      <c r="BO104" s="42"/>
      <c r="BP104" s="42"/>
      <c r="BR104" s="7"/>
      <c r="BT104" s="7"/>
      <c r="BV104" s="7"/>
      <c r="BY104" s="7"/>
    </row>
    <row r="105" customFormat="false" ht="12" hidden="false" customHeight="false" outlineLevel="0" collapsed="false">
      <c r="W105" s="7"/>
      <c r="X105" s="21"/>
      <c r="Y105" s="7"/>
      <c r="Z105" s="7"/>
      <c r="AA105" s="7"/>
      <c r="AB105" s="7"/>
      <c r="AC105" s="7"/>
      <c r="AD105" s="7"/>
      <c r="AE105" s="21"/>
      <c r="AF105" s="7"/>
      <c r="AZ105" s="60"/>
      <c r="BB105" s="7"/>
      <c r="BE105" s="7"/>
      <c r="BK105" s="42"/>
      <c r="BL105" s="42"/>
      <c r="BM105" s="42"/>
      <c r="BN105" s="42"/>
      <c r="BO105" s="42"/>
      <c r="BP105" s="42"/>
      <c r="BQ105" s="7"/>
      <c r="BR105" s="7"/>
      <c r="BS105" s="7"/>
      <c r="BT105" s="7"/>
      <c r="BU105" s="7"/>
      <c r="BV105" s="7"/>
      <c r="BW105" s="7"/>
      <c r="BX105" s="7"/>
      <c r="BY105" s="7"/>
    </row>
    <row r="106" customFormat="false" ht="12" hidden="false" customHeight="false" outlineLevel="0" collapsed="false">
      <c r="W106" s="7"/>
      <c r="X106" s="7"/>
      <c r="Y106" s="21"/>
      <c r="Z106" s="7"/>
      <c r="AA106" s="21"/>
      <c r="AB106" s="7"/>
      <c r="AC106" s="7"/>
      <c r="AD106" s="7"/>
      <c r="AE106" s="7"/>
      <c r="AF106" s="21"/>
      <c r="AZ106" s="7"/>
      <c r="BB106" s="7"/>
      <c r="BE106" s="7"/>
      <c r="BK106" s="42"/>
      <c r="BL106" s="42"/>
      <c r="BM106" s="42"/>
      <c r="BN106" s="42"/>
      <c r="BO106" s="42"/>
      <c r="BP106" s="42"/>
      <c r="BR106" s="45"/>
      <c r="BT106" s="7"/>
      <c r="BV106" s="7"/>
      <c r="BY106" s="7"/>
    </row>
    <row r="107" customFormat="false" ht="12" hidden="false" customHeight="false" outlineLevel="0" collapsed="false"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Z107" s="20"/>
      <c r="BB107" s="20"/>
      <c r="BE107" s="20"/>
      <c r="BK107" s="42"/>
      <c r="BL107" s="42"/>
      <c r="BM107" s="42"/>
      <c r="BN107" s="42"/>
      <c r="BO107" s="42"/>
      <c r="BP107" s="42"/>
      <c r="BR107" s="45"/>
      <c r="BT107" s="7"/>
      <c r="BV107" s="7"/>
      <c r="BY107" s="7"/>
    </row>
    <row r="108" customFormat="false" ht="12" hidden="false" customHeight="false" outlineLevel="0" collapsed="false">
      <c r="W108" s="7"/>
      <c r="X108" s="7"/>
      <c r="Y108" s="21"/>
      <c r="Z108" s="7"/>
      <c r="AA108" s="21"/>
      <c r="AB108" s="7"/>
      <c r="AC108" s="7"/>
      <c r="AD108" s="7"/>
      <c r="AE108" s="7"/>
      <c r="AF108" s="21"/>
      <c r="AZ108" s="7"/>
      <c r="BB108" s="20"/>
      <c r="BE108" s="62"/>
      <c r="BK108" s="42"/>
      <c r="BL108" s="42"/>
      <c r="BM108" s="42"/>
      <c r="BN108" s="42"/>
      <c r="BO108" s="42"/>
      <c r="BP108" s="42"/>
      <c r="BR108" s="45"/>
      <c r="BT108" s="7"/>
      <c r="BV108" s="7"/>
      <c r="BY108" s="7"/>
    </row>
    <row r="109" customFormat="false" ht="12" hidden="false" customHeight="false" outlineLevel="0" collapsed="false"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Z109" s="7"/>
      <c r="BB109" s="20"/>
      <c r="BE109" s="62"/>
    </row>
    <row r="110" customFormat="false" ht="12" hidden="false" customHeight="false" outlineLevel="0" collapsed="false"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Z110" s="20"/>
      <c r="BB110" s="20"/>
      <c r="BE110" s="62"/>
      <c r="BK110" s="2"/>
    </row>
    <row r="111" customFormat="false" ht="12" hidden="false" customHeight="false" outlineLevel="0" collapsed="false"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Z111" s="20"/>
      <c r="BB111" s="21"/>
      <c r="BE111" s="62"/>
      <c r="BK111" s="21"/>
      <c r="BL111" s="21"/>
      <c r="BM111" s="21"/>
      <c r="BN111" s="21"/>
      <c r="BO111" s="21"/>
      <c r="BP111" s="21"/>
      <c r="BR111" s="7"/>
      <c r="BT111" s="42"/>
      <c r="BV111" s="7"/>
      <c r="BY111" s="48"/>
      <c r="CA111" s="49"/>
    </row>
    <row r="112" customFormat="false" ht="12" hidden="false" customHeight="false" outlineLevel="0" collapsed="false">
      <c r="W112" s="7"/>
      <c r="X112" s="21"/>
      <c r="Y112" s="7"/>
      <c r="Z112" s="7"/>
      <c r="AA112" s="7"/>
      <c r="AB112" s="7"/>
      <c r="AC112" s="7"/>
      <c r="AD112" s="7"/>
      <c r="AE112" s="21"/>
      <c r="AF112" s="7"/>
      <c r="AZ112" s="20"/>
      <c r="BB112" s="21"/>
      <c r="BE112" s="62"/>
      <c r="BK112" s="21"/>
      <c r="BL112" s="21"/>
      <c r="BM112" s="21"/>
      <c r="BN112" s="21"/>
      <c r="BO112" s="21"/>
      <c r="BP112" s="21"/>
      <c r="BR112" s="7"/>
      <c r="BT112" s="42"/>
      <c r="BV112" s="7"/>
      <c r="BY112" s="48"/>
      <c r="CA112" s="49"/>
    </row>
    <row r="113" customFormat="false" ht="12" hidden="false" customHeight="false" outlineLevel="0" collapsed="false">
      <c r="W113" s="7"/>
      <c r="X113" s="7"/>
      <c r="Y113" s="21"/>
      <c r="Z113" s="7"/>
      <c r="AA113" s="21"/>
      <c r="AB113" s="7"/>
      <c r="AC113" s="7"/>
      <c r="AD113" s="7"/>
      <c r="AE113" s="7"/>
      <c r="AF113" s="21"/>
      <c r="AZ113" s="7"/>
      <c r="BB113" s="7"/>
      <c r="BE113" s="62"/>
      <c r="BK113" s="21"/>
      <c r="BL113" s="21"/>
      <c r="BM113" s="21"/>
      <c r="BN113" s="21"/>
      <c r="BO113" s="21"/>
      <c r="BP113" s="21"/>
      <c r="BQ113" s="7"/>
      <c r="BR113" s="7"/>
      <c r="BS113" s="7"/>
      <c r="BT113" s="42"/>
      <c r="BU113" s="7"/>
      <c r="BV113" s="7"/>
      <c r="BW113" s="7"/>
      <c r="BX113" s="7"/>
      <c r="BY113" s="48"/>
      <c r="BZ113" s="7"/>
      <c r="CA113" s="49"/>
    </row>
    <row r="114" customFormat="false" ht="12" hidden="false" customHeight="false" outlineLevel="0" collapsed="false"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Z114" s="7"/>
      <c r="BB114" s="7"/>
      <c r="BE114" s="62"/>
      <c r="BK114" s="21"/>
      <c r="BL114" s="21"/>
      <c r="BM114" s="21"/>
      <c r="BN114" s="21"/>
      <c r="BO114" s="21"/>
      <c r="BP114" s="21"/>
      <c r="BR114" s="7"/>
      <c r="BT114" s="42"/>
      <c r="BV114" s="7"/>
      <c r="BY114" s="48"/>
      <c r="CA114" s="49"/>
    </row>
    <row r="115" customFormat="false" ht="12" hidden="false" customHeight="false" outlineLevel="0" collapsed="false">
      <c r="W115" s="7"/>
      <c r="X115" s="7"/>
      <c r="Y115" s="21"/>
      <c r="Z115" s="7"/>
      <c r="AA115" s="21"/>
      <c r="AB115" s="7"/>
      <c r="AC115" s="7"/>
      <c r="AD115" s="7"/>
      <c r="AE115" s="7"/>
      <c r="AF115" s="21"/>
      <c r="AZ115" s="7"/>
      <c r="BB115" s="7"/>
      <c r="BE115" s="7"/>
      <c r="BK115" s="21"/>
      <c r="BL115" s="21"/>
      <c r="BM115" s="21"/>
      <c r="BN115" s="21"/>
      <c r="BO115" s="21"/>
      <c r="BP115" s="21"/>
      <c r="BR115" s="7"/>
      <c r="BT115" s="42"/>
      <c r="BV115" s="7"/>
      <c r="BY115" s="48"/>
      <c r="CA115" s="49"/>
    </row>
    <row r="116" customFormat="false" ht="12" hidden="false" customHeight="false" outlineLevel="0" collapsed="false">
      <c r="BK116" s="21"/>
      <c r="BL116" s="21"/>
      <c r="BM116" s="21"/>
      <c r="BN116" s="21"/>
      <c r="BO116" s="21"/>
      <c r="BP116" s="21"/>
      <c r="BR116" s="7"/>
      <c r="BT116" s="42"/>
      <c r="BV116" s="7"/>
      <c r="BY116" s="48"/>
      <c r="CA116" s="49"/>
    </row>
    <row r="118" customFormat="false" ht="12" hidden="false" customHeight="false" outlineLevel="0" collapsed="false">
      <c r="B118" s="2"/>
      <c r="AF118" s="2"/>
    </row>
    <row r="119" customFormat="false" ht="12" hidden="false" customHeight="false" outlineLevel="0" collapsed="false">
      <c r="E119" s="15"/>
      <c r="F119" s="9"/>
      <c r="V119" s="7"/>
    </row>
    <row r="120" customFormat="false" ht="12" hidden="false" customHeight="false" outlineLevel="0" collapsed="false">
      <c r="E120" s="15"/>
      <c r="F120" s="9"/>
      <c r="V120" s="7"/>
      <c r="AW120" s="7"/>
      <c r="AX120" s="7"/>
    </row>
    <row r="121" customFormat="false" ht="12" hidden="false" customHeight="false" outlineLevel="0" collapsed="false">
      <c r="E121" s="15"/>
      <c r="F121" s="9"/>
      <c r="V121" s="7"/>
      <c r="AW121" s="21"/>
      <c r="AX121" s="21"/>
      <c r="AZ121" s="20"/>
      <c r="BB121" s="20"/>
      <c r="BE121" s="62"/>
    </row>
    <row r="122" customFormat="false" ht="12" hidden="false" customHeight="false" outlineLevel="0" collapsed="false">
      <c r="V122" s="7"/>
      <c r="AW122" s="21"/>
      <c r="AX122" s="21"/>
      <c r="AZ122" s="20"/>
      <c r="BB122" s="20"/>
      <c r="BE122" s="62"/>
    </row>
    <row r="123" customFormat="false" ht="12" hidden="false" customHeight="false" outlineLevel="0" collapsed="false">
      <c r="V123" s="7"/>
      <c r="AW123" s="21"/>
      <c r="AX123" s="21"/>
      <c r="AZ123" s="20"/>
      <c r="BB123" s="20"/>
      <c r="BE123" s="62"/>
    </row>
    <row r="124" customFormat="false" ht="12" hidden="false" customHeight="false" outlineLevel="0" collapsed="false">
      <c r="V124" s="7"/>
      <c r="AW124" s="21"/>
      <c r="AX124" s="17"/>
      <c r="AZ124" s="60"/>
      <c r="BB124" s="21"/>
      <c r="BE124" s="62"/>
    </row>
    <row r="125" customFormat="false" ht="12" hidden="false" customHeight="false" outlineLevel="0" collapsed="false">
      <c r="V125" s="7"/>
      <c r="AW125" s="21"/>
      <c r="AX125" s="17"/>
      <c r="AZ125" s="60"/>
      <c r="BB125" s="21"/>
      <c r="BE125" s="62"/>
    </row>
    <row r="126" customFormat="false" ht="12" hidden="false" customHeight="false" outlineLevel="0" collapsed="false">
      <c r="V126" s="7"/>
      <c r="AW126" s="21"/>
      <c r="AX126" s="21"/>
      <c r="AY126" s="7"/>
      <c r="AZ126" s="60"/>
      <c r="BB126" s="20"/>
      <c r="BE126" s="62"/>
    </row>
    <row r="127" customFormat="false" ht="12" hidden="false" customHeight="false" outlineLevel="0" collapsed="false">
      <c r="V127" s="7"/>
      <c r="AW127" s="21"/>
      <c r="AX127" s="17"/>
      <c r="AZ127" s="60"/>
      <c r="BA127" s="7"/>
      <c r="BB127" s="20"/>
      <c r="BC127" s="46"/>
      <c r="BD127" s="46"/>
      <c r="BE127" s="62"/>
    </row>
    <row r="128" customFormat="false" ht="12" hidden="false" customHeight="false" outlineLevel="0" collapsed="false">
      <c r="V128" s="7"/>
      <c r="AW128" s="17"/>
      <c r="AX128" s="21"/>
      <c r="AZ128" s="60"/>
      <c r="BB128" s="20"/>
      <c r="BE128" s="62"/>
    </row>
    <row r="129" customFormat="false" ht="12" hidden="false" customHeight="false" outlineLevel="0" collapsed="false">
      <c r="V129" s="7"/>
      <c r="AW129" s="17"/>
      <c r="AX129" s="21"/>
      <c r="AY129" s="13"/>
      <c r="AZ129" s="60"/>
      <c r="BB129" s="20"/>
      <c r="BE129" s="62"/>
    </row>
    <row r="130" customFormat="false" ht="12" hidden="false" customHeight="false" outlineLevel="0" collapsed="false">
      <c r="V130" s="7"/>
      <c r="AW130" s="17"/>
      <c r="AX130" s="21"/>
      <c r="AZ130" s="60"/>
      <c r="BB130" s="20"/>
      <c r="BE130" s="62"/>
    </row>
    <row r="131" customFormat="false" ht="12" hidden="false" customHeight="false" outlineLevel="0" collapsed="false">
      <c r="V131" s="7"/>
      <c r="AW131" s="17"/>
      <c r="AX131" s="17"/>
      <c r="AZ131" s="60"/>
      <c r="BB131" s="21"/>
      <c r="BE131" s="62"/>
    </row>
    <row r="132" customFormat="false" ht="12" hidden="false" customHeight="false" outlineLevel="0" collapsed="false">
      <c r="V132" s="7"/>
      <c r="AW132" s="17"/>
      <c r="AX132" s="17"/>
      <c r="AZ132" s="60"/>
      <c r="BB132" s="21"/>
      <c r="BE132" s="62"/>
    </row>
    <row r="133" customFormat="false" ht="12" hidden="false" customHeight="false" outlineLevel="0" collapsed="false">
      <c r="V133" s="7"/>
      <c r="AJ133" s="7"/>
      <c r="AK133" s="21"/>
      <c r="AL133" s="21"/>
      <c r="AM133" s="21"/>
      <c r="AN133" s="21"/>
      <c r="AO133" s="21"/>
      <c r="AP133" s="21"/>
      <c r="AQ133" s="21"/>
      <c r="AR133" s="17"/>
      <c r="AS133" s="17"/>
      <c r="AT133" s="17"/>
      <c r="AU133" s="17"/>
      <c r="AV133" s="17"/>
      <c r="AW133" s="17"/>
      <c r="AX133" s="21"/>
      <c r="AZ133" s="60"/>
      <c r="BB133" s="20"/>
      <c r="BE133" s="62"/>
    </row>
    <row r="134" customFormat="false" ht="12" hidden="false" customHeight="false" outlineLevel="0" collapsed="false">
      <c r="V134" s="7"/>
      <c r="AJ134" s="7"/>
      <c r="AK134" s="21"/>
      <c r="AL134" s="21"/>
      <c r="AM134" s="21"/>
      <c r="AN134" s="17"/>
      <c r="AO134" s="17"/>
      <c r="AP134" s="21"/>
      <c r="AQ134" s="17"/>
      <c r="AR134" s="32"/>
      <c r="AS134" s="32"/>
      <c r="AT134" s="32"/>
      <c r="AU134" s="17"/>
      <c r="AV134" s="17"/>
      <c r="AW134" s="21"/>
      <c r="AX134" s="17"/>
      <c r="AZ134" s="60"/>
      <c r="BB134" s="20"/>
      <c r="BE134" s="62"/>
    </row>
    <row r="135" customFormat="false" ht="12" hidden="false" customHeight="false" outlineLevel="0" collapsed="false">
      <c r="V135" s="7"/>
      <c r="AK135" s="63"/>
      <c r="AL135" s="63"/>
      <c r="AM135" s="63"/>
    </row>
    <row r="136" customFormat="false" ht="12" hidden="false" customHeight="false" outlineLevel="0" collapsed="false">
      <c r="V136" s="7"/>
    </row>
    <row r="137" customFormat="false" ht="12" hidden="false" customHeight="false" outlineLevel="0" collapsed="false">
      <c r="BX137" s="64"/>
    </row>
    <row r="138" customFormat="false" ht="12" hidden="false" customHeight="false" outlineLevel="0" collapsed="false">
      <c r="BX138" s="64"/>
    </row>
    <row r="139" customFormat="false" ht="12" hidden="false" customHeight="false" outlineLevel="0" collapsed="false">
      <c r="BX139" s="64"/>
    </row>
    <row r="141" customFormat="false" ht="12" hidden="false" customHeight="false" outlineLevel="0" collapsed="false">
      <c r="BX141" s="64"/>
      <c r="CL141" s="56"/>
    </row>
    <row r="142" customFormat="false" ht="12" hidden="false" customHeight="false" outlineLevel="0" collapsed="false">
      <c r="BX142" s="64"/>
    </row>
    <row r="143" customFormat="false" ht="12" hidden="false" customHeight="false" outlineLevel="0" collapsed="false">
      <c r="BX143" s="64"/>
    </row>
    <row r="144" customFormat="false" ht="12" hidden="false" customHeight="false" outlineLevel="0" collapsed="false">
      <c r="BL144" s="7"/>
      <c r="BT144" s="2"/>
    </row>
    <row r="145" customFormat="false" ht="12" hidden="false" customHeight="false" outlineLevel="0" collapsed="false">
      <c r="BL145" s="7"/>
      <c r="BN145" s="7"/>
      <c r="BP145" s="7"/>
      <c r="BR145" s="7"/>
      <c r="BT145" s="42"/>
      <c r="BU145" s="7"/>
      <c r="BV145" s="7"/>
      <c r="BW145" s="7"/>
      <c r="BX145" s="7"/>
      <c r="BY145" s="7"/>
      <c r="BZ145" s="7"/>
      <c r="CA145" s="65"/>
      <c r="CB145" s="7"/>
      <c r="CD145" s="7"/>
      <c r="CF145" s="7"/>
    </row>
    <row r="146" customFormat="false" ht="12" hidden="false" customHeight="false" outlineLevel="0" collapsed="false">
      <c r="BL146" s="7"/>
      <c r="BN146" s="7"/>
      <c r="BP146" s="7"/>
      <c r="BR146" s="7"/>
      <c r="BT146" s="7"/>
      <c r="BU146" s="42"/>
      <c r="BV146" s="7"/>
      <c r="BW146" s="7"/>
      <c r="BX146" s="7"/>
      <c r="BY146" s="7"/>
      <c r="BZ146" s="7"/>
      <c r="CA146" s="66"/>
      <c r="CB146" s="7"/>
      <c r="CD146" s="7"/>
      <c r="CF146" s="7"/>
    </row>
    <row r="147" customFormat="false" ht="12" hidden="false" customHeight="false" outlineLevel="0" collapsed="false">
      <c r="BL147" s="7"/>
      <c r="BN147" s="7"/>
      <c r="BP147" s="7"/>
      <c r="BR147" s="7"/>
      <c r="BT147" s="7"/>
      <c r="BU147" s="7"/>
      <c r="BV147" s="7"/>
      <c r="BW147" s="7"/>
      <c r="BX147" s="7"/>
      <c r="BY147" s="7"/>
      <c r="BZ147" s="7"/>
      <c r="CA147" s="65"/>
      <c r="CB147" s="7"/>
      <c r="CC147" s="7"/>
      <c r="CD147" s="7"/>
      <c r="CE147" s="7"/>
      <c r="CF147" s="7"/>
    </row>
    <row r="148" customFormat="false" ht="12" hidden="false" customHeight="false" outlineLevel="0" collapsed="false">
      <c r="BL148" s="7"/>
      <c r="BN148" s="7"/>
      <c r="BP148" s="7"/>
      <c r="BR148" s="7"/>
      <c r="BT148" s="7"/>
      <c r="BU148" s="7"/>
      <c r="BV148" s="7"/>
      <c r="BW148" s="42"/>
      <c r="BX148" s="42"/>
      <c r="BY148" s="7"/>
      <c r="BZ148" s="7"/>
      <c r="CA148" s="66"/>
      <c r="CB148" s="21"/>
      <c r="CD148" s="7"/>
      <c r="CF148" s="21"/>
    </row>
    <row r="149" customFormat="false" ht="12" hidden="false" customHeight="false" outlineLevel="0" collapsed="false">
      <c r="AM149" s="2"/>
      <c r="BL149" s="7"/>
      <c r="BN149" s="7"/>
      <c r="BP149" s="7"/>
      <c r="BR149" s="7"/>
      <c r="BT149" s="7"/>
      <c r="BU149" s="7"/>
      <c r="BV149" s="7"/>
      <c r="BW149" s="7"/>
      <c r="BX149" s="7"/>
      <c r="BY149" s="42"/>
      <c r="BZ149" s="7"/>
      <c r="CA149" s="66"/>
      <c r="CB149" s="21"/>
      <c r="CD149" s="7"/>
      <c r="CF149" s="21"/>
    </row>
    <row r="150" customFormat="false" ht="12" hidden="false" customHeight="false" outlineLevel="0" collapsed="false">
      <c r="AN150" s="7"/>
      <c r="AO150" s="7"/>
      <c r="AP150" s="7"/>
      <c r="AQ150" s="7"/>
      <c r="AR150" s="7"/>
      <c r="AS150" s="7"/>
      <c r="AT150" s="7"/>
      <c r="AU150" s="7"/>
      <c r="BL150" s="7"/>
      <c r="BN150" s="7"/>
      <c r="BP150" s="7"/>
      <c r="BR150" s="7"/>
      <c r="BT150" s="7"/>
      <c r="BU150" s="7"/>
      <c r="BV150" s="7"/>
      <c r="BW150" s="7"/>
      <c r="BX150" s="7"/>
      <c r="BY150" s="7"/>
      <c r="BZ150" s="7"/>
      <c r="CA150" s="66"/>
      <c r="CB150" s="21"/>
      <c r="CD150" s="7"/>
      <c r="CF150" s="21"/>
    </row>
    <row r="151" customFormat="false" ht="12" hidden="false" customHeight="false" outlineLevel="0" collapsed="false">
      <c r="AM151" s="7"/>
      <c r="AN151" s="21"/>
      <c r="AO151" s="21"/>
      <c r="AP151" s="21"/>
      <c r="AQ151" s="21"/>
      <c r="AR151" s="21"/>
      <c r="AS151" s="21"/>
      <c r="AT151" s="21"/>
      <c r="AU151" s="21"/>
      <c r="AV151" s="7"/>
      <c r="AW151" s="20"/>
      <c r="AX151" s="7"/>
      <c r="AY151" s="21"/>
      <c r="BL151" s="7"/>
      <c r="BM151" s="7"/>
      <c r="BN151" s="7"/>
      <c r="BO151" s="7"/>
      <c r="BP151" s="7"/>
      <c r="BQ151" s="46"/>
      <c r="BR151" s="7"/>
    </row>
    <row r="152" customFormat="false" ht="12" hidden="false" customHeight="false" outlineLevel="0" collapsed="false">
      <c r="AM152" s="7"/>
      <c r="AN152" s="21"/>
      <c r="AO152" s="21"/>
      <c r="AP152" s="21"/>
      <c r="AQ152" s="21"/>
      <c r="AR152" s="21"/>
      <c r="AS152" s="21"/>
      <c r="AT152" s="21"/>
      <c r="AU152" s="21"/>
      <c r="AW152" s="20"/>
      <c r="AY152" s="21"/>
      <c r="BL152" s="42"/>
      <c r="BN152" s="20"/>
      <c r="BP152" s="15"/>
      <c r="BR152" s="17"/>
      <c r="BT152" s="2"/>
    </row>
    <row r="153" customFormat="false" ht="12" hidden="false" customHeight="false" outlineLevel="0" collapsed="false">
      <c r="AM153" s="7"/>
      <c r="AN153" s="21"/>
      <c r="AO153" s="21"/>
      <c r="AP153" s="21"/>
      <c r="AQ153" s="21"/>
      <c r="AR153" s="21"/>
      <c r="AS153" s="21"/>
      <c r="AT153" s="21"/>
      <c r="AU153" s="21"/>
      <c r="AW153" s="20"/>
      <c r="AY153" s="21"/>
      <c r="BL153" s="42"/>
      <c r="BN153" s="20"/>
      <c r="BP153" s="15"/>
      <c r="BR153" s="67"/>
      <c r="BT153" s="21"/>
      <c r="BU153" s="7"/>
      <c r="BV153" s="42"/>
      <c r="BW153" s="21"/>
      <c r="BX153" s="21"/>
      <c r="BY153" s="7"/>
      <c r="BZ153" s="42"/>
      <c r="CB153" s="7"/>
      <c r="CD153" s="7"/>
      <c r="CF153" s="7"/>
      <c r="CH153" s="68"/>
    </row>
    <row r="154" customFormat="false" ht="12" hidden="false" customHeight="false" outlineLevel="0" collapsed="false">
      <c r="AM154" s="7"/>
      <c r="AN154" s="21"/>
      <c r="AO154" s="21"/>
      <c r="AP154" s="21"/>
      <c r="AQ154" s="21"/>
      <c r="AR154" s="21"/>
      <c r="AS154" s="21"/>
      <c r="AT154" s="21"/>
      <c r="AU154" s="21"/>
      <c r="AW154" s="20"/>
      <c r="AY154" s="21"/>
      <c r="BL154" s="42"/>
      <c r="BN154" s="20"/>
      <c r="BP154" s="15"/>
      <c r="BR154" s="17"/>
      <c r="BT154" s="7"/>
      <c r="BU154" s="21"/>
      <c r="BV154" s="21"/>
      <c r="BW154" s="7"/>
      <c r="BX154" s="7"/>
      <c r="BY154" s="21"/>
      <c r="BZ154" s="21"/>
      <c r="CB154" s="7"/>
      <c r="CD154" s="21"/>
      <c r="CF154" s="7"/>
      <c r="CH154" s="68"/>
    </row>
    <row r="155" customFormat="false" ht="12" hidden="false" customHeight="false" outlineLevel="0" collapsed="false">
      <c r="AM155" s="7"/>
      <c r="AN155" s="21"/>
      <c r="AO155" s="21"/>
      <c r="AP155" s="21"/>
      <c r="AQ155" s="21"/>
      <c r="AR155" s="21"/>
      <c r="AS155" s="21"/>
      <c r="AT155" s="21"/>
      <c r="AU155" s="21"/>
      <c r="AW155" s="20"/>
      <c r="AY155" s="21"/>
      <c r="BL155" s="42"/>
      <c r="BN155" s="20"/>
      <c r="BP155" s="21"/>
      <c r="BR155" s="17"/>
      <c r="BT155" s="42"/>
      <c r="BU155" s="21"/>
      <c r="BV155" s="21"/>
      <c r="BW155" s="21"/>
      <c r="BX155" s="21"/>
      <c r="BY155" s="21"/>
      <c r="BZ155" s="21"/>
      <c r="CA155" s="7"/>
      <c r="CB155" s="7"/>
      <c r="CC155" s="7"/>
      <c r="CD155" s="21"/>
      <c r="CE155" s="7"/>
      <c r="CF155" s="7"/>
      <c r="CG155" s="7"/>
      <c r="CH155" s="68"/>
      <c r="CN155" s="52"/>
    </row>
    <row r="156" customFormat="false" ht="12" hidden="false" customHeight="false" outlineLevel="0" collapsed="false">
      <c r="AM156" s="7"/>
      <c r="AN156" s="21"/>
      <c r="AO156" s="21"/>
      <c r="AP156" s="21"/>
      <c r="AQ156" s="21"/>
      <c r="AR156" s="21"/>
      <c r="AS156" s="21"/>
      <c r="AT156" s="21"/>
      <c r="AU156" s="21"/>
      <c r="AW156" s="20"/>
      <c r="AY156" s="21"/>
      <c r="BL156" s="42"/>
      <c r="BN156" s="20"/>
      <c r="BP156" s="21"/>
      <c r="BR156" s="67"/>
      <c r="BT156" s="21"/>
      <c r="BU156" s="7"/>
      <c r="BV156" s="42"/>
      <c r="BW156" s="69"/>
      <c r="BX156" s="69"/>
      <c r="BY156" s="7"/>
      <c r="BZ156" s="42"/>
      <c r="CB156" s="21"/>
      <c r="CD156" s="7"/>
      <c r="CF156" s="7"/>
      <c r="CH156" s="68"/>
    </row>
    <row r="157" customFormat="false" ht="12" hidden="false" customHeight="false" outlineLevel="0" collapsed="false">
      <c r="AM157" s="7"/>
      <c r="AN157" s="21"/>
      <c r="AO157" s="21"/>
      <c r="AP157" s="21"/>
      <c r="AQ157" s="21"/>
      <c r="AR157" s="21"/>
      <c r="AS157" s="21"/>
      <c r="AT157" s="21"/>
      <c r="AU157" s="21"/>
      <c r="AW157" s="20"/>
      <c r="AY157" s="21"/>
      <c r="BD157" s="70"/>
      <c r="BL157" s="42"/>
      <c r="BN157" s="20"/>
      <c r="BO157" s="63"/>
      <c r="BP157" s="7"/>
      <c r="BR157" s="17"/>
      <c r="BT157" s="7"/>
      <c r="BU157" s="21"/>
      <c r="BV157" s="21"/>
      <c r="BW157" s="7"/>
      <c r="BX157" s="7"/>
      <c r="BY157" s="21"/>
      <c r="BZ157" s="21"/>
      <c r="CB157" s="21"/>
      <c r="CD157" s="21"/>
      <c r="CF157" s="7"/>
      <c r="CH157" s="68"/>
    </row>
    <row r="158" customFormat="false" ht="12" hidden="false" customHeight="false" outlineLevel="0" collapsed="false">
      <c r="AM158" s="7"/>
      <c r="AN158" s="21"/>
      <c r="AO158" s="21"/>
      <c r="AP158" s="21"/>
      <c r="AQ158" s="21"/>
      <c r="AR158" s="21"/>
      <c r="AS158" s="21"/>
      <c r="AT158" s="21"/>
      <c r="AU158" s="21"/>
      <c r="AW158" s="20"/>
      <c r="AY158" s="21"/>
      <c r="BD158" s="70"/>
      <c r="BL158" s="42"/>
      <c r="BN158" s="7"/>
      <c r="BP158" s="7"/>
      <c r="BR158" s="7"/>
      <c r="BT158" s="42"/>
      <c r="BU158" s="21"/>
      <c r="BV158" s="21"/>
      <c r="BW158" s="42"/>
      <c r="BX158" s="42"/>
      <c r="BY158" s="21"/>
      <c r="BZ158" s="21"/>
      <c r="CB158" s="21"/>
      <c r="CD158" s="21"/>
      <c r="CF158" s="7"/>
      <c r="CH158" s="71"/>
    </row>
    <row r="159" customFormat="false" ht="12" hidden="false" customHeight="false" outlineLevel="0" collapsed="false">
      <c r="BD159" s="70"/>
      <c r="BR159" s="63"/>
    </row>
    <row r="160" customFormat="false" ht="12" hidden="false" customHeight="false" outlineLevel="0" collapsed="false">
      <c r="AS160" s="56"/>
      <c r="BD160" s="70"/>
      <c r="BK160" s="2"/>
      <c r="BP160" s="63"/>
    </row>
    <row r="161" customFormat="false" ht="12" hidden="false" customHeight="false" outlineLevel="0" collapsed="false">
      <c r="BD161" s="70"/>
      <c r="BJ161" s="7"/>
      <c r="BK161" s="7"/>
      <c r="BL161" s="7"/>
      <c r="BM161" s="7"/>
      <c r="BN161" s="7"/>
      <c r="BO161" s="7"/>
      <c r="BP161" s="7"/>
      <c r="BQ161" s="7"/>
      <c r="BR161" s="7"/>
      <c r="BW161" s="72"/>
      <c r="BX161" s="72"/>
      <c r="CC161" s="56"/>
    </row>
    <row r="162" customFormat="false" ht="12" hidden="false" customHeight="false" outlineLevel="0" collapsed="false">
      <c r="AM162" s="2"/>
      <c r="AZ162" s="73"/>
      <c r="BA162" s="73"/>
      <c r="BB162" s="73"/>
      <c r="BC162" s="73"/>
      <c r="BD162" s="70"/>
      <c r="BK162" s="64"/>
      <c r="BL162" s="64"/>
      <c r="BN162" s="63"/>
      <c r="BT162" s="2"/>
      <c r="CA162" s="64"/>
      <c r="CB162" s="64"/>
      <c r="CC162" s="63"/>
    </row>
    <row r="163" customFormat="false" ht="12" hidden="false" customHeight="false" outlineLevel="0" collapsed="false">
      <c r="AN163" s="7"/>
      <c r="AO163" s="7"/>
      <c r="AP163" s="7"/>
      <c r="AQ163" s="7"/>
      <c r="AR163" s="7"/>
      <c r="AS163" s="7"/>
      <c r="AT163" s="7"/>
      <c r="AU163" s="7"/>
      <c r="AZ163" s="73"/>
      <c r="BA163" s="73"/>
      <c r="BB163" s="73"/>
      <c r="BC163" s="73"/>
      <c r="BD163" s="73"/>
      <c r="BE163" s="73"/>
    </row>
    <row r="164" customFormat="false" ht="12" hidden="false" customHeight="false" outlineLevel="0" collapsed="false">
      <c r="AM164" s="7"/>
      <c r="AN164" s="21"/>
      <c r="AO164" s="21"/>
      <c r="AP164" s="21"/>
      <c r="AQ164" s="21"/>
      <c r="AR164" s="21"/>
      <c r="AS164" s="21"/>
      <c r="AT164" s="21"/>
      <c r="AU164" s="21"/>
      <c r="AV164" s="7"/>
      <c r="AW164" s="13"/>
      <c r="AX164" s="7"/>
      <c r="AY164" s="20"/>
      <c r="AZ164" s="60"/>
      <c r="BA164" s="74"/>
      <c r="BB164" s="73"/>
      <c r="BC164" s="73"/>
      <c r="BD164" s="75"/>
      <c r="BE164" s="73"/>
      <c r="BQ164" s="64"/>
    </row>
    <row r="165" customFormat="false" ht="12" hidden="false" customHeight="false" outlineLevel="0" collapsed="false">
      <c r="AM165" s="7"/>
      <c r="AN165" s="21"/>
      <c r="AO165" s="21"/>
      <c r="AP165" s="21"/>
      <c r="AQ165" s="21"/>
      <c r="AR165" s="21"/>
      <c r="AS165" s="21"/>
      <c r="AT165" s="21"/>
      <c r="AU165" s="21"/>
      <c r="AW165" s="13"/>
      <c r="AY165" s="20"/>
      <c r="AZ165" s="73"/>
      <c r="BA165" s="74"/>
      <c r="BB165" s="73"/>
      <c r="BC165" s="73"/>
      <c r="BD165" s="75"/>
      <c r="BE165" s="73"/>
      <c r="BK165" s="2"/>
      <c r="BT165" s="2"/>
      <c r="BY165" s="2"/>
    </row>
    <row r="166" customFormat="false" ht="12" hidden="false" customHeight="false" outlineLevel="0" collapsed="false">
      <c r="AM166" s="7"/>
      <c r="AN166" s="21"/>
      <c r="AO166" s="21"/>
      <c r="AP166" s="21"/>
      <c r="AQ166" s="21"/>
      <c r="AR166" s="21"/>
      <c r="AS166" s="21"/>
      <c r="AT166" s="21"/>
      <c r="AU166" s="21"/>
      <c r="AW166" s="13"/>
      <c r="AY166" s="20"/>
      <c r="AZ166" s="73"/>
      <c r="BA166" s="74"/>
      <c r="BB166" s="76"/>
      <c r="BC166" s="73"/>
      <c r="BD166" s="77"/>
      <c r="BE166" s="73"/>
      <c r="BP166" s="78"/>
      <c r="BQ166" s="79"/>
      <c r="BR166" s="80"/>
      <c r="BT166" s="20"/>
      <c r="BU166" s="81"/>
      <c r="BV166" s="2"/>
      <c r="BY166" s="20"/>
      <c r="BZ166" s="79"/>
      <c r="CA166" s="2"/>
    </row>
    <row r="167" customFormat="false" ht="12" hidden="false" customHeight="false" outlineLevel="0" collapsed="false">
      <c r="AM167" s="7"/>
      <c r="AN167" s="21"/>
      <c r="AO167" s="21"/>
      <c r="AP167" s="21"/>
      <c r="AQ167" s="21"/>
      <c r="AR167" s="21"/>
      <c r="AS167" s="21"/>
      <c r="AT167" s="21"/>
      <c r="AU167" s="21"/>
      <c r="AW167" s="13"/>
      <c r="AY167" s="20"/>
      <c r="BA167" s="74"/>
      <c r="BB167" s="76"/>
      <c r="BC167" s="73"/>
      <c r="BD167" s="75"/>
      <c r="BE167" s="73"/>
      <c r="BP167" s="78"/>
      <c r="BQ167" s="79"/>
      <c r="BR167" s="80"/>
      <c r="BT167" s="20"/>
      <c r="BU167" s="81"/>
      <c r="BV167" s="2"/>
      <c r="BY167" s="20"/>
      <c r="BZ167" s="79"/>
      <c r="CA167" s="2"/>
    </row>
    <row r="168" customFormat="false" ht="12" hidden="false" customHeight="false" outlineLevel="0" collapsed="false">
      <c r="AM168" s="7"/>
      <c r="AN168" s="21"/>
      <c r="AO168" s="21"/>
      <c r="AP168" s="21"/>
      <c r="AQ168" s="21"/>
      <c r="AR168" s="21"/>
      <c r="AS168" s="21"/>
      <c r="AT168" s="21"/>
      <c r="AU168" s="21"/>
      <c r="AW168" s="13"/>
      <c r="AY168" s="20"/>
      <c r="AZ168" s="73"/>
      <c r="BA168" s="74"/>
      <c r="BB168" s="73"/>
      <c r="BC168" s="73"/>
      <c r="BD168" s="75"/>
      <c r="BE168" s="73"/>
      <c r="BP168" s="78"/>
      <c r="BQ168" s="79"/>
      <c r="BR168" s="80"/>
      <c r="BT168" s="20"/>
      <c r="BU168" s="81"/>
      <c r="BV168" s="2"/>
      <c r="BW168" s="82"/>
      <c r="BX168" s="82"/>
      <c r="BY168" s="20"/>
      <c r="BZ168" s="79"/>
      <c r="CA168" s="2"/>
    </row>
    <row r="169" customFormat="false" ht="12" hidden="false" customHeight="false" outlineLevel="0" collapsed="false">
      <c r="AM169" s="7"/>
      <c r="AN169" s="21"/>
      <c r="AO169" s="21"/>
      <c r="AP169" s="21"/>
      <c r="AQ169" s="21"/>
      <c r="AR169" s="21"/>
      <c r="AS169" s="21"/>
      <c r="AT169" s="21"/>
      <c r="AU169" s="21"/>
      <c r="AW169" s="13"/>
      <c r="AY169" s="20"/>
      <c r="AZ169" s="73"/>
      <c r="BA169" s="74"/>
      <c r="BB169" s="73"/>
      <c r="BC169" s="73"/>
      <c r="BD169" s="75"/>
      <c r="BE169" s="73"/>
      <c r="BL169" s="83"/>
      <c r="BM169" s="84"/>
      <c r="BN169" s="84"/>
      <c r="BP169" s="78"/>
      <c r="BQ169" s="79"/>
      <c r="BT169" s="20"/>
      <c r="BU169" s="81"/>
      <c r="BV169" s="2"/>
      <c r="BW169" s="82"/>
      <c r="BX169" s="82"/>
      <c r="BY169" s="20"/>
      <c r="BZ169" s="79"/>
      <c r="CA169" s="2"/>
    </row>
    <row r="170" customFormat="false" ht="12" hidden="false" customHeight="false" outlineLevel="0" collapsed="false">
      <c r="AM170" s="7"/>
      <c r="AN170" s="21"/>
      <c r="AO170" s="21"/>
      <c r="AP170" s="21"/>
      <c r="AQ170" s="21"/>
      <c r="AR170" s="21"/>
      <c r="AS170" s="21"/>
      <c r="AT170" s="21"/>
      <c r="AU170" s="21"/>
      <c r="AW170" s="13"/>
      <c r="AY170" s="20"/>
      <c r="AZ170" s="73"/>
      <c r="BA170" s="74"/>
      <c r="BB170" s="76"/>
      <c r="BC170" s="73"/>
      <c r="BD170" s="75"/>
      <c r="BE170" s="73"/>
      <c r="BP170" s="78"/>
      <c r="BQ170" s="70"/>
      <c r="BT170" s="20"/>
      <c r="BU170" s="81"/>
      <c r="BV170" s="2"/>
      <c r="BY170" s="20"/>
      <c r="BZ170" s="79"/>
      <c r="CA170" s="2"/>
    </row>
    <row r="171" customFormat="false" ht="12" hidden="false" customHeight="false" outlineLevel="0" collapsed="false">
      <c r="AM171" s="7"/>
      <c r="AN171" s="21"/>
      <c r="AO171" s="21"/>
      <c r="AP171" s="21"/>
      <c r="AQ171" s="21"/>
      <c r="AR171" s="21"/>
      <c r="AS171" s="21"/>
      <c r="AT171" s="21"/>
      <c r="AU171" s="21"/>
      <c r="AW171" s="13"/>
      <c r="AY171" s="20"/>
      <c r="AZ171" s="73"/>
      <c r="BA171" s="74"/>
      <c r="BB171" s="76"/>
      <c r="BC171" s="73"/>
      <c r="BD171" s="75"/>
      <c r="BE171" s="73"/>
      <c r="BP171" s="78"/>
      <c r="BQ171" s="70"/>
      <c r="BT171" s="20"/>
      <c r="BU171" s="81"/>
      <c r="BV171" s="2"/>
      <c r="BY171" s="20"/>
      <c r="BZ171" s="79"/>
      <c r="CA171" s="2"/>
      <c r="CF171" s="2"/>
    </row>
    <row r="172" customFormat="false" ht="12" hidden="false" customHeight="false" outlineLevel="0" collapsed="false">
      <c r="BB172" s="73"/>
      <c r="BC172" s="73"/>
      <c r="BD172" s="73"/>
      <c r="BE172" s="73"/>
      <c r="BW172" s="82"/>
      <c r="BX172" s="82"/>
      <c r="BY172" s="20"/>
      <c r="BZ172" s="79"/>
      <c r="CA172" s="2"/>
    </row>
    <row r="173" customFormat="false" ht="12" hidden="false" customHeight="false" outlineLevel="0" collapsed="false">
      <c r="AZ173" s="73"/>
      <c r="BA173" s="73"/>
      <c r="BB173" s="85"/>
      <c r="BC173" s="73"/>
      <c r="BD173" s="73"/>
      <c r="BE173" s="73"/>
      <c r="BF173" s="73"/>
      <c r="BW173" s="82"/>
      <c r="BX173" s="82"/>
      <c r="BY173" s="20"/>
      <c r="BZ173" s="79"/>
      <c r="CA173" s="2"/>
    </row>
    <row r="174" customFormat="false" ht="12" hidden="false" customHeight="false" outlineLevel="0" collapsed="false">
      <c r="AZ174" s="73"/>
      <c r="BA174" s="73"/>
      <c r="BB174" s="73"/>
      <c r="BC174" s="73"/>
      <c r="BD174" s="73"/>
      <c r="BE174" s="73"/>
      <c r="BF174" s="73"/>
    </row>
    <row r="175" customFormat="false" ht="12" hidden="false" customHeight="false" outlineLevel="0" collapsed="false">
      <c r="AM175" s="2"/>
      <c r="AZ175" s="73"/>
      <c r="BA175" s="73"/>
      <c r="BB175" s="73"/>
      <c r="BC175" s="73"/>
      <c r="BD175" s="73"/>
      <c r="BE175" s="73"/>
      <c r="BF175" s="73"/>
    </row>
    <row r="176" customFormat="false" ht="12" hidden="false" customHeight="false" outlineLevel="0" collapsed="false">
      <c r="AN176" s="7"/>
      <c r="AO176" s="7"/>
      <c r="AP176" s="7"/>
      <c r="AQ176" s="7"/>
      <c r="AR176" s="7"/>
      <c r="AS176" s="7"/>
      <c r="AT176" s="7"/>
      <c r="AU176" s="7"/>
      <c r="AW176" s="21"/>
      <c r="AZ176" s="73"/>
      <c r="BA176" s="73"/>
      <c r="BB176" s="73"/>
      <c r="BC176" s="73"/>
      <c r="BD176" s="73"/>
      <c r="BE176" s="73"/>
      <c r="BF176" s="73"/>
      <c r="BK176" s="2"/>
      <c r="BP176" s="2"/>
      <c r="BT176" s="2"/>
      <c r="BY176" s="2"/>
      <c r="CD176" s="2"/>
      <c r="CI176" s="2"/>
      <c r="CM176" s="2"/>
    </row>
    <row r="177" customFormat="false" ht="12" hidden="false" customHeight="false" outlineLevel="0" collapsed="false">
      <c r="AM177" s="7"/>
      <c r="AN177" s="21"/>
      <c r="AO177" s="21"/>
      <c r="AP177" s="21"/>
      <c r="AQ177" s="21"/>
      <c r="AR177" s="42"/>
      <c r="AS177" s="42"/>
      <c r="AT177" s="42"/>
      <c r="AU177" s="42"/>
      <c r="AW177" s="21"/>
      <c r="AY177" s="21"/>
      <c r="AZ177" s="73"/>
      <c r="BA177" s="15"/>
      <c r="BB177" s="73"/>
      <c r="BC177" s="71"/>
      <c r="BD177" s="71"/>
      <c r="BE177" s="73"/>
      <c r="BF177" s="49"/>
      <c r="BK177" s="15"/>
      <c r="BL177" s="70"/>
      <c r="BM177" s="2"/>
      <c r="BP177" s="7"/>
      <c r="BQ177" s="70"/>
      <c r="BR177" s="2"/>
      <c r="BT177" s="7"/>
      <c r="BU177" s="70"/>
      <c r="BV177" s="2"/>
      <c r="BY177" s="7"/>
      <c r="BZ177" s="70"/>
      <c r="CA177" s="2"/>
      <c r="CD177" s="7"/>
      <c r="CE177" s="70"/>
      <c r="CF177" s="2"/>
      <c r="CI177" s="7"/>
      <c r="CJ177" s="70"/>
      <c r="CK177" s="2"/>
      <c r="CM177" s="7"/>
      <c r="CN177" s="70"/>
      <c r="CO177" s="2"/>
    </row>
    <row r="178" customFormat="false" ht="12" hidden="false" customHeight="false" outlineLevel="0" collapsed="false">
      <c r="AM178" s="7"/>
      <c r="AN178" s="21"/>
      <c r="AO178" s="21"/>
      <c r="AP178" s="21"/>
      <c r="AQ178" s="21"/>
      <c r="AR178" s="42"/>
      <c r="AS178" s="42"/>
      <c r="AT178" s="42"/>
      <c r="AU178" s="42"/>
      <c r="AW178" s="21"/>
      <c r="AY178" s="21"/>
      <c r="AZ178" s="73"/>
      <c r="BA178" s="15"/>
      <c r="BB178" s="73"/>
      <c r="BC178" s="71"/>
      <c r="BD178" s="71"/>
      <c r="BE178" s="73"/>
      <c r="BF178" s="49"/>
      <c r="BK178" s="15"/>
      <c r="BL178" s="70"/>
      <c r="BM178" s="2"/>
      <c r="BP178" s="7"/>
      <c r="BQ178" s="70"/>
      <c r="BR178" s="2"/>
      <c r="BT178" s="7"/>
      <c r="BU178" s="70"/>
      <c r="BV178" s="2"/>
      <c r="BY178" s="7"/>
      <c r="BZ178" s="70"/>
      <c r="CA178" s="2"/>
      <c r="CD178" s="7"/>
      <c r="CE178" s="70"/>
      <c r="CF178" s="2"/>
      <c r="CI178" s="7"/>
      <c r="CJ178" s="70"/>
      <c r="CK178" s="2"/>
      <c r="CM178" s="7"/>
      <c r="CN178" s="70"/>
      <c r="CO178" s="2"/>
    </row>
    <row r="179" customFormat="false" ht="12" hidden="false" customHeight="false" outlineLevel="0" collapsed="false">
      <c r="AM179" s="7"/>
      <c r="AN179" s="21"/>
      <c r="AO179" s="21"/>
      <c r="AP179" s="21"/>
      <c r="AQ179" s="21"/>
      <c r="AR179" s="42"/>
      <c r="AS179" s="42"/>
      <c r="AT179" s="42"/>
      <c r="AU179" s="42"/>
      <c r="AV179" s="7"/>
      <c r="AW179" s="21"/>
      <c r="AX179" s="7"/>
      <c r="AY179" s="21"/>
      <c r="AZ179" s="60"/>
      <c r="BA179" s="15"/>
      <c r="BB179" s="60"/>
      <c r="BC179" s="71"/>
      <c r="BD179" s="71"/>
      <c r="BE179" s="60"/>
      <c r="BF179" s="49"/>
      <c r="BK179" s="15"/>
      <c r="BL179" s="70"/>
      <c r="BM179" s="2"/>
      <c r="BP179" s="7"/>
      <c r="BQ179" s="70"/>
      <c r="BR179" s="2"/>
      <c r="BT179" s="7"/>
      <c r="BU179" s="70"/>
      <c r="BV179" s="2"/>
      <c r="BY179" s="7"/>
      <c r="BZ179" s="70"/>
      <c r="CA179" s="2"/>
      <c r="CD179" s="7"/>
      <c r="CE179" s="70"/>
      <c r="CF179" s="2"/>
      <c r="CI179" s="7"/>
      <c r="CJ179" s="70"/>
      <c r="CK179" s="2"/>
      <c r="CM179" s="7"/>
      <c r="CN179" s="70"/>
      <c r="CO179" s="2"/>
    </row>
    <row r="180" customFormat="false" ht="12" hidden="false" customHeight="false" outlineLevel="0" collapsed="false">
      <c r="AM180" s="7"/>
      <c r="AN180" s="7"/>
      <c r="AO180" s="7"/>
      <c r="AP180" s="7"/>
      <c r="AQ180" s="7"/>
      <c r="AR180" s="21"/>
      <c r="AS180" s="21"/>
      <c r="AT180" s="21"/>
      <c r="AU180" s="21"/>
      <c r="AW180" s="21"/>
      <c r="AY180" s="21"/>
      <c r="AZ180" s="73"/>
      <c r="BA180" s="15"/>
      <c r="BB180" s="73"/>
      <c r="BC180" s="71"/>
      <c r="BD180" s="71"/>
      <c r="BE180" s="73"/>
      <c r="BF180" s="49"/>
      <c r="BK180" s="15"/>
      <c r="BL180" s="70"/>
      <c r="BM180" s="2"/>
      <c r="BP180" s="7"/>
      <c r="BQ180" s="70"/>
      <c r="BR180" s="2"/>
      <c r="BT180" s="7"/>
      <c r="BU180" s="70"/>
      <c r="BV180" s="2"/>
      <c r="BY180" s="7"/>
      <c r="BZ180" s="70"/>
      <c r="CA180" s="2"/>
      <c r="CD180" s="7"/>
      <c r="CE180" s="70"/>
      <c r="CF180" s="2"/>
      <c r="CI180" s="7"/>
      <c r="CJ180" s="70"/>
      <c r="CK180" s="2"/>
      <c r="CM180" s="7"/>
      <c r="CN180" s="70"/>
      <c r="CO180" s="2"/>
    </row>
    <row r="181" customFormat="false" ht="12" hidden="false" customHeight="false" outlineLevel="0" collapsed="false">
      <c r="AM181" s="7"/>
      <c r="AN181" s="7"/>
      <c r="AO181" s="7"/>
      <c r="AP181" s="7"/>
      <c r="AQ181" s="7"/>
      <c r="AR181" s="21"/>
      <c r="AS181" s="21"/>
      <c r="AT181" s="21"/>
      <c r="AU181" s="21"/>
      <c r="AW181" s="21"/>
      <c r="AY181" s="21"/>
      <c r="AZ181" s="73"/>
      <c r="BA181" s="15"/>
      <c r="BB181" s="73"/>
      <c r="BC181" s="71"/>
      <c r="BD181" s="71"/>
      <c r="BE181" s="73"/>
      <c r="BF181" s="49"/>
      <c r="BK181" s="15"/>
      <c r="BL181" s="70"/>
      <c r="BM181" s="2"/>
      <c r="BP181" s="7"/>
      <c r="BQ181" s="70"/>
      <c r="BR181" s="2"/>
      <c r="BT181" s="7"/>
      <c r="BU181" s="70"/>
      <c r="BV181" s="2"/>
      <c r="BY181" s="7"/>
      <c r="BZ181" s="70"/>
      <c r="CA181" s="2"/>
      <c r="CD181" s="7"/>
      <c r="CE181" s="70"/>
      <c r="CF181" s="2"/>
      <c r="CI181" s="7"/>
      <c r="CJ181" s="70"/>
      <c r="CK181" s="2"/>
      <c r="CM181" s="7"/>
      <c r="CN181" s="70"/>
      <c r="CO181" s="2"/>
    </row>
    <row r="182" customFormat="false" ht="12" hidden="false" customHeight="false" outlineLevel="0" collapsed="false">
      <c r="AM182" s="7"/>
      <c r="AN182" s="7"/>
      <c r="AO182" s="7"/>
      <c r="AP182" s="7"/>
      <c r="AQ182" s="7"/>
      <c r="AR182" s="21"/>
      <c r="AS182" s="21"/>
      <c r="AT182" s="21"/>
      <c r="AU182" s="21"/>
      <c r="AW182" s="21"/>
      <c r="AY182" s="21"/>
      <c r="AZ182" s="73"/>
      <c r="BA182" s="15"/>
      <c r="BB182" s="73"/>
      <c r="BC182" s="71"/>
      <c r="BD182" s="71"/>
      <c r="BE182" s="73"/>
      <c r="BF182" s="49"/>
      <c r="BK182" s="15"/>
      <c r="BL182" s="70"/>
      <c r="BM182" s="2"/>
      <c r="BP182" s="7"/>
      <c r="BQ182" s="70"/>
      <c r="BR182" s="2"/>
      <c r="BT182" s="7"/>
      <c r="BU182" s="70"/>
      <c r="BV182" s="2"/>
      <c r="BY182" s="7"/>
      <c r="BZ182" s="70"/>
      <c r="CA182" s="2"/>
      <c r="CD182" s="7"/>
      <c r="CE182" s="70"/>
      <c r="CF182" s="2"/>
      <c r="CI182" s="7"/>
      <c r="CJ182" s="70"/>
      <c r="CK182" s="2"/>
      <c r="CM182" s="7"/>
      <c r="CN182" s="70"/>
      <c r="CO182" s="2"/>
    </row>
    <row r="183" customFormat="false" ht="12" hidden="false" customHeight="false" outlineLevel="0" collapsed="false">
      <c r="AW183" s="21"/>
      <c r="AZ183" s="73"/>
      <c r="BA183" s="73"/>
      <c r="BB183" s="73"/>
      <c r="BC183" s="73"/>
      <c r="BD183" s="73"/>
      <c r="BE183" s="73"/>
      <c r="BF183" s="73"/>
      <c r="BT183" s="70"/>
    </row>
    <row r="184" customFormat="false" ht="12" hidden="false" customHeight="false" outlineLevel="0" collapsed="false">
      <c r="AW184" s="21"/>
      <c r="BE184" s="73"/>
      <c r="BF184" s="73"/>
    </row>
    <row r="185" customFormat="false" ht="12" hidden="false" customHeight="false" outlineLevel="0" collapsed="false">
      <c r="AW185" s="21"/>
      <c r="AZ185" s="73"/>
      <c r="BA185" s="73"/>
      <c r="BB185" s="73"/>
      <c r="BC185" s="73"/>
      <c r="BD185" s="73"/>
      <c r="BE185" s="73"/>
      <c r="BF185" s="73"/>
      <c r="BK185" s="2"/>
      <c r="BR185" s="86"/>
    </row>
    <row r="186" customFormat="false" ht="12" hidden="false" customHeight="false" outlineLevel="0" collapsed="false">
      <c r="AW186" s="21"/>
      <c r="BL186" s="79"/>
      <c r="BM186" s="2"/>
    </row>
    <row r="187" customFormat="false" ht="12" hidden="false" customHeight="false" outlineLevel="0" collapsed="false">
      <c r="BL187" s="79"/>
      <c r="BM187" s="2"/>
    </row>
    <row r="190" customFormat="false" ht="12" hidden="false" customHeight="false" outlineLevel="0" collapsed="false">
      <c r="BL190" s="79"/>
      <c r="BM190" s="2"/>
    </row>
    <row r="191" customFormat="false" ht="12" hidden="false" customHeight="false" outlineLevel="0" collapsed="false">
      <c r="BL191" s="79"/>
      <c r="BM191" s="2"/>
    </row>
    <row r="192" customFormat="false" ht="12" hidden="false" customHeight="false" outlineLevel="0" collapsed="false">
      <c r="BL192" s="79"/>
      <c r="BM192" s="2"/>
    </row>
    <row r="193" customFormat="false" ht="12" hidden="false" customHeight="false" outlineLevel="0" collapsed="false">
      <c r="BL193" s="79"/>
      <c r="BM193" s="2"/>
    </row>
    <row r="195" customFormat="false" ht="12" hidden="false" customHeight="false" outlineLevel="0" collapsed="false">
      <c r="BL195" s="79"/>
      <c r="BM195" s="2"/>
    </row>
    <row r="198" customFormat="false" ht="12" hidden="false" customHeight="false" outlineLevel="0" collapsed="false">
      <c r="BL198" s="79"/>
      <c r="BM198" s="2"/>
    </row>
    <row r="199" customFormat="false" ht="12" hidden="false" customHeight="false" outlineLevel="0" collapsed="false">
      <c r="BL199" s="79"/>
      <c r="BM199" s="2"/>
    </row>
    <row r="200" customFormat="false" ht="12" hidden="false" customHeight="false" outlineLevel="0" collapsed="false">
      <c r="BL200" s="79"/>
      <c r="BM200" s="2"/>
    </row>
    <row r="201" customFormat="false" ht="12" hidden="false" customHeight="false" outlineLevel="0" collapsed="false">
      <c r="BL201" s="79"/>
      <c r="BM201" s="2"/>
    </row>
    <row r="203" customFormat="false" ht="12" hidden="false" customHeight="false" outlineLevel="0" collapsed="false">
      <c r="BL203" s="79"/>
      <c r="BM203" s="2"/>
    </row>
    <row r="206" customFormat="false" ht="12" hidden="false" customHeight="false" outlineLevel="0" collapsed="false">
      <c r="BL206" s="79"/>
      <c r="BM206" s="2"/>
    </row>
    <row r="207" customFormat="false" ht="12" hidden="false" customHeight="false" outlineLevel="0" collapsed="false">
      <c r="BL207" s="79"/>
      <c r="BM207" s="2"/>
    </row>
    <row r="208" customFormat="false" ht="12" hidden="false" customHeight="false" outlineLevel="0" collapsed="false">
      <c r="BL208" s="79"/>
      <c r="BM208" s="2"/>
    </row>
    <row r="209" customFormat="false" ht="12" hidden="false" customHeight="false" outlineLevel="0" collapsed="false">
      <c r="BL209" s="79"/>
      <c r="BM209" s="2"/>
    </row>
    <row r="219" customFormat="false" ht="12" hidden="false" customHeight="false" outlineLevel="0" collapsed="false">
      <c r="BF219" s="73"/>
    </row>
    <row r="220" customFormat="false" ht="12" hidden="false" customHeight="false" outlineLevel="0" collapsed="false">
      <c r="BF220" s="73"/>
    </row>
    <row r="221" customFormat="false" ht="12" hidden="false" customHeight="false" outlineLevel="0" collapsed="false">
      <c r="BF221" s="73"/>
    </row>
    <row r="222" customFormat="false" ht="12" hidden="false" customHeight="false" outlineLevel="0" collapsed="false">
      <c r="BF222" s="73"/>
    </row>
    <row r="223" customFormat="false" ht="12" hidden="false" customHeight="false" outlineLevel="0" collapsed="false">
      <c r="BF223" s="73"/>
    </row>
    <row r="224" customFormat="false" ht="12" hidden="false" customHeight="false" outlineLevel="0" collapsed="false">
      <c r="BF224" s="73"/>
    </row>
    <row r="225" customFormat="false" ht="12" hidden="false" customHeight="false" outlineLevel="0" collapsed="false">
      <c r="BF225" s="73"/>
    </row>
    <row r="226" customFormat="false" ht="12" hidden="false" customHeight="false" outlineLevel="0" collapsed="false">
      <c r="BF226" s="73"/>
    </row>
    <row r="227" customFormat="false" ht="12" hidden="false" customHeight="false" outlineLevel="0" collapsed="false">
      <c r="BF227" s="73"/>
    </row>
  </sheetData>
  <conditionalFormatting sqref="V22:V28 V31:V36">
    <cfRule type="expression" priority="2" aboveAverage="0" equalAverage="0" bottom="0" percent="0" rank="0" text="" dxfId="14">
      <formula>ABS(V22)&lt;0.1</formula>
    </cfRule>
  </conditionalFormatting>
  <conditionalFormatting sqref="M22:R27 M13:R18 T13:Y18 M39:R44 M31:R36">
    <cfRule type="expression" priority="3" aboveAverage="0" equalAverage="0" bottom="0" percent="0" rank="0" text="" dxfId="15">
      <formula>ABS(M13)&lt;0.1</formula>
    </cfRule>
  </conditionalFormatting>
  <conditionalFormatting sqref="BR166:BR168">
    <cfRule type="cellIs" priority="4" operator="equal" aboveAverage="0" equalAverage="0" bottom="0" percent="0" rank="0" text="" dxfId="16">
      <formula>"VIRHE!"</formula>
    </cfRule>
    <cfRule type="cellIs" priority="5" operator="equal" aboveAverage="0" equalAverage="0" bottom="0" percent="0" rank="0" text="" dxfId="17">
      <formula>"OK!"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W227"/>
  <sheetViews>
    <sheetView showFormulas="false" showGridLines="true" showRowColHeaders="true" showZeros="true" rightToLeft="false" tabSelected="true" showOutlineSymbols="true" defaultGridColor="true" view="normal" topLeftCell="Z73" colorId="64" zoomScale="100" zoomScaleNormal="100" zoomScalePageLayoutView="100" workbookViewId="0">
      <selection pane="topLeft" activeCell="BA104" activeCellId="0" sqref="BA104"/>
    </sheetView>
  </sheetViews>
  <sheetFormatPr defaultColWidth="9.140625" defaultRowHeight="12" customHeight="false" zeroHeight="false" outlineLevelRow="0" outlineLevelCol="0"/>
  <cols>
    <col collapsed="false" customWidth="false" hidden="false" outlineLevel="0" max="1" min="1" style="1" width="9.14"/>
    <col collapsed="false" customWidth="true" hidden="false" outlineLevel="0" max="4" min="2" style="1" width="9.3"/>
    <col collapsed="false" customWidth="true" hidden="false" outlineLevel="0" max="5" min="5" style="1" width="9.42"/>
    <col collapsed="false" customWidth="true" hidden="false" outlineLevel="0" max="7" min="6" style="1" width="9.3"/>
    <col collapsed="false" customWidth="false" hidden="false" outlineLevel="0" max="8" min="8" style="1" width="9.14"/>
    <col collapsed="false" customWidth="true" hidden="false" outlineLevel="0" max="9" min="9" style="1" width="9.57"/>
    <col collapsed="false" customWidth="false" hidden="false" outlineLevel="0" max="11" min="10" style="1" width="9.14"/>
    <col collapsed="false" customWidth="true" hidden="false" outlineLevel="0" max="12" min="12" style="1" width="9.72"/>
    <col collapsed="false" customWidth="true" hidden="false" outlineLevel="0" max="14" min="13" style="1" width="9.3"/>
    <col collapsed="false" customWidth="true" hidden="false" outlineLevel="0" max="15" min="15" style="1" width="9.42"/>
    <col collapsed="false" customWidth="true" hidden="false" outlineLevel="0" max="17" min="16" style="1" width="9.3"/>
    <col collapsed="false" customWidth="false" hidden="false" outlineLevel="0" max="18" min="18" style="1" width="9.14"/>
    <col collapsed="false" customWidth="true" hidden="false" outlineLevel="0" max="19" min="19" style="1" width="9.3"/>
    <col collapsed="false" customWidth="false" hidden="false" outlineLevel="0" max="21" min="20" style="1" width="9.14"/>
    <col collapsed="false" customWidth="true" hidden="false" outlineLevel="0" max="24" min="22" style="1" width="9.3"/>
    <col collapsed="false" customWidth="true" hidden="false" outlineLevel="0" max="25" min="25" style="1" width="9.42"/>
    <col collapsed="false" customWidth="true" hidden="false" outlineLevel="0" max="27" min="26" style="1" width="9.3"/>
    <col collapsed="false" customWidth="false" hidden="false" outlineLevel="0" max="28" min="28" style="1" width="9.14"/>
    <col collapsed="false" customWidth="true" hidden="false" outlineLevel="0" max="29" min="29" style="1" width="9.3"/>
    <col collapsed="false" customWidth="false" hidden="false" outlineLevel="0" max="35" min="30" style="1" width="9.14"/>
    <col collapsed="false" customWidth="true" hidden="false" outlineLevel="0" max="36" min="36" style="1" width="9.3"/>
    <col collapsed="false" customWidth="true" hidden="false" outlineLevel="0" max="37" min="37" style="1" width="11"/>
    <col collapsed="false" customWidth="true" hidden="false" outlineLevel="0" max="38" min="38" style="1" width="11.14"/>
    <col collapsed="false" customWidth="true" hidden="false" outlineLevel="0" max="39" min="39" style="1" width="10.42"/>
    <col collapsed="false" customWidth="true" hidden="false" outlineLevel="0" max="40" min="40" style="1" width="9.57"/>
    <col collapsed="false" customWidth="true" hidden="false" outlineLevel="0" max="43" min="41" style="1" width="11"/>
    <col collapsed="false" customWidth="true" hidden="false" outlineLevel="0" max="44" min="44" style="1" width="9.57"/>
    <col collapsed="false" customWidth="true" hidden="false" outlineLevel="0" max="48" min="45" style="1" width="9.3"/>
    <col collapsed="false" customWidth="false" hidden="false" outlineLevel="0" max="49" min="49" style="1" width="9.14"/>
    <col collapsed="false" customWidth="true" hidden="false" outlineLevel="0" max="53" min="50" style="1" width="9.3"/>
    <col collapsed="false" customWidth="true" hidden="false" outlineLevel="0" max="54" min="54" style="1" width="12.42"/>
    <col collapsed="false" customWidth="true" hidden="false" outlineLevel="0" max="55" min="55" style="1" width="9.3"/>
    <col collapsed="false" customWidth="true" hidden="false" outlineLevel="0" max="56" min="56" style="1" width="11"/>
    <col collapsed="false" customWidth="true" hidden="false" outlineLevel="0" max="62" min="57" style="1" width="9.3"/>
    <col collapsed="false" customWidth="false" hidden="false" outlineLevel="0" max="101" min="63" style="1" width="9.14"/>
  </cols>
  <sheetData>
    <row r="1" customFormat="false" ht="12" hidden="false" customHeight="false" outlineLevel="0" collapsed="false">
      <c r="B1" s="1" t="s">
        <v>0</v>
      </c>
    </row>
    <row r="3" customFormat="false" ht="12" hidden="false" customHeight="false" outlineLevel="0" collapsed="false">
      <c r="B3" s="2" t="s">
        <v>1</v>
      </c>
      <c r="E3" s="3"/>
      <c r="F3" s="4"/>
      <c r="L3" s="2" t="s">
        <v>2</v>
      </c>
      <c r="O3" s="3"/>
      <c r="P3" s="4"/>
      <c r="S3" s="2"/>
      <c r="V3" s="2" t="s">
        <v>3</v>
      </c>
      <c r="X3" s="3"/>
      <c r="Y3" s="4"/>
    </row>
    <row r="4" customFormat="false" ht="12" hidden="false" customHeight="false" outlineLevel="0" collapsed="false">
      <c r="B4" s="1" t="s">
        <v>4</v>
      </c>
      <c r="E4" s="5" t="n">
        <v>90</v>
      </c>
      <c r="F4" s="1" t="s">
        <v>5</v>
      </c>
      <c r="L4" s="1" t="s">
        <v>4</v>
      </c>
      <c r="O4" s="6" t="n">
        <v>0</v>
      </c>
      <c r="P4" s="1" t="s">
        <v>5</v>
      </c>
      <c r="V4" s="1" t="s">
        <v>4</v>
      </c>
      <c r="X4" s="7"/>
      <c r="Y4" s="6" t="n">
        <v>90</v>
      </c>
      <c r="Z4" s="1" t="s">
        <v>5</v>
      </c>
      <c r="AJ4" s="2" t="s">
        <v>6</v>
      </c>
      <c r="AZ4" s="2" t="s">
        <v>7</v>
      </c>
    </row>
    <row r="5" customFormat="false" ht="12" hidden="false" customHeight="false" outlineLevel="0" collapsed="false">
      <c r="B5" s="8" t="s">
        <v>8</v>
      </c>
      <c r="C5" s="9" t="n">
        <f aca="false">COS(RADIANS(E4))</f>
        <v>6.12323399573677E-017</v>
      </c>
      <c r="D5" s="8" t="s">
        <v>9</v>
      </c>
      <c r="E5" s="6" t="n">
        <f aca="false">SIN(RADIANS(E4))</f>
        <v>1</v>
      </c>
      <c r="L5" s="8" t="s">
        <v>8</v>
      </c>
      <c r="M5" s="9" t="n">
        <f aca="false">IF(ROUND(COS(RADIANS(O4)),5)=0,0,COS(RADIANS(O4)))</f>
        <v>1</v>
      </c>
      <c r="N5" s="8" t="s">
        <v>9</v>
      </c>
      <c r="O5" s="6" t="n">
        <f aca="false">IF(ROUND(SIN(RADIANS(O4)),5)=0,0,SIN(RADIANS(O4)))</f>
        <v>0</v>
      </c>
      <c r="V5" s="8" t="s">
        <v>8</v>
      </c>
      <c r="W5" s="9" t="n">
        <f aca="false">IF(ROUND(COS(RADIANS(Y4)),5)=0,0,COS(RADIANS(Y4)))</f>
        <v>0</v>
      </c>
      <c r="X5" s="8" t="s">
        <v>9</v>
      </c>
      <c r="Y5" s="6" t="n">
        <f aca="false">IF(ROUND(SIN(RADIANS(Y4)),5)=0,0,SIN(RADIANS(Y4)))</f>
        <v>1</v>
      </c>
      <c r="AJ5" s="10"/>
      <c r="AK5" s="11" t="n">
        <v>1</v>
      </c>
      <c r="AL5" s="11" t="n">
        <v>2</v>
      </c>
      <c r="AM5" s="11" t="n">
        <v>3</v>
      </c>
      <c r="AN5" s="11" t="n">
        <v>4</v>
      </c>
      <c r="AO5" s="11" t="n">
        <v>5</v>
      </c>
      <c r="AP5" s="11" t="n">
        <v>6</v>
      </c>
      <c r="AQ5" s="11" t="n">
        <v>7</v>
      </c>
      <c r="AR5" s="11" t="n">
        <v>8</v>
      </c>
      <c r="AS5" s="11" t="n">
        <v>9</v>
      </c>
      <c r="AT5" s="11" t="n">
        <v>10</v>
      </c>
      <c r="AU5" s="11" t="n">
        <v>11</v>
      </c>
      <c r="AV5" s="11" t="n">
        <v>12</v>
      </c>
      <c r="AW5" s="7"/>
      <c r="AX5" s="10" t="s">
        <v>10</v>
      </c>
      <c r="AZ5" s="10"/>
      <c r="BA5" s="11" t="n">
        <v>1</v>
      </c>
      <c r="BB5" s="11" t="n">
        <v>2</v>
      </c>
      <c r="BC5" s="11" t="n">
        <v>3</v>
      </c>
      <c r="BD5" s="11" t="n">
        <v>4</v>
      </c>
      <c r="BE5" s="11" t="n">
        <v>5</v>
      </c>
      <c r="BF5" s="11" t="n">
        <v>6</v>
      </c>
      <c r="BG5" s="11" t="n">
        <v>7</v>
      </c>
      <c r="BH5" s="11" t="n">
        <v>8</v>
      </c>
      <c r="BI5" s="11" t="n">
        <v>9</v>
      </c>
      <c r="BJ5" s="11" t="n">
        <v>10</v>
      </c>
      <c r="BK5" s="11" t="n">
        <v>11</v>
      </c>
      <c r="BL5" s="11" t="n">
        <v>12</v>
      </c>
      <c r="BM5" s="7"/>
      <c r="BN5" s="10" t="s">
        <v>10</v>
      </c>
    </row>
    <row r="6" customFormat="false" ht="12" hidden="false" customHeight="false" outlineLevel="0" collapsed="false">
      <c r="B6" s="1" t="s">
        <v>11</v>
      </c>
      <c r="E6" s="6" t="n">
        <v>4000</v>
      </c>
      <c r="F6" s="1" t="s">
        <v>12</v>
      </c>
      <c r="L6" s="1" t="s">
        <v>11</v>
      </c>
      <c r="O6" s="6" t="n">
        <v>6000</v>
      </c>
      <c r="P6" s="1" t="s">
        <v>12</v>
      </c>
      <c r="V6" s="1" t="s">
        <v>11</v>
      </c>
      <c r="X6" s="7"/>
      <c r="Y6" s="6" t="n">
        <v>4000</v>
      </c>
      <c r="Z6" s="1" t="s">
        <v>12</v>
      </c>
      <c r="AJ6" s="11" t="n">
        <v>1</v>
      </c>
      <c r="AK6" s="12" t="n">
        <f aca="false">B20</f>
        <v>328.125</v>
      </c>
      <c r="AL6" s="12" t="n">
        <f aca="false">C20</f>
        <v>3.21268866160695E-011</v>
      </c>
      <c r="AM6" s="12" t="n">
        <f aca="false">D20</f>
        <v>-656250</v>
      </c>
      <c r="AN6" s="12" t="n">
        <f aca="false">E20</f>
        <v>-328.125</v>
      </c>
      <c r="AO6" s="12" t="n">
        <f aca="false">F20</f>
        <v>-3.21268866160695E-011</v>
      </c>
      <c r="AP6" s="12" t="n">
        <f aca="false">G20</f>
        <v>-656250</v>
      </c>
      <c r="AQ6" s="7" t="n">
        <v>0</v>
      </c>
      <c r="AR6" s="7" t="n">
        <v>0</v>
      </c>
      <c r="AS6" s="7" t="n">
        <v>0</v>
      </c>
      <c r="AT6" s="7" t="n">
        <v>0</v>
      </c>
      <c r="AU6" s="7" t="n">
        <v>0</v>
      </c>
      <c r="AV6" s="7" t="n">
        <v>0</v>
      </c>
      <c r="AW6" s="7"/>
      <c r="AX6" s="13" t="n">
        <f aca="false">I20</f>
        <v>20000</v>
      </c>
      <c r="AZ6" s="11" t="n">
        <v>1</v>
      </c>
      <c r="BA6" s="7" t="n">
        <v>0</v>
      </c>
      <c r="BB6" s="7" t="n">
        <v>0</v>
      </c>
      <c r="BC6" s="7" t="n">
        <v>0</v>
      </c>
      <c r="BD6" s="7" t="n">
        <v>0</v>
      </c>
      <c r="BE6" s="7" t="n">
        <v>0</v>
      </c>
      <c r="BF6" s="7" t="n">
        <v>0</v>
      </c>
      <c r="BG6" s="7" t="n">
        <v>0</v>
      </c>
      <c r="BH6" s="7" t="n">
        <v>0</v>
      </c>
      <c r="BI6" s="7" t="n">
        <v>0</v>
      </c>
      <c r="BJ6" s="7" t="n">
        <v>0</v>
      </c>
      <c r="BK6" s="7" t="n">
        <v>0</v>
      </c>
      <c r="BL6" s="7" t="n">
        <v>0</v>
      </c>
      <c r="BM6" s="7"/>
    </row>
    <row r="7" customFormat="false" ht="12" hidden="false" customHeight="false" outlineLevel="0" collapsed="false">
      <c r="B7" s="1" t="s">
        <v>13</v>
      </c>
      <c r="E7" s="14" t="n">
        <f aca="false">100*100</f>
        <v>10000</v>
      </c>
      <c r="F7" s="1" t="s">
        <v>14</v>
      </c>
      <c r="L7" s="1" t="s">
        <v>13</v>
      </c>
      <c r="O7" s="14" t="n">
        <f aca="false">100*200</f>
        <v>20000</v>
      </c>
      <c r="P7" s="1" t="s">
        <v>14</v>
      </c>
      <c r="V7" s="1" t="s">
        <v>13</v>
      </c>
      <c r="X7" s="15"/>
      <c r="Y7" s="14" t="n">
        <f aca="false">E7</f>
        <v>10000</v>
      </c>
      <c r="Z7" s="1" t="s">
        <v>14</v>
      </c>
      <c r="AJ7" s="11" t="n">
        <v>2</v>
      </c>
      <c r="AK7" s="12" t="n">
        <f aca="false">B21</f>
        <v>3.21268866160695E-011</v>
      </c>
      <c r="AL7" s="12" t="n">
        <f aca="false">C21</f>
        <v>525000</v>
      </c>
      <c r="AM7" s="12" t="n">
        <f aca="false">D21</f>
        <v>4.01837230970225E-011</v>
      </c>
      <c r="AN7" s="12" t="n">
        <f aca="false">E21</f>
        <v>-3.21268866160695E-011</v>
      </c>
      <c r="AO7" s="12" t="n">
        <f aca="false">F21</f>
        <v>-525000</v>
      </c>
      <c r="AP7" s="12" t="n">
        <f aca="false">G21</f>
        <v>4.01837230970225E-011</v>
      </c>
      <c r="AQ7" s="7" t="n">
        <v>0</v>
      </c>
      <c r="AR7" s="7" t="n">
        <v>0</v>
      </c>
      <c r="AS7" s="7" t="n">
        <v>0</v>
      </c>
      <c r="AT7" s="7" t="n">
        <v>0</v>
      </c>
      <c r="AU7" s="7" t="n">
        <v>0</v>
      </c>
      <c r="AV7" s="7" t="n">
        <v>0</v>
      </c>
      <c r="AW7" s="7"/>
      <c r="AX7" s="13" t="n">
        <f aca="false">I21</f>
        <v>-1.22464679914735E-012</v>
      </c>
      <c r="AZ7" s="11" t="n">
        <v>2</v>
      </c>
      <c r="BA7" s="7" t="n">
        <v>0</v>
      </c>
      <c r="BB7" s="7" t="n">
        <v>0</v>
      </c>
      <c r="BC7" s="7" t="n">
        <v>0</v>
      </c>
      <c r="BD7" s="7" t="n">
        <v>0</v>
      </c>
      <c r="BE7" s="7" t="n">
        <v>0</v>
      </c>
      <c r="BF7" s="7" t="n">
        <v>0</v>
      </c>
      <c r="BG7" s="7" t="n">
        <v>0</v>
      </c>
      <c r="BH7" s="7" t="n">
        <v>0</v>
      </c>
      <c r="BI7" s="7" t="n">
        <v>0</v>
      </c>
      <c r="BJ7" s="7" t="n">
        <v>0</v>
      </c>
      <c r="BK7" s="7" t="n">
        <v>0</v>
      </c>
      <c r="BL7" s="7" t="n">
        <v>0</v>
      </c>
      <c r="BM7" s="7"/>
    </row>
    <row r="8" customFormat="false" ht="12" hidden="false" customHeight="false" outlineLevel="0" collapsed="false">
      <c r="B8" s="1" t="s">
        <v>15</v>
      </c>
      <c r="E8" s="14" t="n">
        <f aca="false">100*100^3/12</f>
        <v>8333333.33333333</v>
      </c>
      <c r="F8" s="1" t="s">
        <v>16</v>
      </c>
      <c r="L8" s="1" t="s">
        <v>15</v>
      </c>
      <c r="O8" s="14" t="n">
        <f aca="false">100*200^3/12</f>
        <v>66666666.6666667</v>
      </c>
      <c r="P8" s="1" t="s">
        <v>16</v>
      </c>
      <c r="V8" s="1" t="s">
        <v>15</v>
      </c>
      <c r="X8" s="15"/>
      <c r="Y8" s="14" t="n">
        <f aca="false">E8</f>
        <v>8333333.33333333</v>
      </c>
      <c r="Z8" s="1" t="s">
        <v>16</v>
      </c>
      <c r="AJ8" s="11" t="n">
        <v>3</v>
      </c>
      <c r="AK8" s="12" t="n">
        <f aca="false">B22</f>
        <v>-656250</v>
      </c>
      <c r="AL8" s="12" t="n">
        <f aca="false">C22</f>
        <v>4.01837230970225E-011</v>
      </c>
      <c r="AM8" s="12" t="n">
        <f aca="false">D22</f>
        <v>1750000000</v>
      </c>
      <c r="AN8" s="12" t="n">
        <f aca="false">E22</f>
        <v>656250</v>
      </c>
      <c r="AO8" s="12" t="n">
        <f aca="false">F22</f>
        <v>-4.01837230970225E-011</v>
      </c>
      <c r="AP8" s="12" t="n">
        <f aca="false">G22</f>
        <v>875000000</v>
      </c>
      <c r="AQ8" s="7" t="n">
        <v>0</v>
      </c>
      <c r="AR8" s="7" t="n">
        <v>0</v>
      </c>
      <c r="AS8" s="7" t="n">
        <v>0</v>
      </c>
      <c r="AT8" s="7" t="n">
        <v>0</v>
      </c>
      <c r="AU8" s="7" t="n">
        <v>0</v>
      </c>
      <c r="AV8" s="7" t="n">
        <v>0</v>
      </c>
      <c r="AW8" s="7"/>
      <c r="AX8" s="13" t="n">
        <f aca="false">I22</f>
        <v>-13333333.3333333</v>
      </c>
      <c r="AZ8" s="11" t="n">
        <v>3</v>
      </c>
      <c r="BA8" s="7" t="n">
        <v>0</v>
      </c>
      <c r="BB8" s="7" t="n">
        <v>0</v>
      </c>
      <c r="BC8" s="7" t="n">
        <v>0</v>
      </c>
      <c r="BD8" s="7" t="n">
        <v>0</v>
      </c>
      <c r="BE8" s="7" t="n">
        <v>0</v>
      </c>
      <c r="BF8" s="7" t="n">
        <v>0</v>
      </c>
      <c r="BG8" s="7" t="n">
        <v>0</v>
      </c>
      <c r="BH8" s="7" t="n">
        <v>0</v>
      </c>
      <c r="BI8" s="7" t="n">
        <v>0</v>
      </c>
      <c r="BJ8" s="7" t="n">
        <v>0</v>
      </c>
      <c r="BK8" s="7" t="n">
        <v>0</v>
      </c>
      <c r="BL8" s="7" t="n">
        <v>0</v>
      </c>
      <c r="BM8" s="7"/>
    </row>
    <row r="9" customFormat="false" ht="12" hidden="false" customHeight="false" outlineLevel="0" collapsed="false">
      <c r="B9" s="1" t="s">
        <v>17</v>
      </c>
      <c r="E9" s="14" t="n">
        <f aca="false">210*10^3</f>
        <v>210000</v>
      </c>
      <c r="F9" s="1" t="s">
        <v>18</v>
      </c>
      <c r="L9" s="1" t="s">
        <v>17</v>
      </c>
      <c r="O9" s="14" t="n">
        <f aca="false">210*10^3</f>
        <v>210000</v>
      </c>
      <c r="P9" s="1" t="s">
        <v>19</v>
      </c>
      <c r="V9" s="1" t="s">
        <v>17</v>
      </c>
      <c r="X9" s="15"/>
      <c r="Y9" s="14" t="n">
        <f aca="false">E9</f>
        <v>210000</v>
      </c>
      <c r="Z9" s="1" t="s">
        <v>20</v>
      </c>
      <c r="AJ9" s="11" t="n">
        <v>4</v>
      </c>
      <c r="AK9" s="12" t="n">
        <f aca="false">B23</f>
        <v>-328.125</v>
      </c>
      <c r="AL9" s="12" t="n">
        <f aca="false">C23</f>
        <v>-3.21268866160695E-011</v>
      </c>
      <c r="AM9" s="12" t="n">
        <f aca="false">D23</f>
        <v>656250</v>
      </c>
      <c r="AN9" s="12" t="n">
        <f aca="false">E23</f>
        <v>328.125</v>
      </c>
      <c r="AO9" s="12" t="n">
        <f aca="false">F23</f>
        <v>3.21268866160695E-011</v>
      </c>
      <c r="AP9" s="12" t="n">
        <f aca="false">G23</f>
        <v>656250</v>
      </c>
      <c r="AQ9" s="7" t="n">
        <v>0</v>
      </c>
      <c r="AR9" s="7" t="n">
        <v>0</v>
      </c>
      <c r="AS9" s="7" t="n">
        <v>0</v>
      </c>
      <c r="AT9" s="7" t="n">
        <v>0</v>
      </c>
      <c r="AU9" s="7" t="n">
        <v>0</v>
      </c>
      <c r="AV9" s="7" t="n">
        <v>0</v>
      </c>
      <c r="AW9" s="7"/>
      <c r="AX9" s="13" t="n">
        <f aca="false">I23</f>
        <v>20000</v>
      </c>
      <c r="AZ9" s="11" t="n">
        <v>4</v>
      </c>
      <c r="BA9" s="7" t="n">
        <v>0</v>
      </c>
      <c r="BB9" s="7" t="n">
        <v>0</v>
      </c>
      <c r="BC9" s="7" t="n">
        <v>0</v>
      </c>
      <c r="BD9" s="16" t="n">
        <f aca="false">L20</f>
        <v>700000</v>
      </c>
      <c r="BE9" s="16" t="n">
        <f aca="false">M20</f>
        <v>0</v>
      </c>
      <c r="BF9" s="16" t="n">
        <f aca="false">N20</f>
        <v>0</v>
      </c>
      <c r="BG9" s="7" t="n">
        <v>0</v>
      </c>
      <c r="BH9" s="7" t="n">
        <v>0</v>
      </c>
      <c r="BI9" s="7" t="n">
        <v>0</v>
      </c>
      <c r="BJ9" s="16" t="n">
        <f aca="false">O20</f>
        <v>-700000</v>
      </c>
      <c r="BK9" s="16" t="n">
        <f aca="false">P20</f>
        <v>0</v>
      </c>
      <c r="BL9" s="16" t="n">
        <f aca="false">Q20</f>
        <v>0</v>
      </c>
      <c r="BM9" s="17"/>
      <c r="BN9" s="13" t="n">
        <f aca="false" t="array" ref="BN9:BN11">S20:S22</f>
        <v>0</v>
      </c>
    </row>
    <row r="10" customFormat="false" ht="12" hidden="false" customHeight="false" outlineLevel="0" collapsed="false">
      <c r="B10" s="1" t="s">
        <v>21</v>
      </c>
      <c r="E10" s="18" t="n">
        <f aca="false">E9*E7</f>
        <v>2100000000</v>
      </c>
      <c r="F10" s="1" t="s">
        <v>22</v>
      </c>
      <c r="L10" s="1" t="s">
        <v>21</v>
      </c>
      <c r="O10" s="18" t="n">
        <f aca="false">O9*O7</f>
        <v>4200000000</v>
      </c>
      <c r="P10" s="1" t="s">
        <v>22</v>
      </c>
      <c r="V10" s="1" t="s">
        <v>21</v>
      </c>
      <c r="X10" s="15"/>
      <c r="Y10" s="18" t="n">
        <f aca="false">E10</f>
        <v>2100000000</v>
      </c>
      <c r="Z10" s="1" t="s">
        <v>22</v>
      </c>
      <c r="AJ10" s="11" t="n">
        <v>5</v>
      </c>
      <c r="AK10" s="12" t="n">
        <f aca="false">B24</f>
        <v>-3.21268866160695E-011</v>
      </c>
      <c r="AL10" s="12" t="n">
        <f aca="false">C24</f>
        <v>-525000</v>
      </c>
      <c r="AM10" s="12" t="n">
        <f aca="false">D24</f>
        <v>-4.01837230970225E-011</v>
      </c>
      <c r="AN10" s="12" t="n">
        <f aca="false">E24</f>
        <v>3.21268866160695E-011</v>
      </c>
      <c r="AO10" s="12" t="n">
        <f aca="false">F24</f>
        <v>525000</v>
      </c>
      <c r="AP10" s="12" t="n">
        <f aca="false">G24</f>
        <v>-4.01837230970225E-011</v>
      </c>
      <c r="AQ10" s="7" t="n">
        <v>0</v>
      </c>
      <c r="AR10" s="7" t="n">
        <v>0</v>
      </c>
      <c r="AS10" s="7" t="n">
        <v>0</v>
      </c>
      <c r="AT10" s="7" t="n">
        <v>0</v>
      </c>
      <c r="AU10" s="7" t="n">
        <v>0</v>
      </c>
      <c r="AV10" s="7" t="n">
        <v>0</v>
      </c>
      <c r="AW10" s="7"/>
      <c r="AX10" s="13" t="n">
        <f aca="false">I24</f>
        <v>-1.22464679914735E-012</v>
      </c>
      <c r="AZ10" s="11" t="n">
        <v>5</v>
      </c>
      <c r="BA10" s="7" t="n">
        <v>0</v>
      </c>
      <c r="BB10" s="7" t="n">
        <v>0</v>
      </c>
      <c r="BC10" s="7" t="n">
        <v>0</v>
      </c>
      <c r="BD10" s="16" t="n">
        <f aca="false">L21</f>
        <v>0</v>
      </c>
      <c r="BE10" s="16" t="n">
        <f aca="false">M21</f>
        <v>777.777777777778</v>
      </c>
      <c r="BF10" s="16" t="n">
        <f aca="false">N21</f>
        <v>2333333.33333333</v>
      </c>
      <c r="BG10" s="7" t="n">
        <v>0</v>
      </c>
      <c r="BH10" s="7" t="n">
        <v>0</v>
      </c>
      <c r="BI10" s="7" t="n">
        <v>0</v>
      </c>
      <c r="BJ10" s="16" t="n">
        <f aca="false">O21</f>
        <v>0</v>
      </c>
      <c r="BK10" s="16" t="n">
        <f aca="false">P21</f>
        <v>-777.777777777778</v>
      </c>
      <c r="BL10" s="16" t="n">
        <f aca="false">Q21</f>
        <v>2333333.33333333</v>
      </c>
      <c r="BM10" s="17"/>
      <c r="BN10" s="1" t="n">
        <v>-30000</v>
      </c>
    </row>
    <row r="11" customFormat="false" ht="12" hidden="false" customHeight="false" outlineLevel="0" collapsed="false">
      <c r="B11" s="1" t="s">
        <v>23</v>
      </c>
      <c r="E11" s="18" t="n">
        <f aca="false">E9*E8</f>
        <v>1750000000000</v>
      </c>
      <c r="F11" s="1" t="s">
        <v>24</v>
      </c>
      <c r="L11" s="1" t="s">
        <v>23</v>
      </c>
      <c r="O11" s="18" t="n">
        <f aca="false">O9*O8</f>
        <v>14000000000000</v>
      </c>
      <c r="P11" s="1" t="s">
        <v>25</v>
      </c>
      <c r="V11" s="1" t="s">
        <v>23</v>
      </c>
      <c r="X11" s="15"/>
      <c r="Y11" s="18" t="n">
        <f aca="false">E11</f>
        <v>1750000000000</v>
      </c>
      <c r="Z11" s="1" t="s">
        <v>25</v>
      </c>
      <c r="AJ11" s="11" t="n">
        <v>6</v>
      </c>
      <c r="AK11" s="12" t="n">
        <f aca="false">B25</f>
        <v>-656250</v>
      </c>
      <c r="AL11" s="12" t="n">
        <f aca="false">C25</f>
        <v>4.01837230970225E-011</v>
      </c>
      <c r="AM11" s="12" t="n">
        <f aca="false">D25</f>
        <v>875000000</v>
      </c>
      <c r="AN11" s="12" t="n">
        <f aca="false">E25</f>
        <v>656250</v>
      </c>
      <c r="AO11" s="12" t="n">
        <f aca="false">F25</f>
        <v>-4.01837230970225E-011</v>
      </c>
      <c r="AP11" s="12" t="n">
        <f aca="false">G25</f>
        <v>1750000000</v>
      </c>
      <c r="AQ11" s="7" t="n">
        <v>0</v>
      </c>
      <c r="AR11" s="7" t="n">
        <v>0</v>
      </c>
      <c r="AS11" s="7" t="n">
        <v>0</v>
      </c>
      <c r="AT11" s="7" t="n">
        <v>0</v>
      </c>
      <c r="AU11" s="7" t="n">
        <v>0</v>
      </c>
      <c r="AV11" s="7" t="n">
        <v>0</v>
      </c>
      <c r="AW11" s="7"/>
      <c r="AX11" s="13" t="n">
        <f aca="false">I25</f>
        <v>13333333.3333333</v>
      </c>
      <c r="AZ11" s="11" t="n">
        <v>6</v>
      </c>
      <c r="BA11" s="7" t="n">
        <v>0</v>
      </c>
      <c r="BB11" s="7" t="n">
        <v>0</v>
      </c>
      <c r="BC11" s="7" t="n">
        <v>0</v>
      </c>
      <c r="BD11" s="16" t="n">
        <f aca="false">L22</f>
        <v>0</v>
      </c>
      <c r="BE11" s="16" t="n">
        <f aca="false">M22</f>
        <v>2333333.33333333</v>
      </c>
      <c r="BF11" s="16" t="n">
        <f aca="false">N22</f>
        <v>9333333333.33333</v>
      </c>
      <c r="BG11" s="7" t="n">
        <v>0</v>
      </c>
      <c r="BH11" s="7" t="n">
        <v>0</v>
      </c>
      <c r="BI11" s="7" t="n">
        <v>0</v>
      </c>
      <c r="BJ11" s="16" t="n">
        <f aca="false">O22</f>
        <v>0</v>
      </c>
      <c r="BK11" s="16" t="n">
        <f aca="false">P22</f>
        <v>-2333333.33333333</v>
      </c>
      <c r="BL11" s="16" t="n">
        <f aca="false">Q22</f>
        <v>4666666666.66667</v>
      </c>
      <c r="BM11" s="17"/>
      <c r="BN11" s="1" t="n">
        <v>-30000000</v>
      </c>
    </row>
    <row r="12" customFormat="false" ht="12" hidden="false" customHeight="false" outlineLevel="0" collapsed="false">
      <c r="X12" s="15"/>
      <c r="AJ12" s="11" t="n">
        <v>7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0</v>
      </c>
      <c r="AP12" s="7" t="n">
        <v>0</v>
      </c>
      <c r="AQ12" s="7" t="n">
        <v>0</v>
      </c>
      <c r="AR12" s="7" t="n">
        <v>0</v>
      </c>
      <c r="AS12" s="7" t="n">
        <v>0</v>
      </c>
      <c r="AT12" s="7" t="n">
        <v>0</v>
      </c>
      <c r="AU12" s="7" t="n">
        <v>0</v>
      </c>
      <c r="AV12" s="7" t="n">
        <v>0</v>
      </c>
      <c r="AW12" s="7"/>
      <c r="AZ12" s="11" t="n">
        <v>7</v>
      </c>
      <c r="BA12" s="7" t="n">
        <v>0</v>
      </c>
      <c r="BB12" s="7" t="n">
        <v>0</v>
      </c>
      <c r="BC12" s="7" t="n">
        <v>0</v>
      </c>
      <c r="BD12" s="7" t="n">
        <v>0</v>
      </c>
      <c r="BE12" s="7" t="n">
        <v>0</v>
      </c>
      <c r="BF12" s="7" t="n">
        <v>0</v>
      </c>
      <c r="BG12" s="7" t="n">
        <v>0</v>
      </c>
      <c r="BH12" s="7" t="n">
        <v>0</v>
      </c>
      <c r="BI12" s="7" t="n">
        <v>0</v>
      </c>
      <c r="BJ12" s="7" t="n">
        <v>0</v>
      </c>
      <c r="BK12" s="7" t="n">
        <v>0</v>
      </c>
      <c r="BL12" s="7" t="n">
        <v>0</v>
      </c>
      <c r="BM12" s="17"/>
    </row>
    <row r="13" customFormat="false" ht="12" hidden="false" customHeight="false" outlineLevel="0" collapsed="false">
      <c r="B13" s="2" t="s">
        <v>26</v>
      </c>
      <c r="L13" s="2" t="s">
        <v>26</v>
      </c>
      <c r="V13" s="2" t="s">
        <v>26</v>
      </c>
      <c r="X13" s="15"/>
      <c r="AJ13" s="11" t="n">
        <v>8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0</v>
      </c>
      <c r="AP13" s="7" t="n">
        <v>0</v>
      </c>
      <c r="AQ13" s="7" t="n">
        <v>0</v>
      </c>
      <c r="AR13" s="7" t="n">
        <v>0</v>
      </c>
      <c r="AS13" s="7" t="n">
        <v>0</v>
      </c>
      <c r="AT13" s="7" t="n">
        <v>0</v>
      </c>
      <c r="AU13" s="7" t="n">
        <v>0</v>
      </c>
      <c r="AV13" s="7" t="n">
        <v>0</v>
      </c>
      <c r="AW13" s="7"/>
      <c r="AZ13" s="11" t="n">
        <v>8</v>
      </c>
      <c r="BA13" s="7" t="n">
        <v>0</v>
      </c>
      <c r="BB13" s="7" t="n">
        <v>0</v>
      </c>
      <c r="BC13" s="7" t="n">
        <v>0</v>
      </c>
      <c r="BD13" s="7" t="n">
        <v>0</v>
      </c>
      <c r="BE13" s="7" t="n">
        <v>0</v>
      </c>
      <c r="BF13" s="7" t="n">
        <v>0</v>
      </c>
      <c r="BG13" s="7" t="n">
        <v>0</v>
      </c>
      <c r="BH13" s="7" t="n">
        <v>0</v>
      </c>
      <c r="BI13" s="7" t="n">
        <v>0</v>
      </c>
      <c r="BJ13" s="7" t="n">
        <v>0</v>
      </c>
      <c r="BK13" s="7" t="n">
        <v>0</v>
      </c>
      <c r="BL13" s="7" t="n">
        <v>0</v>
      </c>
      <c r="BM13" s="7"/>
    </row>
    <row r="14" customFormat="false" ht="12" hidden="false" customHeight="false" outlineLevel="0" collapsed="false">
      <c r="B14" s="1" t="s">
        <v>27</v>
      </c>
      <c r="E14" s="19" t="n">
        <v>0</v>
      </c>
      <c r="F14" s="1" t="s">
        <v>28</v>
      </c>
      <c r="L14" s="1" t="s">
        <v>27</v>
      </c>
      <c r="O14" s="19" t="n">
        <v>0</v>
      </c>
      <c r="P14" s="1" t="s">
        <v>28</v>
      </c>
      <c r="V14" s="1" t="s">
        <v>27</v>
      </c>
      <c r="Y14" s="19" t="n">
        <v>0</v>
      </c>
      <c r="Z14" s="1" t="s">
        <v>28</v>
      </c>
      <c r="AJ14" s="11" t="n">
        <v>9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0</v>
      </c>
      <c r="AP14" s="7" t="n">
        <v>0</v>
      </c>
      <c r="AQ14" s="7" t="n">
        <v>0</v>
      </c>
      <c r="AR14" s="7" t="n">
        <v>0</v>
      </c>
      <c r="AS14" s="7" t="n">
        <v>0</v>
      </c>
      <c r="AT14" s="7" t="n">
        <v>0</v>
      </c>
      <c r="AU14" s="7" t="n">
        <v>0</v>
      </c>
      <c r="AV14" s="7" t="n">
        <v>0</v>
      </c>
      <c r="AW14" s="7"/>
      <c r="AZ14" s="11" t="n">
        <v>9</v>
      </c>
      <c r="BA14" s="7" t="n">
        <v>0</v>
      </c>
      <c r="BB14" s="7" t="n">
        <v>0</v>
      </c>
      <c r="BC14" s="7" t="n">
        <v>0</v>
      </c>
      <c r="BD14" s="7" t="n">
        <v>0</v>
      </c>
      <c r="BE14" s="7" t="n">
        <v>0</v>
      </c>
      <c r="BF14" s="7" t="n">
        <v>0</v>
      </c>
      <c r="BG14" s="7" t="n">
        <v>0</v>
      </c>
      <c r="BH14" s="7" t="n">
        <v>0</v>
      </c>
      <c r="BI14" s="7" t="n">
        <v>0</v>
      </c>
      <c r="BJ14" s="7" t="n">
        <v>0</v>
      </c>
      <c r="BK14" s="7" t="n">
        <v>0</v>
      </c>
      <c r="BL14" s="7" t="n">
        <v>0</v>
      </c>
      <c r="BM14" s="7"/>
    </row>
    <row r="15" customFormat="false" ht="12" hidden="false" customHeight="false" outlineLevel="0" collapsed="false">
      <c r="B15" s="1" t="s">
        <v>29</v>
      </c>
      <c r="E15" s="19" t="n">
        <v>10</v>
      </c>
      <c r="F15" s="1" t="s">
        <v>28</v>
      </c>
      <c r="L15" s="1" t="s">
        <v>29</v>
      </c>
      <c r="O15" s="19" t="n">
        <v>10</v>
      </c>
      <c r="P15" s="1" t="s">
        <v>28</v>
      </c>
      <c r="V15" s="1" t="s">
        <v>29</v>
      </c>
      <c r="Y15" s="19" t="n">
        <v>-5</v>
      </c>
      <c r="Z15" s="1" t="s">
        <v>28</v>
      </c>
      <c r="AJ15" s="11" t="n">
        <v>10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0</v>
      </c>
      <c r="AP15" s="7" t="n">
        <v>0</v>
      </c>
      <c r="AQ15" s="7" t="n">
        <v>0</v>
      </c>
      <c r="AR15" s="7" t="n">
        <v>0</v>
      </c>
      <c r="AS15" s="7" t="n">
        <v>0</v>
      </c>
      <c r="AT15" s="7" t="n">
        <v>0</v>
      </c>
      <c r="AU15" s="7" t="n">
        <v>0</v>
      </c>
      <c r="AV15" s="7" t="n">
        <v>0</v>
      </c>
      <c r="AW15" s="7"/>
      <c r="AX15" s="20"/>
      <c r="AZ15" s="11" t="n">
        <v>10</v>
      </c>
      <c r="BA15" s="7" t="n">
        <v>0</v>
      </c>
      <c r="BB15" s="7" t="n">
        <v>0</v>
      </c>
      <c r="BC15" s="7" t="n">
        <v>0</v>
      </c>
      <c r="BD15" s="16" t="n">
        <f aca="false">L23</f>
        <v>-700000</v>
      </c>
      <c r="BE15" s="16" t="n">
        <f aca="false">M23</f>
        <v>0</v>
      </c>
      <c r="BF15" s="16" t="n">
        <f aca="false">N23</f>
        <v>0</v>
      </c>
      <c r="BG15" s="7" t="n">
        <v>0</v>
      </c>
      <c r="BH15" s="7" t="n">
        <v>0</v>
      </c>
      <c r="BI15" s="7" t="n">
        <v>0</v>
      </c>
      <c r="BJ15" s="16" t="n">
        <f aca="false">O23</f>
        <v>700000</v>
      </c>
      <c r="BK15" s="16" t="n">
        <f aca="false">P23</f>
        <v>0</v>
      </c>
      <c r="BL15" s="16" t="n">
        <f aca="false">Q23</f>
        <v>0</v>
      </c>
      <c r="BM15" s="17"/>
      <c r="BN15" s="17" t="n">
        <f aca="false" t="array" ref="BN15:BN17">S23:S25</f>
        <v>0</v>
      </c>
    </row>
    <row r="16" customFormat="false" ht="12" hidden="false" customHeight="false" outlineLevel="0" collapsed="false">
      <c r="E16" s="13"/>
      <c r="O16" s="13"/>
      <c r="S16" s="2"/>
      <c r="Y16" s="13"/>
      <c r="AJ16" s="11" t="n">
        <v>11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0</v>
      </c>
      <c r="AP16" s="7" t="n">
        <v>0</v>
      </c>
      <c r="AQ16" s="7" t="n">
        <v>0</v>
      </c>
      <c r="AR16" s="7" t="n">
        <v>0</v>
      </c>
      <c r="AS16" s="7" t="n">
        <v>0</v>
      </c>
      <c r="AT16" s="7" t="n">
        <v>0</v>
      </c>
      <c r="AU16" s="7" t="n">
        <v>0</v>
      </c>
      <c r="AV16" s="7" t="n">
        <v>0</v>
      </c>
      <c r="AW16" s="7"/>
      <c r="AX16" s="20"/>
      <c r="AZ16" s="11" t="n">
        <v>11</v>
      </c>
      <c r="BA16" s="7" t="n">
        <v>0</v>
      </c>
      <c r="BB16" s="7" t="n">
        <v>0</v>
      </c>
      <c r="BC16" s="7" t="n">
        <v>0</v>
      </c>
      <c r="BD16" s="16" t="n">
        <f aca="false">L24</f>
        <v>0</v>
      </c>
      <c r="BE16" s="16" t="n">
        <f aca="false">M24</f>
        <v>-777.777777777778</v>
      </c>
      <c r="BF16" s="16" t="n">
        <f aca="false">N24</f>
        <v>-2333333.33333333</v>
      </c>
      <c r="BG16" s="7" t="n">
        <v>0</v>
      </c>
      <c r="BH16" s="7" t="n">
        <v>0</v>
      </c>
      <c r="BI16" s="7" t="n">
        <v>0</v>
      </c>
      <c r="BJ16" s="16" t="n">
        <f aca="false">O24</f>
        <v>0</v>
      </c>
      <c r="BK16" s="16" t="n">
        <f aca="false">P24</f>
        <v>777.777777777778</v>
      </c>
      <c r="BL16" s="16" t="n">
        <f aca="false">Q24</f>
        <v>-2333333.33333333</v>
      </c>
      <c r="BM16" s="17"/>
      <c r="BN16" s="20" t="n">
        <v>-30000</v>
      </c>
    </row>
    <row r="17" customFormat="false" ht="12" hidden="false" customHeight="false" outlineLevel="0" collapsed="false">
      <c r="AJ17" s="11" t="n">
        <v>12</v>
      </c>
      <c r="AK17" s="7" t="n">
        <v>0</v>
      </c>
      <c r="AL17" s="7" t="n">
        <v>0</v>
      </c>
      <c r="AM17" s="7" t="n">
        <v>0</v>
      </c>
      <c r="AN17" s="7" t="n">
        <v>0</v>
      </c>
      <c r="AO17" s="7" t="n">
        <v>0</v>
      </c>
      <c r="AP17" s="7" t="n">
        <v>0</v>
      </c>
      <c r="AQ17" s="7" t="n">
        <v>0</v>
      </c>
      <c r="AR17" s="7" t="n">
        <v>0</v>
      </c>
      <c r="AS17" s="7" t="n">
        <v>0</v>
      </c>
      <c r="AT17" s="7" t="n">
        <v>0</v>
      </c>
      <c r="AU17" s="7" t="n">
        <v>0</v>
      </c>
      <c r="AV17" s="7" t="n">
        <v>0</v>
      </c>
      <c r="AW17" s="7"/>
      <c r="AX17" s="20"/>
      <c r="AZ17" s="11" t="n">
        <v>12</v>
      </c>
      <c r="BA17" s="7" t="n">
        <v>0</v>
      </c>
      <c r="BB17" s="7" t="n">
        <v>0</v>
      </c>
      <c r="BC17" s="7" t="n">
        <v>0</v>
      </c>
      <c r="BD17" s="16" t="n">
        <f aca="false">L25</f>
        <v>0</v>
      </c>
      <c r="BE17" s="16" t="n">
        <f aca="false">M25</f>
        <v>2333333.33333333</v>
      </c>
      <c r="BF17" s="16" t="n">
        <f aca="false">N25</f>
        <v>4666666666.66667</v>
      </c>
      <c r="BG17" s="7" t="n">
        <v>0</v>
      </c>
      <c r="BH17" s="7" t="n">
        <v>0</v>
      </c>
      <c r="BI17" s="7" t="n">
        <v>0</v>
      </c>
      <c r="BJ17" s="16" t="n">
        <f aca="false">O25</f>
        <v>0</v>
      </c>
      <c r="BK17" s="16" t="n">
        <f aca="false">P25</f>
        <v>-2333333.33333333</v>
      </c>
      <c r="BL17" s="16" t="n">
        <f aca="false">Q25</f>
        <v>9333333333.33333</v>
      </c>
      <c r="BM17" s="17"/>
      <c r="BN17" s="20" t="n">
        <v>30000000</v>
      </c>
    </row>
    <row r="18" customFormat="false" ht="12" hidden="false" customHeight="false" outlineLevel="0" collapsed="false"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Z18" s="7"/>
      <c r="BA18" s="7"/>
      <c r="BB18" s="7"/>
      <c r="BC18" s="7"/>
      <c r="BD18" s="17"/>
      <c r="BE18" s="17"/>
      <c r="BF18" s="7"/>
      <c r="BG18" s="17"/>
      <c r="BH18" s="7"/>
      <c r="BI18" s="7"/>
      <c r="BJ18" s="7"/>
      <c r="BK18" s="17"/>
      <c r="BL18" s="17"/>
      <c r="BM18" s="7"/>
      <c r="BN18" s="17"/>
    </row>
    <row r="19" customFormat="false" ht="12" hidden="false" customHeight="false" outlineLevel="0" collapsed="false">
      <c r="B19" s="2" t="s">
        <v>30</v>
      </c>
      <c r="I19" s="2" t="s">
        <v>31</v>
      </c>
      <c r="L19" s="2" t="s">
        <v>30</v>
      </c>
      <c r="S19" s="2" t="s">
        <v>31</v>
      </c>
      <c r="V19" s="2" t="s">
        <v>30</v>
      </c>
      <c r="AC19" s="2" t="s">
        <v>31</v>
      </c>
      <c r="AM19" s="7"/>
      <c r="AN19" s="21"/>
      <c r="AO19" s="7"/>
      <c r="AP19" s="7"/>
      <c r="AQ19" s="7"/>
      <c r="AR19" s="7"/>
      <c r="AS19" s="7"/>
      <c r="AT19" s="7"/>
      <c r="AU19" s="21"/>
      <c r="AV19" s="7"/>
      <c r="AW19" s="7"/>
      <c r="AX19" s="7"/>
      <c r="AZ19" s="7"/>
      <c r="BA19" s="7"/>
      <c r="BB19" s="7"/>
      <c r="BC19" s="7"/>
      <c r="BD19" s="17"/>
      <c r="BE19" s="17"/>
      <c r="BF19" s="7"/>
      <c r="BG19" s="17"/>
      <c r="BH19" s="7"/>
      <c r="BI19" s="7"/>
      <c r="BJ19" s="7"/>
      <c r="BK19" s="17"/>
      <c r="BL19" s="17"/>
      <c r="BM19" s="7"/>
      <c r="BN19" s="17"/>
    </row>
    <row r="20" customFormat="false" ht="12" hidden="false" customHeight="false" outlineLevel="0" collapsed="false">
      <c r="B20" s="22" t="n">
        <f aca="false">$B36*B$45+$C36*B$46+$D36*B$47+$E36*B$48+$F36*B$49+$G36*B$50</f>
        <v>328.125</v>
      </c>
      <c r="C20" s="22" t="n">
        <f aca="false">$B36*C$45+$C36*C$46+$D36*C$47+$E36*C$48+$F36*C$49+$G36*C$50</f>
        <v>3.21268866160695E-011</v>
      </c>
      <c r="D20" s="22" t="n">
        <f aca="false">$B36*D$45+$C36*D$46+$D36*D$47+$E36*D$48+$F36*D$49+$G36*D$50</f>
        <v>-656250</v>
      </c>
      <c r="E20" s="22" t="n">
        <f aca="false">$B36*E$45+$C36*E$46+$D36*E$47+$E36*E$48+$F36*E$49+$G36*E$50</f>
        <v>-328.125</v>
      </c>
      <c r="F20" s="22" t="n">
        <f aca="false">$B36*F$45+$C36*F$46+$D36*F$47+$E36*F$48+$F36*F$49+$G36*F$50</f>
        <v>-3.21268866160695E-011</v>
      </c>
      <c r="G20" s="22" t="n">
        <f aca="false">$B36*G$45+$C36*G$46+$D36*G$47+$E36*G$48+$F36*G$49+$G36*G$50</f>
        <v>-656250</v>
      </c>
      <c r="I20" s="23" t="n">
        <f aca="false">B54*I28+C54*I29+D54*I30+E54*I31+F54*I32+G54*I33</f>
        <v>20000</v>
      </c>
      <c r="L20" s="24" t="n">
        <f aca="false">$L37*L$46+$M37*L$47+$N37*L$48+$O37*L$49+$P37*L$50+$Q37*L$51</f>
        <v>700000</v>
      </c>
      <c r="M20" s="24" t="n">
        <f aca="false">$L37*M$46+$M37*M$47+$N37*M$48+$O37*M$49+$P37*M$50+$Q37*M$51</f>
        <v>0</v>
      </c>
      <c r="N20" s="24" t="n">
        <f aca="false">$L37*N$46+$M37*N$47+$N37*N$48+$O37*N$49+$P37*N$50+$Q37*N$51</f>
        <v>0</v>
      </c>
      <c r="O20" s="24" t="n">
        <f aca="false">$L37*O$46+$M37*O$47+$N37*O$48+$O37*O$49+$P37*O$50+$Q37*O$51</f>
        <v>-700000</v>
      </c>
      <c r="P20" s="24" t="n">
        <f aca="false">$L37*P$46+$M37*P$47+$N37*P$48+$O37*P$49+$P37*P$50+$Q37*P$51</f>
        <v>0</v>
      </c>
      <c r="Q20" s="24" t="n">
        <f aca="false">$L37*Q$46+$M37*Q$47+$N37*Q$48+$O37*Q$49+$P37*Q$50+$Q37*Q$51</f>
        <v>0</v>
      </c>
      <c r="S20" s="25" t="n">
        <f aca="false">L55*S28+M55*S29+N55*S30+O55*S31+P55*S32+Q55*S33</f>
        <v>0</v>
      </c>
      <c r="V20" s="26" t="n">
        <f aca="false">$V37*B$45+$W37*B$46+$X37*B$47+$Y37*B$48+$Z37*B$49+$AA37*B$50</f>
        <v>328.125</v>
      </c>
      <c r="W20" s="26" t="n">
        <f aca="false">$V37*C$45+$W37*C$46+$X37*C$47+$Y37*C$48+$Z37*C$49+$AA37*C$50</f>
        <v>3.21268866160695E-011</v>
      </c>
      <c r="X20" s="26" t="n">
        <f aca="false">$V37*D$45+$W37*D$46+$X37*D$47+$Y37*D$48+$Z37*D$49+$AA37*D$50</f>
        <v>-656250</v>
      </c>
      <c r="Y20" s="26" t="n">
        <f aca="false">$V37*E$45+$W37*E$46+$X37*E$47+$Y37*E$48+$Z37*E$49+$AA37*E$50</f>
        <v>-328.125</v>
      </c>
      <c r="Z20" s="26" t="n">
        <f aca="false">$V37*F$45+$W37*F$46+$X37*F$47+$Y37*F$48+$Z37*F$49+$AA37*F$50</f>
        <v>-3.21268866160695E-011</v>
      </c>
      <c r="AA20" s="26" t="n">
        <f aca="false">$V37*G$45+$W37*G$46+$X37*G$47+$Y37*G$48+$Z37*G$49+$AA37*G$50</f>
        <v>-656250</v>
      </c>
      <c r="AC20" s="25" t="n">
        <f aca="false">V55*AC28+W55*AC29+X55*AC30+Y55*AC31+Z55*AC32+AA55*AC33</f>
        <v>-10000</v>
      </c>
      <c r="AJ20" s="2" t="s">
        <v>32</v>
      </c>
    </row>
    <row r="21" customFormat="false" ht="12" hidden="false" customHeight="false" outlineLevel="0" collapsed="false">
      <c r="B21" s="22" t="n">
        <f aca="false">$B37*B$45+$C37*B$46+$D37*B$47+$E37*B$48+$F37*B$49+$G37*B$50</f>
        <v>3.21268866160695E-011</v>
      </c>
      <c r="C21" s="22" t="n">
        <f aca="false">$B37*C$45+$C37*C$46+$D37*C$47+$E37*C$48+$F37*C$49+$G37*C$50</f>
        <v>525000</v>
      </c>
      <c r="D21" s="22" t="n">
        <f aca="false">$B37*D$45+$C37*D$46+$D37*D$47+$E37*D$48+$F37*D$49+$G37*D$50</f>
        <v>4.01837230970225E-011</v>
      </c>
      <c r="E21" s="22" t="n">
        <f aca="false">$B37*E$45+$C37*E$46+$D37*E$47+$E37*E$48+$F37*E$49+$G37*E$50</f>
        <v>-3.21268866160695E-011</v>
      </c>
      <c r="F21" s="22" t="n">
        <f aca="false">$B37*F$45+$C37*F$46+$D37*F$47+$E37*F$48+$F37*F$49+$G37*F$50</f>
        <v>-525000</v>
      </c>
      <c r="G21" s="22" t="n">
        <f aca="false">$B37*G$45+$C37*G$46+$D37*G$47+$E37*G$48+$F37*G$49+$G37*G$50</f>
        <v>4.01837230970225E-011</v>
      </c>
      <c r="I21" s="23" t="n">
        <f aca="false">B55*I28+C55*I29+D55*I30+E55*I31+F55*I32+G55*I33</f>
        <v>-1.22464679914735E-012</v>
      </c>
      <c r="L21" s="24" t="n">
        <f aca="false">$L38*L$46+$M38*L$47+$N38*L$48+$O38*L$49+$P38*L$50+$Q38*L$51</f>
        <v>0</v>
      </c>
      <c r="M21" s="24" t="n">
        <f aca="false">$L38*M$46+$M38*M$47+$N38*M$48+$O38*M$49+$P38*M$50+$Q38*M$51</f>
        <v>777.777777777778</v>
      </c>
      <c r="N21" s="24" t="n">
        <f aca="false">$L38*N$46+$M38*N$47+$N38*N$48+$O38*N$49+$P38*N$50+$Q38*N$51</f>
        <v>2333333.33333333</v>
      </c>
      <c r="O21" s="24" t="n">
        <f aca="false">$L38*O$46+$M38*O$47+$N38*O$48+$O38*O$49+$P38*O$50+$Q38*O$51</f>
        <v>0</v>
      </c>
      <c r="P21" s="24" t="n">
        <f aca="false">$L38*P$46+$M38*P$47+$N38*P$48+$O38*P$49+$P38*P$50+$Q38*P$51</f>
        <v>-777.777777777778</v>
      </c>
      <c r="Q21" s="24" t="n">
        <f aca="false">$L38*Q$46+$M38*Q$47+$N38*Q$48+$O38*Q$49+$P38*Q$50+$Q38*Q$51</f>
        <v>2333333.33333333</v>
      </c>
      <c r="S21" s="25" t="n">
        <f aca="false">L56*S28+M56*S29+N56*S30+O56*S31+P56*S32+Q56*S33</f>
        <v>-30000</v>
      </c>
      <c r="V21" s="26" t="n">
        <f aca="false">$V38*B$45+$W38*B$46+$X38*B$47+$Y38*B$48+$Z38*B$49+$AA38*B$50</f>
        <v>3.21268866160695E-011</v>
      </c>
      <c r="W21" s="26" t="n">
        <f aca="false">$V38*C$45+$W38*C$46+$X38*C$47+$Y38*C$48+$Z38*C$49+$AA38*C$50</f>
        <v>525000</v>
      </c>
      <c r="X21" s="26" t="n">
        <f aca="false">$V38*D$45+$W38*D$46+$X38*D$47+$Y38*D$48+$Z38*D$49+$AA38*D$50</f>
        <v>4.01837230970225E-011</v>
      </c>
      <c r="Y21" s="26" t="n">
        <f aca="false">$V38*E$45+$W38*E$46+$X38*E$47+$Y38*E$48+$Z38*E$49+$AA38*E$50</f>
        <v>-3.21268866160695E-011</v>
      </c>
      <c r="Z21" s="26" t="n">
        <f aca="false">$V38*F$45+$W38*F$46+$X38*F$47+$Y38*F$48+$Z38*F$49+$AA38*F$50</f>
        <v>-525000</v>
      </c>
      <c r="AA21" s="26" t="n">
        <f aca="false">$V38*G$45+$W38*G$46+$X38*G$47+$Y38*G$48+$Z38*G$49+$AA38*G$50</f>
        <v>4.01837230970225E-011</v>
      </c>
      <c r="AC21" s="25" t="n">
        <f aca="false">V56*AC28+W56*AC29+X56*AC30+Y56*AC31+Z56*AC32+AA56*AC33</f>
        <v>6.12323399573677E-013</v>
      </c>
      <c r="AJ21" s="10"/>
      <c r="AK21" s="11" t="n">
        <v>1</v>
      </c>
      <c r="AL21" s="11" t="n">
        <v>2</v>
      </c>
      <c r="AM21" s="11" t="n">
        <v>3</v>
      </c>
      <c r="AN21" s="11" t="n">
        <v>4</v>
      </c>
      <c r="AO21" s="11" t="n">
        <v>5</v>
      </c>
      <c r="AP21" s="11" t="n">
        <v>6</v>
      </c>
      <c r="AQ21" s="11" t="n">
        <v>7</v>
      </c>
      <c r="AR21" s="11" t="n">
        <v>8</v>
      </c>
      <c r="AS21" s="11" t="n">
        <v>9</v>
      </c>
      <c r="AT21" s="11" t="n">
        <v>10</v>
      </c>
      <c r="AU21" s="11" t="n">
        <v>11</v>
      </c>
      <c r="AV21" s="11" t="n">
        <v>12</v>
      </c>
      <c r="AW21" s="7"/>
      <c r="AX21" s="10" t="s">
        <v>10</v>
      </c>
    </row>
    <row r="22" customFormat="false" ht="12" hidden="false" customHeight="false" outlineLevel="0" collapsed="false">
      <c r="B22" s="22" t="n">
        <f aca="false">$B38*B$45+$C38*B$46+$D38*B$47+$E38*B$48+$F38*B$49+$G38*B$50</f>
        <v>-656250</v>
      </c>
      <c r="C22" s="22" t="n">
        <f aca="false">$B38*C$45+$C38*C$46+$D38*C$47+$E38*C$48+$F38*C$49+$G38*C$50</f>
        <v>4.01837230970225E-011</v>
      </c>
      <c r="D22" s="22" t="n">
        <f aca="false">$B38*D$45+$C38*D$46+$D38*D$47+$E38*D$48+$F38*D$49+$G38*D$50</f>
        <v>1750000000</v>
      </c>
      <c r="E22" s="22" t="n">
        <f aca="false">$B38*E$45+$C38*E$46+$D38*E$47+$E38*E$48+$F38*E$49+$G38*E$50</f>
        <v>656250</v>
      </c>
      <c r="F22" s="22" t="n">
        <f aca="false">$B38*F$45+$C38*F$46+$D38*F$47+$E38*F$48+$F38*F$49+$G38*F$50</f>
        <v>-4.01837230970225E-011</v>
      </c>
      <c r="G22" s="22" t="n">
        <f aca="false">-1*$B38*G$45+$C38*G$46+$D38*G$47+$E38*G$48+$F38*G$49+$G38*G$50</f>
        <v>875000000</v>
      </c>
      <c r="I22" s="23" t="n">
        <f aca="false">B56*I28+C56*I29+D56*I30+E56*I31+F56*I32+G56*I33</f>
        <v>-13333333.3333333</v>
      </c>
      <c r="L22" s="24" t="n">
        <f aca="false">$L39*L$46+$M39*L$47+$N39*L$48+$O39*L$49+$P39*L$50+$Q39*L$51</f>
        <v>0</v>
      </c>
      <c r="M22" s="24" t="n">
        <f aca="false">$L39*M$46+$M39*M$47+$N39*M$48+$O39*M$49+$P39*M$50+$Q39*M$51</f>
        <v>2333333.33333333</v>
      </c>
      <c r="N22" s="24" t="n">
        <f aca="false">$L39*N$46+$M39*N$47+$N39*N$48+$O39*N$49+$P39*N$50+$Q39*N$51</f>
        <v>9333333333.33333</v>
      </c>
      <c r="O22" s="24" t="n">
        <f aca="false">$L39*O$46+$M39*O$47+$N39*O$48+$O39*O$49+$P39*O$50+$Q39*O$51</f>
        <v>0</v>
      </c>
      <c r="P22" s="24" t="n">
        <f aca="false">$L39*P$46+$M39*P$47+$N39*P$48+$O39*P$49+$P39*P$50+$Q39*P$51</f>
        <v>-2333333.33333333</v>
      </c>
      <c r="Q22" s="24" t="n">
        <f aca="false">$L39*Q$46+$M39*Q$47+$N39*Q$48+$O39*Q$49+$P39*Q$50+$Q39*Q$51</f>
        <v>4666666666.66667</v>
      </c>
      <c r="S22" s="25" t="n">
        <f aca="false">L57*S28+M57*S29+N57*S30+O57*S31+P57*S32+Q57*S33</f>
        <v>-30000000</v>
      </c>
      <c r="V22" s="26" t="n">
        <f aca="false">$V39*B$45+$W39*B$46+$X39*B$47+$Y39*B$48+$Z39*B$49+$AA39*B$50</f>
        <v>-656250</v>
      </c>
      <c r="W22" s="26" t="n">
        <f aca="false">$V39*C$45+$W39*C$46+$X39*C$47+$Y39*C$48+$Z39*C$49+$AA39*C$50</f>
        <v>4.01837230970225E-011</v>
      </c>
      <c r="X22" s="26" t="n">
        <f aca="false">$V39*D$45+$W39*D$46+$X39*D$47+$Y39*D$48+$Z39*D$49+$AA39*D$50</f>
        <v>1750000000</v>
      </c>
      <c r="Y22" s="26" t="n">
        <f aca="false">$V39*E$45+$W39*E$46+$X39*E$47+$Y39*E$48+$Z39*E$49+$AA39*E$50</f>
        <v>656250</v>
      </c>
      <c r="Z22" s="26" t="n">
        <f aca="false">$V39*F$45+$W39*F$46+$X39*F$47+$Y39*F$48+$Z39*F$49+$AA39*F$50</f>
        <v>-4.01837230970225E-011</v>
      </c>
      <c r="AA22" s="26" t="n">
        <f aca="false">-1*$V39*G$45+$W39*G$46+$X39*G$47+$Y39*G$48+$Z39*G$49+$AA39*G$50</f>
        <v>875000000</v>
      </c>
      <c r="AC22" s="25" t="n">
        <f aca="false">V57*AC28+W57*AC29+X57*AC30+Y57*AC31+Z57*AC32+AA57*AC33</f>
        <v>6666666.66666667</v>
      </c>
      <c r="AJ22" s="11" t="n">
        <v>1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0</v>
      </c>
      <c r="AP22" s="7" t="n">
        <v>0</v>
      </c>
      <c r="AQ22" s="7" t="n">
        <v>0</v>
      </c>
      <c r="AR22" s="7" t="n">
        <v>0</v>
      </c>
      <c r="AS22" s="7" t="n">
        <v>0</v>
      </c>
      <c r="AT22" s="7" t="n">
        <v>0</v>
      </c>
      <c r="AU22" s="7" t="n">
        <v>0</v>
      </c>
      <c r="AV22" s="7" t="n">
        <v>0</v>
      </c>
      <c r="AW22" s="7"/>
    </row>
    <row r="23" customFormat="false" ht="12" hidden="false" customHeight="false" outlineLevel="0" collapsed="false">
      <c r="B23" s="22" t="n">
        <f aca="false">$B39*B$45+$C39*B$46+$D39*B$47+$E39*B$48+$F39*B$49+$G39*B$50</f>
        <v>-328.125</v>
      </c>
      <c r="C23" s="22" t="n">
        <f aca="false">$B39*C$45+$C39*C$46+$D39*C$47+$E39*C$48+$F39*C$49+$G39*C$50</f>
        <v>-3.21268866160695E-011</v>
      </c>
      <c r="D23" s="22" t="n">
        <f aca="false">$B39*D$45+$C39*D$46+$D39*D$47+$E39*D$48+$F39*D$49+$G39*D$50</f>
        <v>656250</v>
      </c>
      <c r="E23" s="22" t="n">
        <f aca="false">$B39*E$45+$C39*E$46+$D39*E$47+$E39*E$48+$F39*E$49+$G39*E$50</f>
        <v>328.125</v>
      </c>
      <c r="F23" s="22" t="n">
        <f aca="false">$B39*F$45+$C39*F$46+$D39*F$47+$E39*F$48+$F39*F$49+$G39*F$50</f>
        <v>3.21268866160695E-011</v>
      </c>
      <c r="G23" s="22" t="n">
        <f aca="false">$B39*G$45+$C39*G$46+$D39*G$47+$E39*G$48+$F39*G$49+$G39*G$50</f>
        <v>656250</v>
      </c>
      <c r="I23" s="23" t="n">
        <f aca="false">B57*I28+C57*I29+D57*I30+E57*I31+F57*I32+G57*I33</f>
        <v>20000</v>
      </c>
      <c r="L23" s="24" t="n">
        <f aca="false">$L40*L$46+$M40*L$47+$N40*L$48+$O40*L$49+$P40*L$50+$Q40*L$51</f>
        <v>-700000</v>
      </c>
      <c r="M23" s="24" t="n">
        <f aca="false">$L40*M$46+$M40*M$47+$N40*M$48+$O40*M$49+$P40*M$50+$Q40*M$51</f>
        <v>0</v>
      </c>
      <c r="N23" s="24" t="n">
        <f aca="false">$L40*N$46+$M40*N$47+$N40*N$48+$O40*N$49+$P40*N$50+$Q40*N$51</f>
        <v>0</v>
      </c>
      <c r="O23" s="24" t="n">
        <f aca="false">$L40*O$46+$M40*O$47+$N40*O$48+$O40*O$49+$P40*O$50+$Q40*O$51</f>
        <v>700000</v>
      </c>
      <c r="P23" s="24" t="n">
        <f aca="false">$L40*P$46+$M40*P$47+$N40*P$48+$O40*P$49+$P40*P$50+$Q40*P$51</f>
        <v>0</v>
      </c>
      <c r="Q23" s="24" t="n">
        <f aca="false">$L40*Q$46+$M40*Q$47+$N40*Q$48+$O40*Q$49+$P40*Q$50+$Q40*Q$51</f>
        <v>0</v>
      </c>
      <c r="S23" s="25" t="n">
        <f aca="false">L58*S28+M58*S29+N58*S30+O58*S31+P58*S32+Q58*S33</f>
        <v>0</v>
      </c>
      <c r="V23" s="26" t="n">
        <f aca="false">$V40*B$45+$W40*B$46+$X40*B$47+$Y40*B$48+$Z40*B$49+$AA40*B$50</f>
        <v>-328.125</v>
      </c>
      <c r="W23" s="26" t="n">
        <f aca="false">$V40*C$45+$W40*C$46+$X40*C$47+$Y40*C$48+$Z40*C$49+$AA40*C$50</f>
        <v>-3.21268866160695E-011</v>
      </c>
      <c r="X23" s="26" t="n">
        <f aca="false">$V40*D$45+$W40*D$46+$X40*D$47+$Y40*D$48+$Z40*D$49+$AA40*D$50</f>
        <v>656250</v>
      </c>
      <c r="Y23" s="26" t="n">
        <f aca="false">$V40*E$45+$W40*E$46+$X40*E$47+$Y40*E$48+$Z40*E$49+$AA40*E$50</f>
        <v>328.125</v>
      </c>
      <c r="Z23" s="26" t="n">
        <f aca="false">$V40*F$45+$W40*F$46+$X40*F$47+$Y40*F$48+$Z40*F$49+$AA40*F$50</f>
        <v>3.21268866160695E-011</v>
      </c>
      <c r="AA23" s="26" t="n">
        <f aca="false">$V40*G$45+$W40*G$46+$X40*G$47+$Y40*G$48+$Z40*G$49+$AA40*G$50</f>
        <v>656250</v>
      </c>
      <c r="AC23" s="25" t="n">
        <f aca="false">V58*AC28+W58*AC29+X58*AC30+Y58*AC31+Z58*AC32+AA58*AC33</f>
        <v>-10000</v>
      </c>
      <c r="AJ23" s="11" t="n">
        <v>2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0</v>
      </c>
      <c r="AP23" s="7" t="n">
        <v>0</v>
      </c>
      <c r="AQ23" s="7" t="n">
        <v>0</v>
      </c>
      <c r="AR23" s="7" t="n">
        <v>0</v>
      </c>
      <c r="AS23" s="7" t="n">
        <v>0</v>
      </c>
      <c r="AT23" s="7" t="n">
        <v>0</v>
      </c>
      <c r="AU23" s="7" t="n">
        <v>0</v>
      </c>
      <c r="AV23" s="7" t="n">
        <v>0</v>
      </c>
      <c r="AW23" s="7"/>
    </row>
    <row r="24" customFormat="false" ht="12" hidden="false" customHeight="false" outlineLevel="0" collapsed="false">
      <c r="B24" s="22" t="n">
        <f aca="false">$B40*B$45+$C40*B$46+$D40*B$47+$E40*B$48+$F40*B$49+$G40*B$50</f>
        <v>-3.21268866160695E-011</v>
      </c>
      <c r="C24" s="22" t="n">
        <f aca="false">$B40*C$45+$C40*C$46+$D40*C$47+$E40*C$48+$F40*C$49+$G40*C$50</f>
        <v>-525000</v>
      </c>
      <c r="D24" s="22" t="n">
        <f aca="false">$B40*D$45+$C40*D$46+$D40*D$47+$E40*D$48+$F40*D$49+$G40*D$50</f>
        <v>-4.01837230970225E-011</v>
      </c>
      <c r="E24" s="22" t="n">
        <f aca="false">$B40*E$45+$C40*E$46+$D40*E$47+$E40*E$48+$F40*E$49+$G40*E$50</f>
        <v>3.21268866160695E-011</v>
      </c>
      <c r="F24" s="22" t="n">
        <f aca="false">$B40*F$45+$C40*F$46+$D40*F$47+$E40*F$48+$F40*F$49+$G40*F$50</f>
        <v>525000</v>
      </c>
      <c r="G24" s="22" t="n">
        <f aca="false">$B40*G$45+$C40*G$46+$D40*G$47+$E40*G$48+$F40*G$49+$G40*G$50</f>
        <v>-4.01837230970225E-011</v>
      </c>
      <c r="I24" s="23" t="n">
        <f aca="false">B58*I28+C58*I29+D58*I30+E58*I31+F58*I32+G58*I33</f>
        <v>-1.22464679914735E-012</v>
      </c>
      <c r="L24" s="24" t="n">
        <f aca="false">$L41*L$46+$M41*L$47+$N41*L$48+$O41*L$49+$P41*L$50+$Q41*L$51</f>
        <v>0</v>
      </c>
      <c r="M24" s="24" t="n">
        <f aca="false">$L41*M$46+$M41*M$47+$N41*M$48+$O41*M$49+$P41*M$50+$Q41*M$51</f>
        <v>-777.777777777778</v>
      </c>
      <c r="N24" s="24" t="n">
        <f aca="false">$L41*N$46+$M41*N$47+$N41*N$48+$O41*N$49+$P41*N$50+$Q41*N$51</f>
        <v>-2333333.33333333</v>
      </c>
      <c r="O24" s="24" t="n">
        <f aca="false">$L41*O$46+$M41*O$47+$N41*O$48+$O41*O$49+$P41*O$50+$Q41*O$51</f>
        <v>0</v>
      </c>
      <c r="P24" s="24" t="n">
        <f aca="false">$L41*P$46+$M41*P$47+$N41*P$48+$O41*P$49+$P41*P$50+$Q41*P$51</f>
        <v>777.777777777778</v>
      </c>
      <c r="Q24" s="24" t="n">
        <f aca="false">$L41*Q$46+$M41*Q$47+$N41*Q$48+$O41*Q$49+$P41*Q$50+$Q41*Q$51</f>
        <v>-2333333.33333333</v>
      </c>
      <c r="S24" s="25" t="n">
        <f aca="false">L59*S28+M59*S29+N59*S30+O59*S31+P59*S32+Q59*S33</f>
        <v>-30000</v>
      </c>
      <c r="V24" s="26" t="n">
        <f aca="false">$V41*B$45+$W41*B$46+$X41*B$47+$Y41*B$48+$Z41*B$49+$AA41*B$50</f>
        <v>-3.21268866160695E-011</v>
      </c>
      <c r="W24" s="26" t="n">
        <f aca="false">$V41*C$45+$W41*C$46+$X41*C$47+$Y41*C$48+$Z41*C$49+$AA41*C$50</f>
        <v>-525000</v>
      </c>
      <c r="X24" s="26" t="n">
        <f aca="false">$V41*D$45+$W41*D$46+$X41*D$47+$Y41*D$48+$Z41*D$49+$AA41*D$50</f>
        <v>-4.01837230970225E-011</v>
      </c>
      <c r="Y24" s="26" t="n">
        <f aca="false">$V41*E$45+$W41*E$46+$X41*E$47+$Y41*E$48+$Z41*E$49+$AA41*E$50</f>
        <v>3.21268866160695E-011</v>
      </c>
      <c r="Z24" s="26" t="n">
        <f aca="false">$V41*F$45+$W41*F$46+$X41*F$47+$Y41*F$48+$Z41*F$49+$AA41*F$50</f>
        <v>525000</v>
      </c>
      <c r="AA24" s="26" t="n">
        <f aca="false">$V41*G$45+$W41*G$46+$X41*G$47+$Y41*G$48+$Z41*G$49+$AA41*G$50</f>
        <v>-4.01837230970225E-011</v>
      </c>
      <c r="AC24" s="25" t="n">
        <f aca="false">V59*AC28+W59*AC29+X59*AC30+Y59*AC31+Z59*AC32+AA59*AC33</f>
        <v>6.12323399573677E-013</v>
      </c>
      <c r="AJ24" s="11" t="n">
        <v>3</v>
      </c>
      <c r="AK24" s="7" t="n">
        <v>0</v>
      </c>
      <c r="AL24" s="7" t="n">
        <v>0</v>
      </c>
      <c r="AM24" s="7" t="n">
        <v>0</v>
      </c>
      <c r="AN24" s="7" t="n">
        <v>0</v>
      </c>
      <c r="AO24" s="7" t="n">
        <v>0</v>
      </c>
      <c r="AP24" s="7" t="n">
        <v>0</v>
      </c>
      <c r="AQ24" s="7" t="n">
        <v>0</v>
      </c>
      <c r="AR24" s="7" t="n">
        <v>0</v>
      </c>
      <c r="AS24" s="7" t="n">
        <v>0</v>
      </c>
      <c r="AT24" s="7" t="n">
        <v>0</v>
      </c>
      <c r="AU24" s="7" t="n">
        <v>0</v>
      </c>
      <c r="AV24" s="7" t="n">
        <v>0</v>
      </c>
      <c r="AW24" s="7"/>
    </row>
    <row r="25" customFormat="false" ht="12" hidden="false" customHeight="false" outlineLevel="0" collapsed="false">
      <c r="B25" s="22" t="n">
        <f aca="false">$B41*B$45+$C41*B$46+$D41*B$47+$E41*B$48+$F41*B$49+$G41*B$50</f>
        <v>-656250</v>
      </c>
      <c r="C25" s="22" t="n">
        <f aca="false">$B41*C$45+$C41*C$46+$D41*C$47+$E41*C$48+$F41*C$49+$G41*C$50</f>
        <v>4.01837230970225E-011</v>
      </c>
      <c r="D25" s="22" t="n">
        <f aca="false">$B41*D$45+$C41*D$46+$D41*D$47+$E41*D$48+$F41*D$49+$G41*D$50</f>
        <v>875000000</v>
      </c>
      <c r="E25" s="22" t="n">
        <f aca="false">$B41*E$45+$C41*E$46+$D41*E$47+$E41*E$48+$F41*E$49+$G41*E$50</f>
        <v>656250</v>
      </c>
      <c r="F25" s="22" t="n">
        <f aca="false">$B41*F$45+$C41*F$46+$D41*F$47+$E41*F$48+$F41*F$49+$G41*F$50</f>
        <v>-4.01837230970225E-011</v>
      </c>
      <c r="G25" s="22" t="n">
        <f aca="false">$B41*G$45+$C41*G$46+$D41*G$47+$E41*G$48+$F41*G$49+$G41*G$50</f>
        <v>1750000000</v>
      </c>
      <c r="I25" s="23" t="n">
        <f aca="false">B59*I28+C59*I29+D59*I30+E59*I31+F59*I32+G59*I33</f>
        <v>13333333.3333333</v>
      </c>
      <c r="K25" s="2"/>
      <c r="L25" s="24" t="n">
        <f aca="false">$L42*L$46+$M42*L$47+$N42*L$48+$O42*L$49+$P42*L$50+$Q42*L$51</f>
        <v>0</v>
      </c>
      <c r="M25" s="24" t="n">
        <f aca="false">$L42*M$46+$M42*M$47+$N42*M$48+$O42*M$49+$P42*M$50+$Q42*M$51</f>
        <v>2333333.33333333</v>
      </c>
      <c r="N25" s="24" t="n">
        <f aca="false">$L42*N$46+$M42*N$47+$N42*N$48+$O42*N$49+$P42*N$50+$Q42*N$51</f>
        <v>4666666666.66667</v>
      </c>
      <c r="O25" s="24" t="n">
        <f aca="false">$L42*O$46+$M42*O$47+$N42*O$48+$O42*O$49+$P42*O$50+$Q42*O$51</f>
        <v>0</v>
      </c>
      <c r="P25" s="24" t="n">
        <f aca="false">$L42*P$46+$M42*P$47+$N42*P$48+$O42*P$49+$P42*P$50+$Q42*P$51</f>
        <v>-2333333.33333333</v>
      </c>
      <c r="Q25" s="24" t="n">
        <f aca="false">$L42*Q$46+$M42*Q$47+$N42*Q$48+$O42*Q$49+$P42*Q$50+$Q42*Q$51</f>
        <v>9333333333.33333</v>
      </c>
      <c r="S25" s="25" t="n">
        <f aca="false">L60*S28+M60*S29+N60*S30+O60*S31+P60*S32+Q60*S33</f>
        <v>30000000</v>
      </c>
      <c r="U25" s="2"/>
      <c r="V25" s="26" t="n">
        <f aca="false">$V42*B$45+$W42*B$46+$X42*B$47+$Y42*B$48+$Z42*B$49+$AA42*B$50</f>
        <v>-656250</v>
      </c>
      <c r="W25" s="26" t="n">
        <f aca="false">$V42*C$45+$W42*C$46+$X42*C$47+$Y42*C$48+$Z42*C$49+$AA42*C$50</f>
        <v>4.01837230970225E-011</v>
      </c>
      <c r="X25" s="26" t="n">
        <f aca="false">$V42*D$45+$W42*D$46+$X42*D$47+$Y42*D$48+$Z42*D$49+$AA42*D$50</f>
        <v>875000000</v>
      </c>
      <c r="Y25" s="26" t="n">
        <f aca="false">$V42*E$45+$W42*E$46+$X42*E$47+$Y42*E$48+$Z42*E$49+$AA42*E$50</f>
        <v>656250</v>
      </c>
      <c r="Z25" s="26" t="n">
        <f aca="false">$V42*F$45+$W42*F$46+$X42*F$47+$Y42*F$48+$Z42*F$49+$AA42*F$50</f>
        <v>-4.01837230970225E-011</v>
      </c>
      <c r="AA25" s="26" t="n">
        <f aca="false">$V42*G$45+$W42*G$46+$X42*G$47+$Y42*G$48+$Z42*G$49+$AA42*G$50</f>
        <v>1750000000</v>
      </c>
      <c r="AC25" s="25" t="n">
        <f aca="false">V60*AC28+W60*AC29+X60*AC30+Y60*AC31+Z60*AC32+AA60*AC33</f>
        <v>-6666666.66666667</v>
      </c>
      <c r="AE25" s="2"/>
      <c r="AJ25" s="11" t="n">
        <v>4</v>
      </c>
      <c r="AK25" s="7" t="n">
        <v>0</v>
      </c>
      <c r="AL25" s="7" t="n">
        <v>0</v>
      </c>
      <c r="AM25" s="7" t="n">
        <v>0</v>
      </c>
      <c r="AN25" s="7" t="n">
        <v>0</v>
      </c>
      <c r="AO25" s="7" t="n">
        <v>0</v>
      </c>
      <c r="AP25" s="7" t="n">
        <v>0</v>
      </c>
      <c r="AQ25" s="7" t="n">
        <v>0</v>
      </c>
      <c r="AR25" s="7" t="n">
        <v>0</v>
      </c>
      <c r="AS25" s="7" t="n">
        <v>0</v>
      </c>
      <c r="AT25" s="7" t="n">
        <v>0</v>
      </c>
      <c r="AU25" s="7" t="n">
        <v>0</v>
      </c>
      <c r="AV25" s="7" t="n">
        <v>0</v>
      </c>
      <c r="AW25" s="7"/>
    </row>
    <row r="26" customFormat="false" ht="12" hidden="false" customHeight="false" outlineLevel="0" collapsed="false">
      <c r="I26" s="13"/>
      <c r="S26" s="2"/>
      <c r="U26" s="2"/>
      <c r="AC26" s="2"/>
      <c r="AE26" s="2"/>
      <c r="AJ26" s="11" t="n">
        <v>5</v>
      </c>
      <c r="AK26" s="7" t="n">
        <v>0</v>
      </c>
      <c r="AL26" s="7" t="n">
        <v>0</v>
      </c>
      <c r="AM26" s="7" t="n">
        <v>0</v>
      </c>
      <c r="AN26" s="7" t="n">
        <v>0</v>
      </c>
      <c r="AO26" s="7" t="n">
        <v>0</v>
      </c>
      <c r="AP26" s="7" t="n">
        <v>0</v>
      </c>
      <c r="AQ26" s="7" t="n">
        <v>0</v>
      </c>
      <c r="AR26" s="7" t="n">
        <v>0</v>
      </c>
      <c r="AS26" s="7" t="n">
        <v>0</v>
      </c>
      <c r="AT26" s="7" t="n">
        <v>0</v>
      </c>
      <c r="AU26" s="7" t="n">
        <v>0</v>
      </c>
      <c r="AV26" s="7" t="n">
        <v>0</v>
      </c>
      <c r="AW26" s="7"/>
      <c r="AY26" s="2"/>
    </row>
    <row r="27" customFormat="false" ht="12" hidden="false" customHeight="false" outlineLevel="0" collapsed="false">
      <c r="B27" s="2" t="s">
        <v>33</v>
      </c>
      <c r="I27" s="27" t="s">
        <v>34</v>
      </c>
      <c r="L27" s="2" t="s">
        <v>33</v>
      </c>
      <c r="S27" s="2" t="s">
        <v>34</v>
      </c>
      <c r="V27" s="2" t="s">
        <v>33</v>
      </c>
      <c r="AC27" s="2" t="s">
        <v>34</v>
      </c>
      <c r="AJ27" s="11" t="n">
        <v>6</v>
      </c>
      <c r="AK27" s="7" t="n">
        <v>0</v>
      </c>
      <c r="AL27" s="7" t="n">
        <v>0</v>
      </c>
      <c r="AM27" s="7" t="n">
        <v>0</v>
      </c>
      <c r="AN27" s="7" t="n">
        <v>0</v>
      </c>
      <c r="AO27" s="7" t="n">
        <v>0</v>
      </c>
      <c r="AP27" s="7" t="n">
        <v>0</v>
      </c>
      <c r="AQ27" s="7" t="n">
        <v>0</v>
      </c>
      <c r="AR27" s="7" t="n">
        <v>0</v>
      </c>
      <c r="AS27" s="7" t="n">
        <v>0</v>
      </c>
      <c r="AT27" s="7" t="n">
        <v>0</v>
      </c>
      <c r="AU27" s="7" t="n">
        <v>0</v>
      </c>
      <c r="AV27" s="7" t="n">
        <v>0</v>
      </c>
      <c r="AW27" s="7"/>
      <c r="AY27" s="2"/>
    </row>
    <row r="28" customFormat="false" ht="12" hidden="false" customHeight="false" outlineLevel="0" collapsed="false">
      <c r="B28" s="28" t="n">
        <f aca="false">$E$10/E6</f>
        <v>525000</v>
      </c>
      <c r="C28" s="29" t="n">
        <v>0</v>
      </c>
      <c r="D28" s="29" t="n">
        <v>0</v>
      </c>
      <c r="E28" s="28" t="n">
        <f aca="false">-$E$10/E6</f>
        <v>-525000</v>
      </c>
      <c r="F28" s="29" t="n">
        <v>0</v>
      </c>
      <c r="G28" s="29" t="n">
        <v>0</v>
      </c>
      <c r="I28" s="28" t="n">
        <f aca="false">-E6/2*E14</f>
        <v>-0</v>
      </c>
      <c r="L28" s="28" t="n">
        <f aca="false">$O$10/O6</f>
        <v>700000</v>
      </c>
      <c r="M28" s="29" t="n">
        <v>0</v>
      </c>
      <c r="N28" s="29" t="n">
        <v>0</v>
      </c>
      <c r="O28" s="28" t="n">
        <f aca="false">-$O$10/O6</f>
        <v>-700000</v>
      </c>
      <c r="P28" s="29" t="n">
        <v>0</v>
      </c>
      <c r="Q28" s="29" t="n">
        <v>0</v>
      </c>
      <c r="S28" s="30" t="n">
        <v>0</v>
      </c>
      <c r="V28" s="28" t="n">
        <f aca="false">$E$10/Y6</f>
        <v>525000</v>
      </c>
      <c r="W28" s="29" t="n">
        <v>0</v>
      </c>
      <c r="X28" s="29" t="n">
        <v>0</v>
      </c>
      <c r="Y28" s="28" t="n">
        <f aca="false">-$E$10/Y6</f>
        <v>-525000</v>
      </c>
      <c r="Z28" s="29" t="n">
        <v>0</v>
      </c>
      <c r="AA28" s="29" t="n">
        <v>0</v>
      </c>
      <c r="AC28" s="28" t="n">
        <f aca="false">-Y6/2*Y14</f>
        <v>-0</v>
      </c>
      <c r="AJ28" s="11" t="n">
        <v>7</v>
      </c>
      <c r="AK28" s="7" t="n">
        <v>0</v>
      </c>
      <c r="AL28" s="7" t="n">
        <v>0</v>
      </c>
      <c r="AM28" s="7" t="n">
        <v>0</v>
      </c>
      <c r="AN28" s="7" t="n">
        <v>0</v>
      </c>
      <c r="AO28" s="7" t="n">
        <v>0</v>
      </c>
      <c r="AP28" s="7" t="n">
        <v>0</v>
      </c>
      <c r="AQ28" s="31" t="n">
        <f aca="false">V20</f>
        <v>328.125</v>
      </c>
      <c r="AR28" s="31" t="n">
        <f aca="false">W20</f>
        <v>3.21268866160695E-011</v>
      </c>
      <c r="AS28" s="31" t="n">
        <f aca="false">X20</f>
        <v>-656250</v>
      </c>
      <c r="AT28" s="31" t="n">
        <f aca="false">Y20</f>
        <v>-328.125</v>
      </c>
      <c r="AU28" s="31" t="n">
        <f aca="false">Z20</f>
        <v>-3.21268866160695E-011</v>
      </c>
      <c r="AV28" s="31" t="n">
        <f aca="false">AA20</f>
        <v>-656250</v>
      </c>
      <c r="AW28" s="7"/>
      <c r="AX28" s="13" t="n">
        <f aca="false">AC20</f>
        <v>-10000</v>
      </c>
      <c r="AY28" s="32"/>
    </row>
    <row r="29" customFormat="false" ht="12" hidden="false" customHeight="false" outlineLevel="0" collapsed="false">
      <c r="B29" s="29" t="n">
        <v>0</v>
      </c>
      <c r="C29" s="28" t="n">
        <f aca="false">(12*$E$11)/$E$6^3</f>
        <v>328.125</v>
      </c>
      <c r="D29" s="28" t="n">
        <f aca="false">(6*$E$11)/$E$6^2</f>
        <v>656250</v>
      </c>
      <c r="E29" s="29" t="n">
        <v>0</v>
      </c>
      <c r="F29" s="28" t="n">
        <f aca="false">-(12*$E$11)/$E$6^3</f>
        <v>-328.125</v>
      </c>
      <c r="G29" s="28" t="n">
        <f aca="false">(6*$E$11)/$E$6^2</f>
        <v>656250</v>
      </c>
      <c r="I29" s="28" t="n">
        <f aca="false">-E6/2*E15</f>
        <v>-20000</v>
      </c>
      <c r="L29" s="29" t="n">
        <v>0</v>
      </c>
      <c r="M29" s="28" t="n">
        <f aca="false">(12*$O$11)/$O$6^3</f>
        <v>777.777777777778</v>
      </c>
      <c r="N29" s="28" t="n">
        <f aca="false">(6*$O$11)/$O$6^2</f>
        <v>2333333.33333333</v>
      </c>
      <c r="O29" s="29" t="n">
        <v>0</v>
      </c>
      <c r="P29" s="28" t="n">
        <f aca="false">-(12*$O$11)/$O$6^3</f>
        <v>-777.777777777778</v>
      </c>
      <c r="Q29" s="28" t="n">
        <f aca="false">(6*$O$11)/$O$6^2</f>
        <v>2333333.33333333</v>
      </c>
      <c r="S29" s="28" t="n">
        <f aca="false">-O6/2*(O14+O15)</f>
        <v>-30000</v>
      </c>
      <c r="V29" s="29" t="n">
        <v>0</v>
      </c>
      <c r="W29" s="28" t="n">
        <f aca="false">(12*$E$11)/$E$6^3</f>
        <v>328.125</v>
      </c>
      <c r="X29" s="28" t="n">
        <f aca="false">(6*$E$11)/$E$6^2</f>
        <v>656250</v>
      </c>
      <c r="Y29" s="29" t="n">
        <v>0</v>
      </c>
      <c r="Z29" s="28" t="n">
        <f aca="false">-(12*$E$11)/$E$6^3</f>
        <v>-328.125</v>
      </c>
      <c r="AA29" s="28" t="n">
        <f aca="false">(6*$E$11)/$E$6^2</f>
        <v>656250</v>
      </c>
      <c r="AC29" s="28" t="n">
        <f aca="false">-Y6/2*Y15</f>
        <v>10000</v>
      </c>
      <c r="AJ29" s="11" t="n">
        <v>8</v>
      </c>
      <c r="AK29" s="7" t="n">
        <v>0</v>
      </c>
      <c r="AL29" s="7" t="n">
        <v>0</v>
      </c>
      <c r="AM29" s="7" t="n">
        <v>0</v>
      </c>
      <c r="AN29" s="7" t="n">
        <v>0</v>
      </c>
      <c r="AO29" s="7" t="n">
        <v>0</v>
      </c>
      <c r="AP29" s="7" t="n">
        <v>0</v>
      </c>
      <c r="AQ29" s="31" t="n">
        <f aca="false">V21</f>
        <v>3.21268866160695E-011</v>
      </c>
      <c r="AR29" s="31" t="n">
        <f aca="false">W21</f>
        <v>525000</v>
      </c>
      <c r="AS29" s="31" t="n">
        <f aca="false">X21</f>
        <v>4.01837230970225E-011</v>
      </c>
      <c r="AT29" s="31" t="n">
        <f aca="false">Y21</f>
        <v>-3.21268866160695E-011</v>
      </c>
      <c r="AU29" s="31" t="n">
        <f aca="false">Z21</f>
        <v>-525000</v>
      </c>
      <c r="AV29" s="31" t="n">
        <f aca="false">AA21</f>
        <v>4.01837230970225E-011</v>
      </c>
      <c r="AW29" s="7"/>
      <c r="AX29" s="13" t="n">
        <f aca="false">AC21</f>
        <v>6.12323399573677E-013</v>
      </c>
      <c r="AY29" s="33"/>
    </row>
    <row r="30" customFormat="false" ht="12" hidden="false" customHeight="false" outlineLevel="0" collapsed="false">
      <c r="B30" s="29" t="n">
        <v>0</v>
      </c>
      <c r="C30" s="28" t="n">
        <f aca="false">(6*$E$11)/$E$6^2</f>
        <v>656250</v>
      </c>
      <c r="D30" s="28" t="n">
        <f aca="false">4*$E$11/$E$6</f>
        <v>1750000000</v>
      </c>
      <c r="E30" s="29" t="n">
        <v>0</v>
      </c>
      <c r="F30" s="28" t="n">
        <f aca="false">-(6*$E$11)/$E$6^2</f>
        <v>-656250</v>
      </c>
      <c r="G30" s="28" t="n">
        <f aca="false">2*$E$11/$E$6</f>
        <v>875000000</v>
      </c>
      <c r="I30" s="28" t="n">
        <f aca="false">-1*(E15*E6^2)/12</f>
        <v>-13333333.3333333</v>
      </c>
      <c r="L30" s="29" t="n">
        <v>0</v>
      </c>
      <c r="M30" s="28" t="n">
        <f aca="false">(6*$O$11)/$O$6^2</f>
        <v>2333333.33333333</v>
      </c>
      <c r="N30" s="28" t="n">
        <f aca="false">4*$O$11/$O$6</f>
        <v>9333333333.33333</v>
      </c>
      <c r="O30" s="29" t="n">
        <v>0</v>
      </c>
      <c r="P30" s="28" t="n">
        <f aca="false">-(6*$O$11)/$O$6^2</f>
        <v>-2333333.33333333</v>
      </c>
      <c r="Q30" s="28" t="n">
        <f aca="false">2*$O$11/$O$6</f>
        <v>4666666666.66667</v>
      </c>
      <c r="S30" s="28" t="n">
        <f aca="false">-1*((O14+O15)*O6^2)/12</f>
        <v>-30000000</v>
      </c>
      <c r="V30" s="29" t="n">
        <v>0</v>
      </c>
      <c r="W30" s="28" t="n">
        <f aca="false">(6*$E$11)/$E$6^2</f>
        <v>656250</v>
      </c>
      <c r="X30" s="28" t="n">
        <f aca="false">4*$E$11/$E$6</f>
        <v>1750000000</v>
      </c>
      <c r="Y30" s="29" t="n">
        <v>0</v>
      </c>
      <c r="Z30" s="28" t="n">
        <f aca="false">-(6*$E$11)/$E$6^2</f>
        <v>-656250</v>
      </c>
      <c r="AA30" s="28" t="n">
        <f aca="false">2*$E$11/$E$6</f>
        <v>875000000</v>
      </c>
      <c r="AC30" s="28" t="n">
        <f aca="false">-1*(Y15*Y6^2)/12</f>
        <v>6666666.66666667</v>
      </c>
      <c r="AJ30" s="11" t="n">
        <v>9</v>
      </c>
      <c r="AK30" s="7" t="n">
        <v>0</v>
      </c>
      <c r="AL30" s="7" t="n">
        <v>0</v>
      </c>
      <c r="AM30" s="7" t="n">
        <v>0</v>
      </c>
      <c r="AN30" s="7" t="n">
        <v>0</v>
      </c>
      <c r="AO30" s="7" t="n">
        <v>0</v>
      </c>
      <c r="AP30" s="7" t="n">
        <v>0</v>
      </c>
      <c r="AQ30" s="31" t="n">
        <f aca="false">V22</f>
        <v>-656250</v>
      </c>
      <c r="AR30" s="31" t="n">
        <f aca="false">W22</f>
        <v>4.01837230970225E-011</v>
      </c>
      <c r="AS30" s="31" t="n">
        <f aca="false">X22</f>
        <v>1750000000</v>
      </c>
      <c r="AT30" s="31" t="n">
        <f aca="false">Y22</f>
        <v>656250</v>
      </c>
      <c r="AU30" s="31" t="n">
        <f aca="false">Z22</f>
        <v>-4.01837230970225E-011</v>
      </c>
      <c r="AV30" s="31" t="n">
        <f aca="false">AA22</f>
        <v>875000000</v>
      </c>
      <c r="AW30" s="7"/>
      <c r="AX30" s="13" t="n">
        <f aca="false">AC22</f>
        <v>6666666.66666667</v>
      </c>
      <c r="AY30" s="32"/>
    </row>
    <row r="31" customFormat="false" ht="12" hidden="false" customHeight="false" outlineLevel="0" collapsed="false">
      <c r="B31" s="28" t="n">
        <f aca="false">-$E$10/E6</f>
        <v>-525000</v>
      </c>
      <c r="C31" s="29" t="n">
        <v>0</v>
      </c>
      <c r="D31" s="29" t="n">
        <v>0</v>
      </c>
      <c r="E31" s="28" t="n">
        <f aca="false">$E$10/E6</f>
        <v>525000</v>
      </c>
      <c r="F31" s="29" t="n">
        <v>0</v>
      </c>
      <c r="G31" s="29" t="n">
        <v>0</v>
      </c>
      <c r="I31" s="28" t="n">
        <f aca="false">-E6/2*E14</f>
        <v>-0</v>
      </c>
      <c r="L31" s="28" t="n">
        <f aca="false">-$O$10/O6</f>
        <v>-700000</v>
      </c>
      <c r="M31" s="29" t="n">
        <v>0</v>
      </c>
      <c r="N31" s="29" t="n">
        <v>0</v>
      </c>
      <c r="O31" s="28" t="n">
        <f aca="false">$O$10/O6</f>
        <v>700000</v>
      </c>
      <c r="P31" s="29" t="n">
        <v>0</v>
      </c>
      <c r="Q31" s="29" t="n">
        <v>0</v>
      </c>
      <c r="S31" s="30" t="n">
        <v>0</v>
      </c>
      <c r="V31" s="28" t="n">
        <f aca="false">-$E$10/Y6</f>
        <v>-525000</v>
      </c>
      <c r="W31" s="29" t="n">
        <v>0</v>
      </c>
      <c r="X31" s="29" t="n">
        <v>0</v>
      </c>
      <c r="Y31" s="28" t="n">
        <f aca="false">$E$10/Y6</f>
        <v>525000</v>
      </c>
      <c r="Z31" s="29" t="n">
        <v>0</v>
      </c>
      <c r="AA31" s="29" t="n">
        <v>0</v>
      </c>
      <c r="AC31" s="28" t="n">
        <f aca="false">-Y6/2*Y14</f>
        <v>-0</v>
      </c>
      <c r="AJ31" s="11" t="n">
        <v>10</v>
      </c>
      <c r="AK31" s="7" t="n">
        <v>0</v>
      </c>
      <c r="AL31" s="7" t="n">
        <v>0</v>
      </c>
      <c r="AM31" s="7" t="n">
        <v>0</v>
      </c>
      <c r="AN31" s="7" t="n">
        <v>0</v>
      </c>
      <c r="AO31" s="7" t="n">
        <v>0</v>
      </c>
      <c r="AP31" s="7" t="n">
        <v>0</v>
      </c>
      <c r="AQ31" s="31" t="n">
        <f aca="false">V23</f>
        <v>-328.125</v>
      </c>
      <c r="AR31" s="31" t="n">
        <f aca="false">W23</f>
        <v>-3.21268866160695E-011</v>
      </c>
      <c r="AS31" s="31" t="n">
        <f aca="false">X23</f>
        <v>656250</v>
      </c>
      <c r="AT31" s="31" t="n">
        <f aca="false">Y23</f>
        <v>328.125</v>
      </c>
      <c r="AU31" s="31" t="n">
        <f aca="false">Z23</f>
        <v>3.21268866160695E-011</v>
      </c>
      <c r="AV31" s="31" t="n">
        <f aca="false">AA23</f>
        <v>656250</v>
      </c>
      <c r="AW31" s="7"/>
      <c r="AX31" s="13" t="n">
        <f aca="false">AC23</f>
        <v>-10000</v>
      </c>
      <c r="AY31" s="32"/>
    </row>
    <row r="32" customFormat="false" ht="12" hidden="false" customHeight="false" outlineLevel="0" collapsed="false">
      <c r="B32" s="29" t="n">
        <v>0</v>
      </c>
      <c r="C32" s="28" t="n">
        <f aca="false">-(12*$E$11)/$E$6^3</f>
        <v>-328.125</v>
      </c>
      <c r="D32" s="28" t="n">
        <f aca="false">-(6*$E$11)/$E$6^2</f>
        <v>-656250</v>
      </c>
      <c r="E32" s="29" t="n">
        <v>0</v>
      </c>
      <c r="F32" s="28" t="n">
        <f aca="false">(12*$E$11)/$E$6^3</f>
        <v>328.125</v>
      </c>
      <c r="G32" s="28" t="n">
        <f aca="false">-(6*$E$11)/$E$6^2</f>
        <v>-656250</v>
      </c>
      <c r="I32" s="28" t="n">
        <f aca="false">-E6/2*E15</f>
        <v>-20000</v>
      </c>
      <c r="L32" s="29" t="n">
        <v>0</v>
      </c>
      <c r="M32" s="28" t="n">
        <f aca="false">-(12*$O$11)/$O$6^3</f>
        <v>-777.777777777778</v>
      </c>
      <c r="N32" s="28" t="n">
        <f aca="false">-(6*$O$11)/$O$6^2</f>
        <v>-2333333.33333333</v>
      </c>
      <c r="O32" s="29" t="n">
        <v>0</v>
      </c>
      <c r="P32" s="28" t="n">
        <f aca="false">(12*$O$11)/$O$6^3</f>
        <v>777.777777777778</v>
      </c>
      <c r="Q32" s="28" t="n">
        <f aca="false">-(6*$O$11)/$O$6^2</f>
        <v>-2333333.33333333</v>
      </c>
      <c r="R32" s="2"/>
      <c r="S32" s="28" t="n">
        <f aca="false">-O6/2*(O14+O15)</f>
        <v>-30000</v>
      </c>
      <c r="V32" s="29" t="n">
        <v>0</v>
      </c>
      <c r="W32" s="28" t="n">
        <f aca="false">-(12*$E$11)/$E$6^3</f>
        <v>-328.125</v>
      </c>
      <c r="X32" s="28" t="n">
        <f aca="false">-(6*$E$11)/$E$6^2</f>
        <v>-656250</v>
      </c>
      <c r="Y32" s="29" t="n">
        <v>0</v>
      </c>
      <c r="Z32" s="28" t="n">
        <f aca="false">(12*$E$11)/$E$6^3</f>
        <v>328.125</v>
      </c>
      <c r="AA32" s="28" t="n">
        <f aca="false">-(6*$E$11)/$E$6^2</f>
        <v>-656250</v>
      </c>
      <c r="AC32" s="28" t="n">
        <f aca="false">-Y6/2*Y15</f>
        <v>10000</v>
      </c>
      <c r="AJ32" s="11" t="n">
        <v>11</v>
      </c>
      <c r="AK32" s="7" t="n">
        <v>0</v>
      </c>
      <c r="AL32" s="7" t="n">
        <v>0</v>
      </c>
      <c r="AM32" s="7" t="n">
        <v>0</v>
      </c>
      <c r="AN32" s="7" t="n">
        <v>0</v>
      </c>
      <c r="AO32" s="7" t="n">
        <v>0</v>
      </c>
      <c r="AP32" s="7" t="n">
        <v>0</v>
      </c>
      <c r="AQ32" s="31" t="n">
        <f aca="false">V24</f>
        <v>-3.21268866160695E-011</v>
      </c>
      <c r="AR32" s="31" t="n">
        <f aca="false">W24</f>
        <v>-525000</v>
      </c>
      <c r="AS32" s="31" t="n">
        <f aca="false">X24</f>
        <v>-4.01837230970225E-011</v>
      </c>
      <c r="AT32" s="31" t="n">
        <f aca="false">Y24</f>
        <v>3.21268866160695E-011</v>
      </c>
      <c r="AU32" s="31" t="n">
        <f aca="false">Z24</f>
        <v>525000</v>
      </c>
      <c r="AV32" s="31" t="n">
        <f aca="false">AA24</f>
        <v>-4.01837230970225E-011</v>
      </c>
      <c r="AW32" s="7"/>
      <c r="AX32" s="13" t="n">
        <f aca="false">AC24</f>
        <v>6.12323399573677E-013</v>
      </c>
      <c r="AY32" s="33"/>
    </row>
    <row r="33" customFormat="false" ht="12" hidden="false" customHeight="false" outlineLevel="0" collapsed="false">
      <c r="B33" s="29" t="n">
        <v>0</v>
      </c>
      <c r="C33" s="28" t="n">
        <f aca="false">(6*$E$11)/$E$6^2</f>
        <v>656250</v>
      </c>
      <c r="D33" s="28" t="n">
        <f aca="false">2*$E$11/$E$6</f>
        <v>875000000</v>
      </c>
      <c r="E33" s="29" t="n">
        <v>0</v>
      </c>
      <c r="F33" s="28" t="n">
        <f aca="false">-(6*$E$11)/$E$6^2</f>
        <v>-656250</v>
      </c>
      <c r="G33" s="28" t="n">
        <f aca="false">4*$E$11/$E$6</f>
        <v>1750000000</v>
      </c>
      <c r="I33" s="28" t="n">
        <f aca="false">1*(E15*E6^2)/12</f>
        <v>13333333.3333333</v>
      </c>
      <c r="L33" s="29" t="n">
        <v>0</v>
      </c>
      <c r="M33" s="28" t="n">
        <f aca="false">(6*$O$11)/$O$6^2</f>
        <v>2333333.33333333</v>
      </c>
      <c r="N33" s="28" t="n">
        <f aca="false">2*$O$11/$O$6</f>
        <v>4666666666.66667</v>
      </c>
      <c r="O33" s="29" t="n">
        <v>0</v>
      </c>
      <c r="P33" s="28" t="n">
        <f aca="false">-(6*$O$11)/$O$6^2</f>
        <v>-2333333.33333333</v>
      </c>
      <c r="Q33" s="28" t="n">
        <f aca="false">4*$O$11/$O$6</f>
        <v>9333333333.33333</v>
      </c>
      <c r="S33" s="28" t="n">
        <f aca="false">1*((O14+O15)*O6^2)/12</f>
        <v>30000000</v>
      </c>
      <c r="V33" s="29" t="n">
        <v>0</v>
      </c>
      <c r="W33" s="28" t="n">
        <f aca="false">(6*$E$11)/$E$6^2</f>
        <v>656250</v>
      </c>
      <c r="X33" s="28" t="n">
        <f aca="false">2*$E$11/$E$6</f>
        <v>875000000</v>
      </c>
      <c r="Y33" s="29" t="n">
        <v>0</v>
      </c>
      <c r="Z33" s="28" t="n">
        <f aca="false">-(6*$E$11)/$E$6^2</f>
        <v>-656250</v>
      </c>
      <c r="AA33" s="28" t="n">
        <f aca="false">4*$E$11/$E$6</f>
        <v>1750000000</v>
      </c>
      <c r="AC33" s="28" t="n">
        <f aca="false">1*(Y15*Y6^2)/12</f>
        <v>-6666666.66666667</v>
      </c>
      <c r="AJ33" s="11" t="n">
        <v>12</v>
      </c>
      <c r="AK33" s="7" t="n">
        <v>0</v>
      </c>
      <c r="AL33" s="7" t="n">
        <v>0</v>
      </c>
      <c r="AM33" s="7" t="n">
        <v>0</v>
      </c>
      <c r="AN33" s="7" t="n">
        <v>0</v>
      </c>
      <c r="AO33" s="7" t="n">
        <v>0</v>
      </c>
      <c r="AP33" s="7" t="n">
        <v>0</v>
      </c>
      <c r="AQ33" s="31" t="n">
        <f aca="false">V25</f>
        <v>-656250</v>
      </c>
      <c r="AR33" s="31" t="n">
        <f aca="false">W25</f>
        <v>4.01837230970225E-011</v>
      </c>
      <c r="AS33" s="31" t="n">
        <f aca="false">X25</f>
        <v>875000000</v>
      </c>
      <c r="AT33" s="31" t="n">
        <f aca="false">Y25</f>
        <v>656250</v>
      </c>
      <c r="AU33" s="31" t="n">
        <f aca="false">Z25</f>
        <v>-4.01837230970225E-011</v>
      </c>
      <c r="AV33" s="31" t="n">
        <f aca="false">AA25</f>
        <v>1750000000</v>
      </c>
      <c r="AW33" s="7"/>
      <c r="AX33" s="13" t="n">
        <f aca="false">AC25</f>
        <v>-6666666.66666667</v>
      </c>
      <c r="AY33" s="32"/>
    </row>
    <row r="34" customFormat="false" ht="12" hidden="false" customHeight="false" outlineLevel="0" collapsed="false"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</row>
    <row r="35" customFormat="false" ht="12" hidden="false" customHeight="false" outlineLevel="0" collapsed="false">
      <c r="B35" s="2" t="s">
        <v>35</v>
      </c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</row>
    <row r="36" customFormat="false" ht="12" hidden="false" customHeight="false" outlineLevel="0" collapsed="false">
      <c r="B36" s="28" t="n">
        <f aca="false">$B54*B28+$C54*B29+$D54*B30+$E54*B31+$F54*B32+$G54*B33</f>
        <v>3.2146978477618E-011</v>
      </c>
      <c r="C36" s="28" t="n">
        <f aca="false">$B54*C28+$C54*C29+$D54*C30+$E54*C31+$F54*C32+$G54*C33</f>
        <v>-328.125</v>
      </c>
      <c r="D36" s="28" t="n">
        <f aca="false">$B54*D28+$C54*D29+$D54*D30+$E54*D31+$F54*D32+$G54*D33</f>
        <v>-656250</v>
      </c>
      <c r="E36" s="28" t="n">
        <f aca="false">$B54*E28+$C54*E29+$D54*E30+$E54*E31+$F54*E32+$G54*E33</f>
        <v>-3.2146978477618E-011</v>
      </c>
      <c r="F36" s="28" t="n">
        <f aca="false">$B54*F28+$C54*F29+$D54*F30+$E54*F31+$F54*F32+$G54*F33</f>
        <v>328.125</v>
      </c>
      <c r="G36" s="28" t="n">
        <f aca="false">$B54*G28+$C54*G29+$D54*G30+$E54*G31+$F54*G32+$G54*G33</f>
        <v>-656250</v>
      </c>
      <c r="L36" s="2" t="s">
        <v>35</v>
      </c>
      <c r="V36" s="2" t="s">
        <v>35</v>
      </c>
    </row>
    <row r="37" customFormat="false" ht="12" hidden="false" customHeight="false" outlineLevel="0" collapsed="false">
      <c r="B37" s="28" t="n">
        <f aca="false">$B55*B28+$C55*B29+$D55*B30+$E55*B31+$F55*B32+$G55*B33</f>
        <v>525000</v>
      </c>
      <c r="C37" s="28" t="n">
        <f aca="false">$B55*C28+$C55*C29+$D55*C30+$E55*C31+$F55*C32+$G55*C33</f>
        <v>2.00918615485113E-014</v>
      </c>
      <c r="D37" s="28" t="n">
        <f aca="false">$B55*D28+$C55*D29+$D55*D30+$E55*D31+$F55*D32+$G55*D33</f>
        <v>4.01837230970225E-011</v>
      </c>
      <c r="E37" s="28" t="n">
        <f aca="false">$B55*E28+$C55*E29+$D55*E30+$E55*E31+$F55*E32+$G55*E33</f>
        <v>-525000</v>
      </c>
      <c r="F37" s="28" t="n">
        <f aca="false">$B55*F28+$C55*F29+$D55*F30+$E55*F31+$F55*F32+$G55*F33</f>
        <v>-2.00918615485113E-014</v>
      </c>
      <c r="G37" s="28" t="n">
        <f aca="false">$B55*G28+$C55*G29+$D55*G30+$E55*G31+$F55*G32+$G55*G33</f>
        <v>4.01837230970225E-011</v>
      </c>
      <c r="L37" s="28" t="n">
        <f aca="false">$L55*L$28+$M55*L$29+$N55*L$30+$O55*L$31+$P55*L$32+$Q55*L$33</f>
        <v>700000</v>
      </c>
      <c r="M37" s="28" t="n">
        <f aca="false">$L55*M$28+$M55*M$29+$N55*M$30+$O55*M$31+$P55*M$32+$Q55*M$33</f>
        <v>0</v>
      </c>
      <c r="N37" s="28" t="n">
        <f aca="false">$L55*N$28+$M55*N$29+$N55*N$30+$O55*N$31+$P55*N$32+$Q55*N$33</f>
        <v>0</v>
      </c>
      <c r="O37" s="28" t="n">
        <f aca="false">$L55*O$28+$M55*O$29+$N55*O$30+$O55*O$31+$P55*O$32+$Q55*O$33</f>
        <v>-700000</v>
      </c>
      <c r="P37" s="28" t="n">
        <f aca="false">$L55*P$28+$M55*P$29+$N55*P$30+$O55*P$31+$P55*P$32+$Q55*P$33</f>
        <v>0</v>
      </c>
      <c r="Q37" s="28" t="n">
        <f aca="false">$L55*Q$28+$M55*Q$29+$N55*Q$30+$O55*Q$31+$P55*Q$32+$Q55*Q$33</f>
        <v>0</v>
      </c>
      <c r="V37" s="28" t="n">
        <f aca="false">$V55*V28+$W55*V29+$X55*V30+$Y55*V31+$Z55*V32+$AA55*V33</f>
        <v>3.2146978477618E-011</v>
      </c>
      <c r="W37" s="28" t="n">
        <f aca="false">$V55*W28+$W55*W29+$X55*W30+$Y55*W31+$Z55*W32+$AA55*W33</f>
        <v>-328.125</v>
      </c>
      <c r="X37" s="28" t="n">
        <f aca="false">$V55*X28+$W55*X29+$X55*X30+$Y55*X31+$Z55*X32+$AA55*X33</f>
        <v>-656250</v>
      </c>
      <c r="Y37" s="28" t="n">
        <f aca="false">$V55*Y28+$W55*Y29+$X55*Y30+$Y55*Y31+$Z55*Y32+$AA55*Y33</f>
        <v>-3.2146978477618E-011</v>
      </c>
      <c r="Z37" s="28" t="n">
        <f aca="false">$V55*Z28+$W55*Z29+$X55*Z30+$Y55*Z31+$Z55*Z32+$AA55*Z33</f>
        <v>328.125</v>
      </c>
      <c r="AA37" s="28" t="n">
        <f aca="false">$V55*AA28+$W55*AA29+$X55*AA30+$Y55*AA31+$Z55*AA32+$AA55*AA33</f>
        <v>-656250</v>
      </c>
    </row>
    <row r="38" customFormat="false" ht="12" hidden="false" customHeight="false" outlineLevel="0" collapsed="false">
      <c r="B38" s="28" t="n">
        <f aca="false">$B56*B28+$C56*B29+$D56*B30+$E56*B31+$F56*B32+$G56*B33</f>
        <v>0</v>
      </c>
      <c r="C38" s="28" t="n">
        <f aca="false">$B56*C28+$C56*C29+$D56*C30+$E56*C31+$F56*C32+$G56*C33</f>
        <v>656250</v>
      </c>
      <c r="D38" s="28" t="n">
        <f aca="false">$B56*D28+$C56*D29+$D56*D30+$E56*D31+$F56*D32+$G56*D33</f>
        <v>1750000000</v>
      </c>
      <c r="E38" s="28" t="n">
        <f aca="false">$B56*E28+$C56*E29+$D56*E30+$E56*E31+$F56*E32+$G56*E33</f>
        <v>0</v>
      </c>
      <c r="F38" s="28" t="n">
        <f aca="false">$B56*F28+$C56*F29+$D56*F30+$E56*F31+$F56*F32+$G56*F33</f>
        <v>-656250</v>
      </c>
      <c r="G38" s="28" t="n">
        <f aca="false">$B56*G28+$C56*G29+$D56*G30+$E56*G31+$F56*G32+$G56*G33</f>
        <v>875000000</v>
      </c>
      <c r="L38" s="28" t="n">
        <f aca="false">$L56*L$28+$M56*L$29+$N56*L$30+$O56*L$31+$P56*L$32+$Q56*L$33</f>
        <v>0</v>
      </c>
      <c r="M38" s="28" t="n">
        <f aca="false">$L56*M$28+$M56*M$29+$N56*M$30+$O56*M$31+$P56*M$32+$Q56*M$33</f>
        <v>777.777777777778</v>
      </c>
      <c r="N38" s="28" t="n">
        <f aca="false">$L56*N$28+$M56*N$29+$N56*N$30+$O56*N$31+$P56*N$32+$Q56*N$33</f>
        <v>2333333.33333333</v>
      </c>
      <c r="O38" s="28" t="n">
        <f aca="false">$L56*O$28+$M56*O$29+$N56*O$30+$O56*O$31+$P56*O$32+$Q56*O$33</f>
        <v>0</v>
      </c>
      <c r="P38" s="28" t="n">
        <f aca="false">$L56*P$28+$M56*P$29+$N56*P$30+$O56*P$31+$P56*P$32+$Q56*P$33</f>
        <v>-777.777777777778</v>
      </c>
      <c r="Q38" s="28" t="n">
        <f aca="false">$L56*Q$28+$M56*Q$29+$N56*Q$30+$O56*Q$31+$P56*Q$32+$Q56*Q$33</f>
        <v>2333333.33333333</v>
      </c>
      <c r="V38" s="28" t="n">
        <f aca="false">$V56*V28+$W56*V29+$X56*V30+$Y56*V31+$Z56*V32+$AA56*V33</f>
        <v>525000</v>
      </c>
      <c r="W38" s="28" t="n">
        <f aca="false">$V56*W28+$W56*W29+$X56*W30+$Y56*W31+$Z56*W32+$AA56*W33</f>
        <v>2.00918615485113E-014</v>
      </c>
      <c r="X38" s="28" t="n">
        <f aca="false">$V56*X28+$W56*X29+$X56*X30+$Y56*X31+$Z56*X32+$AA56*X33</f>
        <v>4.01837230970225E-011</v>
      </c>
      <c r="Y38" s="28" t="n">
        <f aca="false">$V56*Y28+$W56*Y29+$X56*Y30+$Y56*Y31+$Z56*Y32+$AA56*Y33</f>
        <v>-525000</v>
      </c>
      <c r="Z38" s="28" t="n">
        <f aca="false">$V56*Z28+$W56*Z29+$X56*Z30+$Y56*Z31+$Z56*Z32+$AA56*Z33</f>
        <v>-2.00918615485113E-014</v>
      </c>
      <c r="AA38" s="28" t="n">
        <f aca="false">$V56*AA28+$W56*AA29+$X56*AA30+$Y56*AA31+$Z56*AA32+$AA56*AA33</f>
        <v>4.01837230970225E-011</v>
      </c>
    </row>
    <row r="39" customFormat="false" ht="12" hidden="false" customHeight="false" outlineLevel="0" collapsed="false">
      <c r="B39" s="28" t="n">
        <f aca="false">$B57*B$28+$C57*B$29+$D57*B$30+$E57*B$31+$F57*B$32+$G57*B$33</f>
        <v>-3.2146978477618E-011</v>
      </c>
      <c r="C39" s="28" t="n">
        <f aca="false">$B57*C$28+$C57*C$29+$D57*C$30+$E57*C$31+$F57*C$32+$G57*C$33</f>
        <v>328.125</v>
      </c>
      <c r="D39" s="28" t="n">
        <f aca="false">$B57*D$28+$C57*D$29+$D57*D$30+$E57*D$31+$F57*D$32+$G57*D$33</f>
        <v>656250</v>
      </c>
      <c r="E39" s="28" t="n">
        <f aca="false">$B57*E$28+$C57*E$29+$D57*E$30+$E57*E$31+$F57*E$32+$G57*E$33</f>
        <v>3.2146978477618E-011</v>
      </c>
      <c r="F39" s="28" t="n">
        <f aca="false">$B57*F$28+$C57*F$29+$D57*F$30+$E57*F$31+$F57*F$32+$G57*F$33</f>
        <v>-328.125</v>
      </c>
      <c r="G39" s="28" t="n">
        <f aca="false">$B57*G$28+$C57*G$29+$D57*G$30+$E57*G$31+$F57*G$32+$G57*G$33</f>
        <v>656250</v>
      </c>
      <c r="L39" s="28" t="n">
        <f aca="false">$L57*L$28+$M57*L$29+$N57*L$30+$O57*L$31+$P57*L$32+$Q57*L$33</f>
        <v>0</v>
      </c>
      <c r="M39" s="28" t="n">
        <f aca="false">$L57*M$28+$M57*M$29+$N57*M$30+$O57*M$31+$P57*M$32+$Q57*M$33</f>
        <v>2333333.33333333</v>
      </c>
      <c r="N39" s="28" t="n">
        <f aca="false">$L57*N$28+$M57*N$29+$N57*N$30+$O57*N$31+$P57*N$32+$Q57*N$33</f>
        <v>9333333333.33333</v>
      </c>
      <c r="O39" s="28" t="n">
        <f aca="false">$L57*O$28+$M57*O$29+$N57*O$30+$O57*O$31+$P57*O$32+$Q57*O$33</f>
        <v>0</v>
      </c>
      <c r="P39" s="28" t="n">
        <f aca="false">$L57*P$28+$M57*P$29+$N57*P$30+$O57*P$31+$P57*P$32+$Q57*P$33</f>
        <v>-2333333.33333333</v>
      </c>
      <c r="Q39" s="28" t="n">
        <f aca="false">$L57*Q$28+$M57*Q$29+$N57*Q$30+$O57*Q$31+$P57*Q$32+$Q57*Q$33</f>
        <v>4666666666.66667</v>
      </c>
      <c r="V39" s="28" t="n">
        <f aca="false">$V57*V28+$W57*V29+$X57*V30+$Y57*V31+$Z57*V32+$AA57*V33</f>
        <v>0</v>
      </c>
      <c r="W39" s="28" t="n">
        <f aca="false">$V57*W28+$W57*W29+$X57*W30+$Y57*W31+$Z57*W32+$AA57*W33</f>
        <v>656250</v>
      </c>
      <c r="X39" s="28" t="n">
        <f aca="false">$V57*X28+$W57*X29+$X57*X30+$Y57*X31+$Z57*X32+$AA57*X33</f>
        <v>1750000000</v>
      </c>
      <c r="Y39" s="28" t="n">
        <f aca="false">$V57*Y28+$W57*Y29+$X57*Y30+$Y57*Y31+$Z57*Y32+$AA57*Y33</f>
        <v>0</v>
      </c>
      <c r="Z39" s="28" t="n">
        <f aca="false">$V57*Z28+$W57*Z29+$X57*Z30+$Y57*Z31+$Z57*Z32+$AA57*Z33</f>
        <v>-656250</v>
      </c>
      <c r="AA39" s="28" t="n">
        <f aca="false">$V57*AA28+$W57*AA29+$X57*AA30+$Y57*AA31+$Z57*AA32+$AA57*AA33</f>
        <v>875000000</v>
      </c>
    </row>
    <row r="40" customFormat="false" ht="12" hidden="false" customHeight="false" outlineLevel="0" collapsed="false">
      <c r="B40" s="28" t="n">
        <f aca="false">$B58*B$28+$C58*B$29+$D58*B$30+$E58*B$31+$F58*B$32+$G58*B$33</f>
        <v>-525000</v>
      </c>
      <c r="C40" s="28" t="n">
        <f aca="false">$B58*C$28+$C58*C$29+$D58*C$30+$E58*C$31+$F58*C$32+$G58*C$33</f>
        <v>-2.00918615485113E-014</v>
      </c>
      <c r="D40" s="28" t="n">
        <f aca="false">$B58*D$28+$C58*D$29+$D58*D$30+$E58*D$31+$F58*D$32+$G58*D$33</f>
        <v>-4.01837230970225E-011</v>
      </c>
      <c r="E40" s="28" t="n">
        <f aca="false">$B58*E$28+$C58*E$29+$D58*E$30+$E58*E$31+$F58*E$32+$G58*E$33</f>
        <v>525000</v>
      </c>
      <c r="F40" s="28" t="n">
        <f aca="false">$B58*F$28+$C58*F$29+$D58*F$30+$E58*F$31+$F58*F$32+$G58*F$33</f>
        <v>2.00918615485113E-014</v>
      </c>
      <c r="G40" s="28" t="n">
        <f aca="false">$B58*G$28+$C58*G$29+$D58*G$30+$E58*G$31+$F58*G$32+$G58*G$33</f>
        <v>-4.01837230970225E-011</v>
      </c>
      <c r="L40" s="28" t="n">
        <f aca="false">$L58*L$28+$M58*L$29+$N58*L$30+$O58*L$31+$P58*L$32+$Q58*L$33</f>
        <v>-700000</v>
      </c>
      <c r="M40" s="28" t="n">
        <f aca="false">$L58*M$28+$M58*M$29+$N58*M$30+$O58*M$31+$P58*M$32+$Q58*M$33</f>
        <v>0</v>
      </c>
      <c r="N40" s="28" t="n">
        <f aca="false">$L58*N$28+$M58*N$29+$N58*N$30+$O58*N$31+$P58*N$32+$Q58*N$33</f>
        <v>0</v>
      </c>
      <c r="O40" s="28" t="n">
        <f aca="false">$L58*O$28+$M58*O$29+$N58*O$30+$O58*O$31+$P58*O$32+$Q58*O$33</f>
        <v>700000</v>
      </c>
      <c r="P40" s="28" t="n">
        <f aca="false">$L58*P$28+$M58*P$29+$N58*P$30+$O58*P$31+$P58*P$32+$Q58*P$33</f>
        <v>0</v>
      </c>
      <c r="Q40" s="28" t="n">
        <f aca="false">$L58*Q$28+$M58*Q$29+$N58*Q$30+$O58*Q$31+$P58*Q$32+$Q58*Q$33</f>
        <v>0</v>
      </c>
      <c r="S40" s="2"/>
      <c r="V40" s="28" t="n">
        <f aca="false">$V58*B$28+$W58*B$29+$X58*B$30+$Y58*B$31+$Z58*B$32+$AA58*B$33</f>
        <v>-3.2146978477618E-011</v>
      </c>
      <c r="W40" s="28" t="n">
        <f aca="false">$V58*C$28+$W58*C$29+$X58*C$30+$Y58*C$31+$Z58*C$32+$AA58*C$33</f>
        <v>328.125</v>
      </c>
      <c r="X40" s="28" t="n">
        <f aca="false">$V58*D$28+$W58*D$29+$X58*D$30+$Y58*D$31+$Z58*D$32+$AA58*D$33</f>
        <v>656250</v>
      </c>
      <c r="Y40" s="28" t="n">
        <f aca="false">$V58*E$28+$W58*E$29+$X58*E$30+$Y58*E$31+$Z58*E$32+$AA58*E$33</f>
        <v>3.2146978477618E-011</v>
      </c>
      <c r="Z40" s="28" t="n">
        <f aca="false">$V58*F$28+$W58*F$29+$X58*F$30+$Y58*F$31+$Z58*F$32+$AA58*F$33</f>
        <v>-328.125</v>
      </c>
      <c r="AA40" s="28" t="n">
        <f aca="false">$V58*G$28+$W58*G$29+$X58*G$30+$Y58*G$31+$Z58*G$32+$AA58*G$33</f>
        <v>656250</v>
      </c>
    </row>
    <row r="41" customFormat="false" ht="12" hidden="false" customHeight="false" outlineLevel="0" collapsed="false">
      <c r="B41" s="28" t="n">
        <f aca="false">$B59*B$28+$C59*B$29+$D59*B$30+$E59*B$31+$F59*B$32+$G59*B$33</f>
        <v>0</v>
      </c>
      <c r="C41" s="28" t="n">
        <f aca="false">$B59*C$28+$C59*C$29+$D59*C$30+$E59*C$31+$F59*C$32+$G59*C$33</f>
        <v>656250</v>
      </c>
      <c r="D41" s="28" t="n">
        <f aca="false">$B59*D$28+$C59*D$29+$D59*D$30+$E59*D$31+$F59*D$32+$G59*D$33</f>
        <v>875000000</v>
      </c>
      <c r="E41" s="28" t="n">
        <f aca="false">$B59*E$28+$C59*E$29+$D59*E$30+$E59*E$31+$F59*E$32+$G59*E$33</f>
        <v>0</v>
      </c>
      <c r="F41" s="28" t="n">
        <f aca="false">$B59*F$28+$C59*F$29+$D59*F$30+$E59*F$31+$F59*F$32+$G59*F$33</f>
        <v>-656250</v>
      </c>
      <c r="G41" s="28" t="n">
        <f aca="false">$B59*G$28+$C59*G$29+$D59*G$30+$E59*G$31+$F59*G$32+$G59*G$33</f>
        <v>1750000000</v>
      </c>
      <c r="L41" s="28" t="n">
        <f aca="false">$L59*L$28+$M59*L$29+$N59*L$30+$O59*L$31+$P59*L$32+$Q59*L$33</f>
        <v>0</v>
      </c>
      <c r="M41" s="28" t="n">
        <f aca="false">$L59*M$28+$M59*M$29+$N59*M$30+$O59*M$31+$P59*M$32+$Q59*M$33</f>
        <v>-777.777777777778</v>
      </c>
      <c r="N41" s="28" t="n">
        <f aca="false">$L59*N$28+$M59*N$29+$N59*N$30+$O59*N$31+$P59*N$32+$Q59*N$33</f>
        <v>-2333333.33333333</v>
      </c>
      <c r="O41" s="28" t="n">
        <f aca="false">$L59*O$28+$M59*O$29+$N59*O$30+$O59*O$31+$P59*O$32+$Q59*O$33</f>
        <v>0</v>
      </c>
      <c r="P41" s="28" t="n">
        <f aca="false">$L59*P$28+$M59*P$29+$N59*P$30+$O59*P$31+$P59*P$32+$Q59*P$33</f>
        <v>777.777777777778</v>
      </c>
      <c r="Q41" s="28" t="n">
        <f aca="false">$L59*Q$28+$M59*Q$29+$N59*Q$30+$O59*Q$31+$P59*Q$32+$Q59*Q$33</f>
        <v>-2333333.33333333</v>
      </c>
      <c r="V41" s="28" t="n">
        <f aca="false">$V59*B$28+$W59*B$29+$X59*B$30+$Y59*B$31+$Z59*B$32+$AA59*B$33</f>
        <v>-525000</v>
      </c>
      <c r="W41" s="28" t="n">
        <f aca="false">$V59*C$28+$W59*C$29+$X59*C$30+$Y59*C$31+$Z59*C$32+$AA59*C$33</f>
        <v>-2.00918615485113E-014</v>
      </c>
      <c r="X41" s="28" t="n">
        <f aca="false">$V59*D$28+$W59*D$29+$X59*D$30+$Y59*D$31+$Z59*D$32+$AA59*D$33</f>
        <v>-4.01837230970225E-011</v>
      </c>
      <c r="Y41" s="28" t="n">
        <f aca="false">$V59*E$28+$W59*E$29+$X59*E$30+$Y59*E$31+$Z59*E$32+$AA59*E$33</f>
        <v>525000</v>
      </c>
      <c r="Z41" s="28" t="n">
        <f aca="false">$V59*F$28+$W59*F$29+$X59*F$30+$Y59*F$31+$Z59*F$32+$AA59*F$33</f>
        <v>2.00918615485113E-014</v>
      </c>
      <c r="AA41" s="28" t="n">
        <f aca="false">$V59*G$28+$W59*G$29+$X59*G$30+$Y59*G$31+$Z59*G$32+$AA59*G$33</f>
        <v>-4.01837230970225E-011</v>
      </c>
      <c r="AJ41" s="2" t="s">
        <v>36</v>
      </c>
      <c r="AS41" s="7"/>
      <c r="AT41" s="7"/>
      <c r="AU41" s="7"/>
      <c r="AV41" s="7"/>
    </row>
    <row r="42" customFormat="false" ht="12.8" hidden="false" customHeight="false" outlineLevel="0" collapsed="false">
      <c r="L42" s="28" t="n">
        <f aca="false">$L60*L$28+$M60*L$29+$N60*L$30+$O60*L$31+$P60*L$32+$Q60*L$33</f>
        <v>0</v>
      </c>
      <c r="M42" s="28" t="n">
        <f aca="false">$L60*M$28+$M60*M$29+$N60*M$30+$O60*M$31+$P60*M$32+$Q60*M$33</f>
        <v>2333333.33333333</v>
      </c>
      <c r="N42" s="28" t="n">
        <f aca="false">$L60*N$28+$M60*N$29+$N60*N$30+$O60*N$31+$P60*N$32+$Q60*N$33</f>
        <v>4666666666.66667</v>
      </c>
      <c r="O42" s="28" t="n">
        <f aca="false">$L60*O$28+$M60*O$29+$N60*O$30+$O60*O$31+$P60*O$32+$Q60*O$33</f>
        <v>0</v>
      </c>
      <c r="P42" s="28" t="n">
        <f aca="false">$L60*P$28+$M60*P$29+$N60*P$30+$O60*P$31+$P60*P$32+$Q60*P$33</f>
        <v>-2333333.33333333</v>
      </c>
      <c r="Q42" s="28" t="n">
        <f aca="false">$L60*Q$28+$M60*Q$29+$N60*Q$30+$O60*Q$31+$P60*Q$32+$Q60*Q$33</f>
        <v>9333333333.33333</v>
      </c>
      <c r="V42" s="28" t="n">
        <f aca="false">$V60*B$28+$W60*B$29+$X60*B$30+$Y60*B$31+$Z60*B$32+$AA60*B$33</f>
        <v>0</v>
      </c>
      <c r="W42" s="28" t="n">
        <f aca="false">$V60*C$28+$W60*C$29+$X60*C$30+$Y60*C$31+$Z60*C$32+$AA60*C$33</f>
        <v>656250</v>
      </c>
      <c r="X42" s="28" t="n">
        <f aca="false">$V60*D$28+$W60*D$29+$X60*D$30+$Y60*D$31+$Z60*D$32+$AA60*D$33</f>
        <v>875000000</v>
      </c>
      <c r="Y42" s="28" t="n">
        <f aca="false">$V60*E$28+$W60*E$29+$X60*E$30+$Y60*E$31+$Z60*E$32+$AA60*E$33</f>
        <v>0</v>
      </c>
      <c r="Z42" s="28" t="n">
        <f aca="false">$V60*F$28+$W60*F$29+$X60*F$30+$Y60*F$31+$Z60*F$32+$AA60*F$33</f>
        <v>-656250</v>
      </c>
      <c r="AA42" s="28" t="n">
        <f aca="false">$V60*G$28+$W60*G$29+$X60*G$30+$Y60*G$31+$Z60*G$32+$AA60*G$33</f>
        <v>1750000000</v>
      </c>
      <c r="AJ42" s="10"/>
      <c r="AK42" s="11" t="n">
        <v>1</v>
      </c>
      <c r="AL42" s="11" t="n">
        <v>2</v>
      </c>
      <c r="AM42" s="11" t="n">
        <v>3</v>
      </c>
      <c r="AN42" s="11" t="n">
        <v>4</v>
      </c>
      <c r="AO42" s="11" t="n">
        <v>5</v>
      </c>
      <c r="AP42" s="11" t="n">
        <v>6</v>
      </c>
      <c r="AQ42" s="11" t="n">
        <v>7</v>
      </c>
      <c r="AR42" s="11" t="n">
        <v>8</v>
      </c>
      <c r="AS42" s="11" t="n">
        <v>9</v>
      </c>
      <c r="AT42" s="11" t="n">
        <v>10</v>
      </c>
      <c r="AU42" s="11" t="n">
        <v>11</v>
      </c>
      <c r="AV42" s="11" t="n">
        <v>12</v>
      </c>
      <c r="AW42" s="7" t="s">
        <v>37</v>
      </c>
      <c r="AX42" s="10" t="s">
        <v>38</v>
      </c>
      <c r="AY42" s="7" t="s">
        <v>39</v>
      </c>
      <c r="AZ42" s="10" t="s">
        <v>10</v>
      </c>
      <c r="BB42" s="10" t="s">
        <v>38</v>
      </c>
      <c r="BC42" s="34"/>
      <c r="BD42" s="10" t="s">
        <v>40</v>
      </c>
    </row>
    <row r="43" customFormat="false" ht="12.8" hidden="false" customHeight="false" outlineLevel="0" collapsed="false">
      <c r="H43" s="35"/>
      <c r="AE43" s="2"/>
      <c r="AJ43" s="11" t="n">
        <v>1</v>
      </c>
      <c r="AK43" s="12" t="n">
        <f aca="false">AK6+BA6+AK22</f>
        <v>328.125</v>
      </c>
      <c r="AL43" s="12" t="n">
        <f aca="false">AL6+BB6+AL22</f>
        <v>3.21268866160695E-011</v>
      </c>
      <c r="AM43" s="12" t="n">
        <f aca="false">AM6+BC6+AM22</f>
        <v>-656250</v>
      </c>
      <c r="AN43" s="12" t="n">
        <f aca="false">AN6+BD6+AN22</f>
        <v>-328.125</v>
      </c>
      <c r="AO43" s="12" t="n">
        <f aca="false">AO6+BE6+AO22</f>
        <v>-3.21268866160695E-011</v>
      </c>
      <c r="AP43" s="12" t="n">
        <f aca="false">AP6+BF6+AP22</f>
        <v>-656250</v>
      </c>
      <c r="AQ43" s="21" t="n">
        <f aca="false">AQ6+BG6+AQ22</f>
        <v>0</v>
      </c>
      <c r="AR43" s="21" t="n">
        <f aca="false">AR6+BH6+AR22</f>
        <v>0</v>
      </c>
      <c r="AS43" s="21" t="n">
        <f aca="false">AS6+BI6+AS22</f>
        <v>0</v>
      </c>
      <c r="AT43" s="21" t="n">
        <f aca="false">AT6+BJ6+AT22</f>
        <v>0</v>
      </c>
      <c r="AU43" s="21" t="n">
        <f aca="false">AU6+BK6+AU22</f>
        <v>0</v>
      </c>
      <c r="AV43" s="21" t="n">
        <f aca="false">AV6+BL6+AV22</f>
        <v>0</v>
      </c>
      <c r="AX43" s="7" t="n">
        <v>0</v>
      </c>
      <c r="AZ43" s="13" t="n">
        <f aca="false">AX6+BN6+AX22</f>
        <v>20000</v>
      </c>
      <c r="BA43" s="1" t="s">
        <v>41</v>
      </c>
      <c r="BB43" s="36" t="n">
        <v>0</v>
      </c>
      <c r="BC43" s="7"/>
      <c r="BD43" s="69" t="n">
        <f aca="false" t="array" ref="BD43:BD54">MMULT(AK43:AV54,BB43:BB54)-AZ43:AZ54</f>
        <v>-14286.8688001871</v>
      </c>
    </row>
    <row r="44" customFormat="false" ht="12.8" hidden="false" customHeight="false" outlineLevel="0" collapsed="false">
      <c r="B44" s="2" t="s">
        <v>42</v>
      </c>
      <c r="AE44" s="2"/>
      <c r="AJ44" s="11" t="n">
        <v>2</v>
      </c>
      <c r="AK44" s="12" t="n">
        <f aca="false">AK7+BA7+AK23</f>
        <v>3.21268866160695E-011</v>
      </c>
      <c r="AL44" s="12" t="n">
        <f aca="false">AL7+BB7+AL23</f>
        <v>525000</v>
      </c>
      <c r="AM44" s="12" t="n">
        <f aca="false">AM7+BC7+AM23</f>
        <v>4.01837230970225E-011</v>
      </c>
      <c r="AN44" s="12" t="n">
        <f aca="false">AN7+BD7+AN23</f>
        <v>-3.21268866160695E-011</v>
      </c>
      <c r="AO44" s="12" t="n">
        <f aca="false">AO7+BE7+AO23</f>
        <v>-525000</v>
      </c>
      <c r="AP44" s="12" t="n">
        <f aca="false">AP7+BF7+AP23</f>
        <v>4.01837230970225E-011</v>
      </c>
      <c r="AQ44" s="21" t="n">
        <f aca="false">AQ7+BG7+AQ23</f>
        <v>0</v>
      </c>
      <c r="AR44" s="21" t="n">
        <f aca="false">AR7+BH7+AR23</f>
        <v>0</v>
      </c>
      <c r="AS44" s="21" t="n">
        <f aca="false">AS7+BI7+AS23</f>
        <v>0</v>
      </c>
      <c r="AT44" s="21" t="n">
        <f aca="false">AT7+BJ7+AT23</f>
        <v>0</v>
      </c>
      <c r="AU44" s="21" t="n">
        <f aca="false">AU7+BK7+AU23</f>
        <v>0</v>
      </c>
      <c r="AV44" s="21" t="n">
        <f aca="false">AV7+BL7+AV23</f>
        <v>0</v>
      </c>
      <c r="AX44" s="7" t="n">
        <v>0</v>
      </c>
      <c r="AZ44" s="13" t="n">
        <f aca="false">AX7+BN7+AX23</f>
        <v>-1.22464679914735E-012</v>
      </c>
      <c r="BA44" s="1" t="s">
        <v>43</v>
      </c>
      <c r="BB44" s="36" t="n">
        <v>0</v>
      </c>
      <c r="BC44" s="37"/>
      <c r="BD44" s="62" t="n">
        <v>31520.766314083</v>
      </c>
    </row>
    <row r="45" customFormat="false" ht="12.8" hidden="false" customHeight="false" outlineLevel="0" collapsed="false">
      <c r="B45" s="38" t="n">
        <f aca="false">$C$5</f>
        <v>6.12323399573677E-017</v>
      </c>
      <c r="C45" s="38" t="n">
        <f aca="false">$E$5</f>
        <v>1</v>
      </c>
      <c r="D45" s="38" t="n">
        <v>0</v>
      </c>
      <c r="E45" s="38" t="n">
        <v>0</v>
      </c>
      <c r="F45" s="38" t="n">
        <v>0</v>
      </c>
      <c r="G45" s="38" t="n">
        <v>0</v>
      </c>
      <c r="L45" s="2" t="s">
        <v>42</v>
      </c>
      <c r="V45" s="2" t="s">
        <v>42</v>
      </c>
      <c r="AE45" s="32"/>
      <c r="AJ45" s="11" t="n">
        <v>3</v>
      </c>
      <c r="AK45" s="12" t="n">
        <f aca="false">AK8+BA8+AK24</f>
        <v>-656250</v>
      </c>
      <c r="AL45" s="12" t="n">
        <f aca="false">AL8+BB8+AL24</f>
        <v>4.01837230970225E-011</v>
      </c>
      <c r="AM45" s="12" t="n">
        <f aca="false">AM8+BC8+AM24</f>
        <v>1750000000</v>
      </c>
      <c r="AN45" s="12" t="n">
        <f aca="false">AN8+BD8+AN24</f>
        <v>656250</v>
      </c>
      <c r="AO45" s="12" t="n">
        <f aca="false">AO8+BE8+AO24</f>
        <v>-4.01837230970225E-011</v>
      </c>
      <c r="AP45" s="12" t="n">
        <f aca="false">AP8+BF8+AP24</f>
        <v>875000000</v>
      </c>
      <c r="AQ45" s="21" t="n">
        <f aca="false">AQ8+BG8+AQ24</f>
        <v>0</v>
      </c>
      <c r="AR45" s="21" t="n">
        <f aca="false">AR8+BH8+AR24</f>
        <v>0</v>
      </c>
      <c r="AS45" s="21" t="n">
        <f aca="false">AS8+BI8+AS24</f>
        <v>0</v>
      </c>
      <c r="AT45" s="21" t="n">
        <f aca="false">AT8+BJ8+AT24</f>
        <v>0</v>
      </c>
      <c r="AU45" s="21" t="n">
        <f aca="false">AU8+BK8+AU24</f>
        <v>0</v>
      </c>
      <c r="AV45" s="21" t="n">
        <f aca="false">AV8+BL8+AV24</f>
        <v>0</v>
      </c>
      <c r="AX45" s="7" t="s">
        <v>44</v>
      </c>
      <c r="AZ45" s="13" t="n">
        <f aca="false">AX8+BN8+AX24</f>
        <v>-13333333.3333333</v>
      </c>
      <c r="BB45" s="36" t="n">
        <f aca="false">AT116</f>
        <v>-0.006532371505047</v>
      </c>
      <c r="BC45" s="37"/>
      <c r="BD45" s="62" t="n">
        <v>0</v>
      </c>
    </row>
    <row r="46" customFormat="false" ht="12.8" hidden="false" customHeight="false" outlineLevel="0" collapsed="false">
      <c r="B46" s="38" t="n">
        <f aca="false">-$E$5</f>
        <v>-1</v>
      </c>
      <c r="C46" s="38" t="n">
        <f aca="false">$C$5</f>
        <v>6.12323399573677E-017</v>
      </c>
      <c r="D46" s="38" t="n">
        <v>0</v>
      </c>
      <c r="E46" s="38" t="n">
        <v>0</v>
      </c>
      <c r="F46" s="38" t="n">
        <v>0</v>
      </c>
      <c r="G46" s="38" t="n">
        <v>0</v>
      </c>
      <c r="L46" s="38" t="n">
        <f aca="false">$M$5</f>
        <v>1</v>
      </c>
      <c r="M46" s="38" t="n">
        <f aca="false">$O$5</f>
        <v>0</v>
      </c>
      <c r="N46" s="38" t="n">
        <v>0</v>
      </c>
      <c r="O46" s="38" t="n">
        <v>0</v>
      </c>
      <c r="P46" s="38" t="n">
        <v>0</v>
      </c>
      <c r="Q46" s="38" t="n">
        <v>0</v>
      </c>
      <c r="V46" s="38" t="n">
        <f aca="false">$C$5</f>
        <v>6.12323399573677E-017</v>
      </c>
      <c r="W46" s="38" t="n">
        <f aca="false">$E$5</f>
        <v>1</v>
      </c>
      <c r="X46" s="38" t="n">
        <v>0</v>
      </c>
      <c r="Y46" s="38" t="n">
        <v>0</v>
      </c>
      <c r="Z46" s="38" t="n">
        <v>0</v>
      </c>
      <c r="AA46" s="38" t="n">
        <v>0</v>
      </c>
      <c r="AE46" s="33"/>
      <c r="AJ46" s="11" t="n">
        <v>4</v>
      </c>
      <c r="AK46" s="12" t="n">
        <f aca="false">AK9+BA9+AK25</f>
        <v>-328.125</v>
      </c>
      <c r="AL46" s="12" t="n">
        <f aca="false">AL9+BB9+AL25</f>
        <v>-3.21268866160695E-011</v>
      </c>
      <c r="AM46" s="12" t="n">
        <f aca="false">AM9+BC9+AM25</f>
        <v>656250</v>
      </c>
      <c r="AN46" s="39" t="n">
        <f aca="false">AN9+BD9+AN25</f>
        <v>700328.125</v>
      </c>
      <c r="AO46" s="39" t="n">
        <f aca="false">AO9+BE9+AO25</f>
        <v>3.21268866160695E-011</v>
      </c>
      <c r="AP46" s="39" t="n">
        <f aca="false">AP9+BF9+AP25</f>
        <v>656250</v>
      </c>
      <c r="AQ46" s="17" t="n">
        <f aca="false">AQ9+BG9+AQ25</f>
        <v>0</v>
      </c>
      <c r="AR46" s="21" t="n">
        <f aca="false">AR9+BH9+AR25</f>
        <v>0</v>
      </c>
      <c r="AS46" s="21" t="n">
        <f aca="false">AS9+BI9+AS25</f>
        <v>0</v>
      </c>
      <c r="AT46" s="24" t="n">
        <f aca="false">AT9+BJ9+AT25</f>
        <v>-700000</v>
      </c>
      <c r="AU46" s="16" t="n">
        <f aca="false">AU9+BK9+AU25</f>
        <v>0</v>
      </c>
      <c r="AV46" s="16" t="n">
        <f aca="false">AV9+BL9+AV25</f>
        <v>0</v>
      </c>
      <c r="AX46" s="7" t="s">
        <v>127</v>
      </c>
      <c r="AZ46" s="13" t="n">
        <f aca="false">AX9+BN9+AX25</f>
        <v>20000</v>
      </c>
      <c r="BB46" s="36" t="n">
        <f aca="false">AZ117</f>
        <v>0</v>
      </c>
      <c r="BC46" s="37"/>
      <c r="BD46" s="62" t="n">
        <v>-12281.1494711254</v>
      </c>
      <c r="CE46" s="2"/>
    </row>
    <row r="47" customFormat="false" ht="12.8" hidden="false" customHeight="false" outlineLevel="0" collapsed="false">
      <c r="B47" s="38" t="n">
        <v>0</v>
      </c>
      <c r="C47" s="38" t="n">
        <v>0</v>
      </c>
      <c r="D47" s="38" t="n">
        <v>1</v>
      </c>
      <c r="E47" s="38" t="n">
        <v>0</v>
      </c>
      <c r="F47" s="38" t="n">
        <v>0</v>
      </c>
      <c r="G47" s="38" t="n">
        <v>0</v>
      </c>
      <c r="L47" s="38" t="n">
        <f aca="false">-$O$5</f>
        <v>-0</v>
      </c>
      <c r="M47" s="38" t="n">
        <f aca="false">$M$5</f>
        <v>1</v>
      </c>
      <c r="N47" s="38" t="n">
        <v>0</v>
      </c>
      <c r="O47" s="38" t="n">
        <v>0</v>
      </c>
      <c r="P47" s="38" t="n">
        <v>0</v>
      </c>
      <c r="Q47" s="38" t="n">
        <v>0</v>
      </c>
      <c r="V47" s="38" t="n">
        <f aca="false">-$E$5</f>
        <v>-1</v>
      </c>
      <c r="W47" s="38" t="n">
        <f aca="false">$C$5</f>
        <v>6.12323399573677E-017</v>
      </c>
      <c r="X47" s="38" t="n">
        <v>0</v>
      </c>
      <c r="Y47" s="38" t="n">
        <v>0</v>
      </c>
      <c r="Z47" s="38" t="n">
        <v>0</v>
      </c>
      <c r="AA47" s="38" t="n">
        <v>0</v>
      </c>
      <c r="AE47" s="32"/>
      <c r="AJ47" s="11" t="n">
        <v>5</v>
      </c>
      <c r="AK47" s="12" t="n">
        <f aca="false">AK10+BA10+AK26</f>
        <v>-3.21268866160695E-011</v>
      </c>
      <c r="AL47" s="12" t="n">
        <f aca="false">AL10+BB10+AL26</f>
        <v>-525000</v>
      </c>
      <c r="AM47" s="12" t="n">
        <f aca="false">AM10+BC10+AM26</f>
        <v>-4.01837230970225E-011</v>
      </c>
      <c r="AN47" s="39" t="n">
        <f aca="false">AN10+BD10+AN26</f>
        <v>3.21268866160695E-011</v>
      </c>
      <c r="AO47" s="39" t="n">
        <f aca="false">AO10+BE10+AO26</f>
        <v>525777.777777778</v>
      </c>
      <c r="AP47" s="39" t="n">
        <f aca="false">AP10+BF10+AP26</f>
        <v>2333333.33333333</v>
      </c>
      <c r="AQ47" s="17" t="n">
        <f aca="false">AQ10+BG10+AQ26</f>
        <v>0</v>
      </c>
      <c r="AR47" s="21" t="n">
        <f aca="false">AR10+BH10+AR26</f>
        <v>0</v>
      </c>
      <c r="AS47" s="21" t="n">
        <f aca="false">AS10+BI10+AS26</f>
        <v>0</v>
      </c>
      <c r="AT47" s="24" t="n">
        <f aca="false">AT10+BJ10+AT26</f>
        <v>0</v>
      </c>
      <c r="AU47" s="16" t="n">
        <f aca="false">AU10+BK10+AU26</f>
        <v>-777.777777777778</v>
      </c>
      <c r="AV47" s="16" t="n">
        <f aca="false">AV10+BL10+AV26</f>
        <v>2333333.33333333</v>
      </c>
      <c r="AX47" s="7" t="s">
        <v>46</v>
      </c>
      <c r="AZ47" s="13" t="n">
        <f aca="false">AX10+BN10+AX26</f>
        <v>-30000</v>
      </c>
      <c r="BB47" s="36" t="n">
        <f aca="false">AZ118</f>
        <v>-0.0600395548839677</v>
      </c>
      <c r="BC47" s="34"/>
      <c r="BD47" s="161" t="n">
        <v>5.56610757485032E-010</v>
      </c>
      <c r="BS47" s="13"/>
      <c r="CE47" s="2"/>
    </row>
    <row r="48" customFormat="false" ht="12.8" hidden="false" customHeight="false" outlineLevel="0" collapsed="false">
      <c r="B48" s="38" t="n">
        <v>0</v>
      </c>
      <c r="C48" s="38" t="n">
        <v>0</v>
      </c>
      <c r="D48" s="38" t="n">
        <v>0</v>
      </c>
      <c r="E48" s="38" t="n">
        <f aca="false">$C$5</f>
        <v>6.12323399573677E-017</v>
      </c>
      <c r="F48" s="38" t="n">
        <f aca="false">$E$5</f>
        <v>1</v>
      </c>
      <c r="G48" s="38" t="n">
        <v>0</v>
      </c>
      <c r="L48" s="38" t="n">
        <v>0</v>
      </c>
      <c r="M48" s="38" t="n">
        <v>0</v>
      </c>
      <c r="N48" s="38" t="n">
        <v>1</v>
      </c>
      <c r="O48" s="38" t="n">
        <v>0</v>
      </c>
      <c r="P48" s="38" t="n">
        <v>0</v>
      </c>
      <c r="Q48" s="38" t="n">
        <v>0</v>
      </c>
      <c r="V48" s="38" t="n">
        <v>0</v>
      </c>
      <c r="W48" s="38" t="n">
        <v>0</v>
      </c>
      <c r="X48" s="38" t="n">
        <v>1</v>
      </c>
      <c r="Y48" s="38" t="n">
        <v>0</v>
      </c>
      <c r="Z48" s="38" t="n">
        <v>0</v>
      </c>
      <c r="AA48" s="38" t="n">
        <v>0</v>
      </c>
      <c r="AE48" s="32"/>
      <c r="AJ48" s="11" t="n">
        <v>6</v>
      </c>
      <c r="AK48" s="12" t="n">
        <f aca="false">AK11+BA11+AK27</f>
        <v>-656250</v>
      </c>
      <c r="AL48" s="12" t="n">
        <f aca="false">AL11+BB11+AL27</f>
        <v>4.01837230970225E-011</v>
      </c>
      <c r="AM48" s="12" t="n">
        <f aca="false">AM11+BC11+AM27</f>
        <v>875000000</v>
      </c>
      <c r="AN48" s="39" t="n">
        <f aca="false">AN11+BD11+AN27</f>
        <v>656250</v>
      </c>
      <c r="AO48" s="39" t="n">
        <f aca="false">AO11+BE11+AO27</f>
        <v>2333333.33333333</v>
      </c>
      <c r="AP48" s="39" t="n">
        <f aca="false">AP11+BF11+AP27</f>
        <v>11083333333.3333</v>
      </c>
      <c r="AQ48" s="21" t="n">
        <f aca="false">AQ11+BG11+AQ27</f>
        <v>0</v>
      </c>
      <c r="AR48" s="21" t="n">
        <f aca="false">AR11+BH11+AR27</f>
        <v>0</v>
      </c>
      <c r="AS48" s="21" t="n">
        <f aca="false">AS11+BI11+AS27</f>
        <v>0</v>
      </c>
      <c r="AT48" s="24" t="n">
        <f aca="false">AT11+BJ11+AT27</f>
        <v>0</v>
      </c>
      <c r="AU48" s="24" t="n">
        <f aca="false">AU11+BK11+AU27</f>
        <v>-2333333.33333333</v>
      </c>
      <c r="AV48" s="24" t="n">
        <f aca="false">AV11+BL11+AV27</f>
        <v>4666666666.66667</v>
      </c>
      <c r="AX48" s="7" t="s">
        <v>47</v>
      </c>
      <c r="AZ48" s="13" t="n">
        <f aca="false">AX11+BN11+AX27</f>
        <v>-16666666.6666667</v>
      </c>
      <c r="BB48" s="40" t="n">
        <f aca="false">AT118</f>
        <v>-0.00217335222800124</v>
      </c>
      <c r="BC48" s="37"/>
      <c r="BD48" s="62" t="n">
        <v>0</v>
      </c>
    </row>
    <row r="49" customFormat="false" ht="12.8" hidden="false" customHeight="false" outlineLevel="0" collapsed="false">
      <c r="B49" s="38" t="n">
        <v>0</v>
      </c>
      <c r="C49" s="38" t="n">
        <v>0</v>
      </c>
      <c r="D49" s="38" t="n">
        <v>0</v>
      </c>
      <c r="E49" s="38" t="n">
        <f aca="false">-$E$5</f>
        <v>-1</v>
      </c>
      <c r="F49" s="38" t="n">
        <f aca="false">$C$5</f>
        <v>6.12323399573677E-017</v>
      </c>
      <c r="G49" s="38" t="n">
        <v>0</v>
      </c>
      <c r="L49" s="38" t="n">
        <v>0</v>
      </c>
      <c r="M49" s="38" t="n">
        <v>0</v>
      </c>
      <c r="N49" s="38" t="n">
        <v>0</v>
      </c>
      <c r="O49" s="38" t="n">
        <f aca="false">$M$5</f>
        <v>1</v>
      </c>
      <c r="P49" s="38" t="n">
        <f aca="false">$O$5</f>
        <v>0</v>
      </c>
      <c r="Q49" s="38" t="n">
        <v>0</v>
      </c>
      <c r="V49" s="38" t="n">
        <v>0</v>
      </c>
      <c r="W49" s="38" t="n">
        <v>0</v>
      </c>
      <c r="X49" s="38" t="n">
        <v>0</v>
      </c>
      <c r="Y49" s="38" t="n">
        <f aca="false">$C$5</f>
        <v>6.12323399573677E-017</v>
      </c>
      <c r="Z49" s="38" t="n">
        <f aca="false">$E$5</f>
        <v>1</v>
      </c>
      <c r="AA49" s="38" t="n">
        <v>0</v>
      </c>
      <c r="AE49" s="33"/>
      <c r="AH49" s="2"/>
      <c r="AI49" s="2"/>
      <c r="AJ49" s="11" t="n">
        <v>7</v>
      </c>
      <c r="AK49" s="21" t="n">
        <f aca="false">AK12+BA12+AK28</f>
        <v>0</v>
      </c>
      <c r="AL49" s="21" t="n">
        <f aca="false">AL12+BB12+AL28</f>
        <v>0</v>
      </c>
      <c r="AM49" s="21" t="n">
        <f aca="false">AM12+BC12+AM28</f>
        <v>0</v>
      </c>
      <c r="AN49" s="17" t="n">
        <f aca="false">AN12+BD12+AN28</f>
        <v>0</v>
      </c>
      <c r="AO49" s="17" t="n">
        <f aca="false">AO12+BE12+AO28</f>
        <v>0</v>
      </c>
      <c r="AP49" s="21" t="n">
        <f aca="false">AP12+BF12+AP28</f>
        <v>0</v>
      </c>
      <c r="AQ49" s="31" t="n">
        <f aca="false">AQ12+BG12+AQ28</f>
        <v>328.125</v>
      </c>
      <c r="AR49" s="26" t="n">
        <f aca="false">AR12+BH12+AR28</f>
        <v>3.21268866160695E-011</v>
      </c>
      <c r="AS49" s="26" t="n">
        <f aca="false">AS12+BI12+AS28</f>
        <v>-656250</v>
      </c>
      <c r="AT49" s="26" t="n">
        <f aca="false">AT12+BJ12+AT28</f>
        <v>-328.125</v>
      </c>
      <c r="AU49" s="31" t="n">
        <f aca="false">AU12+BK12+AU28</f>
        <v>-3.21268866160695E-011</v>
      </c>
      <c r="AV49" s="31" t="n">
        <f aca="false">AV12+BL12+AV28</f>
        <v>-656250</v>
      </c>
      <c r="AX49" s="7" t="n">
        <v>0</v>
      </c>
      <c r="AZ49" s="13" t="n">
        <f aca="false">AX12+BN12+AX28</f>
        <v>-10000</v>
      </c>
      <c r="BA49" s="1" t="s">
        <v>48</v>
      </c>
      <c r="BB49" s="36" t="n">
        <v>0</v>
      </c>
      <c r="BC49" s="37"/>
      <c r="BD49" s="62" t="n">
        <v>6568.01827131248</v>
      </c>
      <c r="CW49" s="2"/>
    </row>
    <row r="50" customFormat="false" ht="12.8" hidden="false" customHeight="false" outlineLevel="0" collapsed="false">
      <c r="B50" s="38" t="n">
        <v>0</v>
      </c>
      <c r="C50" s="38" t="n">
        <v>0</v>
      </c>
      <c r="D50" s="38" t="n">
        <v>0</v>
      </c>
      <c r="E50" s="38" t="n">
        <v>0</v>
      </c>
      <c r="F50" s="38" t="n">
        <v>0</v>
      </c>
      <c r="G50" s="38" t="n">
        <f aca="false">D47</f>
        <v>1</v>
      </c>
      <c r="L50" s="38" t="n">
        <v>0</v>
      </c>
      <c r="M50" s="38" t="n">
        <v>0</v>
      </c>
      <c r="N50" s="38" t="n">
        <v>0</v>
      </c>
      <c r="O50" s="38" t="n">
        <f aca="false">-$O$5</f>
        <v>-0</v>
      </c>
      <c r="P50" s="38" t="n">
        <f aca="false">$M$5</f>
        <v>1</v>
      </c>
      <c r="Q50" s="38" t="n">
        <v>0</v>
      </c>
      <c r="V50" s="38" t="n">
        <v>0</v>
      </c>
      <c r="W50" s="38" t="n">
        <v>0</v>
      </c>
      <c r="X50" s="38" t="n">
        <v>0</v>
      </c>
      <c r="Y50" s="38" t="n">
        <f aca="false">-$E$5</f>
        <v>-1</v>
      </c>
      <c r="Z50" s="38" t="n">
        <f aca="false">$C$5</f>
        <v>6.12323399573677E-017</v>
      </c>
      <c r="AA50" s="38" t="n">
        <v>0</v>
      </c>
      <c r="AE50" s="32"/>
      <c r="AH50" s="2"/>
      <c r="AI50" s="2"/>
      <c r="AJ50" s="11" t="n">
        <v>8</v>
      </c>
      <c r="AK50" s="21" t="n">
        <f aca="false">AK13+BA13+AK29</f>
        <v>0</v>
      </c>
      <c r="AL50" s="21" t="n">
        <f aca="false">AL13+BB13+AL29</f>
        <v>0</v>
      </c>
      <c r="AM50" s="21" t="n">
        <f aca="false">AM13+BC13+AM29</f>
        <v>0</v>
      </c>
      <c r="AN50" s="21" t="n">
        <f aca="false">AN13+BD13+AN29</f>
        <v>0</v>
      </c>
      <c r="AO50" s="21" t="n">
        <f aca="false">AO13+BE13+AO29</f>
        <v>0</v>
      </c>
      <c r="AP50" s="21" t="n">
        <f aca="false">AP13+BF13+AP29</f>
        <v>0</v>
      </c>
      <c r="AQ50" s="26" t="n">
        <f aca="false">AQ13+BG13+AQ29</f>
        <v>3.21268866160695E-011</v>
      </c>
      <c r="AR50" s="31" t="n">
        <f aca="false">AR13+BH13+AR29</f>
        <v>525000</v>
      </c>
      <c r="AS50" s="31" t="n">
        <f aca="false">AS13+BI13+AS29</f>
        <v>4.01837230970225E-011</v>
      </c>
      <c r="AT50" s="31" t="n">
        <f aca="false">AT13+BJ13+AT29</f>
        <v>-3.21268866160695E-011</v>
      </c>
      <c r="AU50" s="31" t="n">
        <f aca="false">AU13+BK13+AU29</f>
        <v>-525000</v>
      </c>
      <c r="AV50" s="31" t="n">
        <f aca="false">AV13+BL13+AV29</f>
        <v>4.01837230970225E-011</v>
      </c>
      <c r="AX50" s="7" t="n">
        <v>0</v>
      </c>
      <c r="AZ50" s="13" t="n">
        <f aca="false">AX13+BN13+AX29</f>
        <v>6.12323399573677E-013</v>
      </c>
      <c r="BA50" s="1" t="s">
        <v>49</v>
      </c>
      <c r="BB50" s="36" t="n">
        <v>0</v>
      </c>
      <c r="BC50" s="41"/>
      <c r="BD50" s="69" t="n">
        <v>2.146786259989E-013</v>
      </c>
      <c r="BK50" s="2"/>
      <c r="CW50" s="2"/>
    </row>
    <row r="51" customFormat="false" ht="12.8" hidden="false" customHeight="false" outlineLevel="0" collapsed="false">
      <c r="E51" s="7"/>
      <c r="F51" s="7"/>
      <c r="L51" s="38" t="n">
        <v>0</v>
      </c>
      <c r="M51" s="38" t="n">
        <v>0</v>
      </c>
      <c r="N51" s="38" t="n">
        <v>0</v>
      </c>
      <c r="O51" s="38" t="n">
        <v>0</v>
      </c>
      <c r="P51" s="38" t="n">
        <v>0</v>
      </c>
      <c r="Q51" s="38" t="n">
        <f aca="false">N48</f>
        <v>1</v>
      </c>
      <c r="V51" s="38" t="n">
        <v>0</v>
      </c>
      <c r="W51" s="38" t="n">
        <v>0</v>
      </c>
      <c r="X51" s="38" t="n">
        <v>0</v>
      </c>
      <c r="Y51" s="38" t="n">
        <v>0</v>
      </c>
      <c r="Z51" s="38" t="n">
        <v>0</v>
      </c>
      <c r="AA51" s="38" t="n">
        <f aca="false">X48</f>
        <v>1</v>
      </c>
      <c r="AH51" s="32"/>
      <c r="AI51" s="32"/>
      <c r="AJ51" s="11" t="n">
        <v>9</v>
      </c>
      <c r="AK51" s="21" t="n">
        <f aca="false">AK14+BA14+AK30</f>
        <v>0</v>
      </c>
      <c r="AL51" s="21" t="n">
        <f aca="false">AL14+BB14+AL30</f>
        <v>0</v>
      </c>
      <c r="AM51" s="21" t="n">
        <f aca="false">AM14+BC14+AM30</f>
        <v>0</v>
      </c>
      <c r="AN51" s="21" t="n">
        <f aca="false">AN14+BD14+AN30</f>
        <v>0</v>
      </c>
      <c r="AO51" s="21" t="n">
        <f aca="false">AO14+BE14+AO30</f>
        <v>0</v>
      </c>
      <c r="AP51" s="21" t="n">
        <f aca="false">AP14+BF14+AP30</f>
        <v>0</v>
      </c>
      <c r="AQ51" s="26" t="n">
        <f aca="false">AQ14+BG14+AQ30</f>
        <v>-656250</v>
      </c>
      <c r="AR51" s="31" t="n">
        <f aca="false">AR14+BH14+AR30</f>
        <v>4.01837230970225E-011</v>
      </c>
      <c r="AS51" s="31" t="n">
        <f aca="false">AS14+BI14+AS30</f>
        <v>1750000000</v>
      </c>
      <c r="AT51" s="31" t="n">
        <f aca="false">AT14+BJ14+AT30</f>
        <v>656250</v>
      </c>
      <c r="AU51" s="31" t="n">
        <f aca="false">AU14+BK14+AU30</f>
        <v>-4.01837230970225E-011</v>
      </c>
      <c r="AV51" s="31" t="n">
        <f aca="false">AV14+BL14+AV30</f>
        <v>875000000</v>
      </c>
      <c r="AX51" s="7" t="s">
        <v>50</v>
      </c>
      <c r="AZ51" s="13" t="n">
        <f aca="false">AX14+BN14+AX30</f>
        <v>6666666.66666667</v>
      </c>
      <c r="BB51" s="36" t="n">
        <f aca="false">AT119</f>
        <v>0.00239415831166498</v>
      </c>
      <c r="BC51" s="37"/>
      <c r="BD51" s="62" t="n">
        <v>0</v>
      </c>
      <c r="BK51" s="42"/>
      <c r="BL51" s="42"/>
      <c r="BM51" s="42"/>
      <c r="BN51" s="42"/>
      <c r="BO51" s="42"/>
      <c r="BP51" s="42"/>
      <c r="BR51" s="7"/>
      <c r="BT51" s="7"/>
      <c r="BV51" s="7"/>
      <c r="BY51" s="7"/>
    </row>
    <row r="52" customFormat="false" ht="12.8" hidden="false" customHeight="false" outlineLevel="0" collapsed="false">
      <c r="Y52" s="7"/>
      <c r="Z52" s="7"/>
      <c r="AH52" s="33"/>
      <c r="AI52" s="33"/>
      <c r="AJ52" s="11" t="n">
        <v>10</v>
      </c>
      <c r="AK52" s="21" t="n">
        <f aca="false">AK15+BA15+AK31</f>
        <v>0</v>
      </c>
      <c r="AL52" s="21" t="n">
        <f aca="false">AL15+BB15+AL31</f>
        <v>0</v>
      </c>
      <c r="AM52" s="21" t="n">
        <f aca="false">AM15+BC15+AM31</f>
        <v>0</v>
      </c>
      <c r="AN52" s="24" t="n">
        <f aca="false">AN15+BD15+AN31</f>
        <v>-700000</v>
      </c>
      <c r="AO52" s="24" t="n">
        <f aca="false">AO15+BE15+AO31</f>
        <v>0</v>
      </c>
      <c r="AP52" s="24" t="n">
        <f aca="false">AP15+BF15+AP31</f>
        <v>0</v>
      </c>
      <c r="AQ52" s="26" t="n">
        <f aca="false">AQ15+BG15+AQ31</f>
        <v>-328.125</v>
      </c>
      <c r="AR52" s="31" t="n">
        <f aca="false">AR15+BH15+AR31</f>
        <v>-3.21268866160695E-011</v>
      </c>
      <c r="AS52" s="31" t="n">
        <f aca="false">AS15+BI15+AS31</f>
        <v>656250</v>
      </c>
      <c r="AT52" s="43" t="n">
        <f aca="false">AT15+BJ15+AT31</f>
        <v>700328.125</v>
      </c>
      <c r="AU52" s="43" t="n">
        <f aca="false">AU15+BK15+AU31</f>
        <v>3.21268866160695E-011</v>
      </c>
      <c r="AV52" s="43" t="n">
        <f aca="false">AV15+BL15+AV31</f>
        <v>656250</v>
      </c>
      <c r="AX52" s="7" t="s">
        <v>51</v>
      </c>
      <c r="AZ52" s="13" t="n">
        <f aca="false">AX15+BN15+AX31</f>
        <v>-10000</v>
      </c>
      <c r="BB52" s="36" t="n">
        <f aca="false">AZ120</f>
        <v>-0.0191885453266965</v>
      </c>
      <c r="BC52" s="41"/>
      <c r="BD52" s="69" t="n">
        <v>0</v>
      </c>
      <c r="BE52" s="17"/>
      <c r="BK52" s="42"/>
      <c r="BL52" s="42"/>
      <c r="BM52" s="42"/>
      <c r="BN52" s="42"/>
      <c r="BO52" s="42"/>
      <c r="BP52" s="42"/>
      <c r="BR52" s="7"/>
      <c r="BT52" s="7"/>
      <c r="BV52" s="7"/>
      <c r="BY52" s="7"/>
    </row>
    <row r="53" customFormat="false" ht="12.8" hidden="false" customHeight="false" outlineLevel="0" collapsed="false">
      <c r="B53" s="2" t="s">
        <v>52</v>
      </c>
      <c r="I53" s="13"/>
      <c r="AH53" s="32"/>
      <c r="AI53" s="32"/>
      <c r="AJ53" s="11" t="n">
        <v>11</v>
      </c>
      <c r="AK53" s="21" t="n">
        <f aca="false">AK16+BA16+AK32</f>
        <v>0</v>
      </c>
      <c r="AL53" s="21" t="n">
        <f aca="false">AL16+BB16+AL32</f>
        <v>0</v>
      </c>
      <c r="AM53" s="21" t="n">
        <f aca="false">AM16+BC16+AM32</f>
        <v>0</v>
      </c>
      <c r="AN53" s="16" t="n">
        <f aca="false">AN16+BD16+AN32</f>
        <v>0</v>
      </c>
      <c r="AO53" s="16" t="n">
        <f aca="false">AO16+BE16+AO32</f>
        <v>-777.777777777778</v>
      </c>
      <c r="AP53" s="24" t="n">
        <f aca="false">AP16+BF16+AP32</f>
        <v>-2333333.33333333</v>
      </c>
      <c r="AQ53" s="31" t="n">
        <f aca="false">AQ16+BG16+AQ32</f>
        <v>-3.21268866160695E-011</v>
      </c>
      <c r="AR53" s="31" t="n">
        <f aca="false">AR16+BH16+AR32</f>
        <v>-525000</v>
      </c>
      <c r="AS53" s="31" t="n">
        <f aca="false">AS16+BI16+AS32</f>
        <v>-4.01837230970225E-011</v>
      </c>
      <c r="AT53" s="43" t="n">
        <f aca="false">AT16+BJ16+AT32</f>
        <v>3.21268866160695E-011</v>
      </c>
      <c r="AU53" s="43" t="n">
        <f aca="false">AU16+BK16+AU32</f>
        <v>525777.777777778</v>
      </c>
      <c r="AV53" s="43" t="n">
        <f aca="false">AV16+BL16+AV32</f>
        <v>-2333333.33333333</v>
      </c>
      <c r="AX53" s="7" t="s">
        <v>128</v>
      </c>
      <c r="AZ53" s="13" t="n">
        <f aca="false">AX16+BN16+AX32</f>
        <v>-30000</v>
      </c>
      <c r="BB53" s="36" t="n">
        <f aca="false">AZ121</f>
        <v>0</v>
      </c>
      <c r="BC53" s="41"/>
      <c r="BD53" s="69" t="n">
        <v>28479.2336859164</v>
      </c>
      <c r="BE53" s="17"/>
      <c r="BK53" s="42"/>
      <c r="BL53" s="42"/>
      <c r="BM53" s="42"/>
      <c r="BN53" s="42"/>
      <c r="BO53" s="42"/>
      <c r="BP53" s="42"/>
      <c r="BQ53" s="7"/>
      <c r="BR53" s="7"/>
      <c r="BS53" s="7"/>
      <c r="BT53" s="7"/>
      <c r="BU53" s="7"/>
      <c r="BV53" s="7"/>
      <c r="BW53" s="7"/>
      <c r="BX53" s="7"/>
      <c r="BY53" s="7"/>
    </row>
    <row r="54" customFormat="false" ht="12.8" hidden="false" customHeight="false" outlineLevel="0" collapsed="false">
      <c r="B54" s="38" t="n">
        <f aca="false">$C$5</f>
        <v>6.12323399573677E-017</v>
      </c>
      <c r="C54" s="38" t="n">
        <f aca="false">-$E$5</f>
        <v>-1</v>
      </c>
      <c r="D54" s="38" t="n">
        <v>0</v>
      </c>
      <c r="E54" s="38" t="n">
        <v>0</v>
      </c>
      <c r="F54" s="38" t="n">
        <v>0</v>
      </c>
      <c r="G54" s="38" t="n">
        <v>0</v>
      </c>
      <c r="L54" s="2" t="s">
        <v>52</v>
      </c>
      <c r="V54" s="2" t="s">
        <v>52</v>
      </c>
      <c r="AB54" s="7"/>
      <c r="AH54" s="32"/>
      <c r="AI54" s="32"/>
      <c r="AJ54" s="11" t="n">
        <v>12</v>
      </c>
      <c r="AK54" s="21" t="n">
        <f aca="false">AK17+BA17+AK33</f>
        <v>0</v>
      </c>
      <c r="AL54" s="21" t="n">
        <f aca="false">AL17+BB17+AL33</f>
        <v>0</v>
      </c>
      <c r="AM54" s="21" t="n">
        <f aca="false">AM17+BC17+AM33</f>
        <v>0</v>
      </c>
      <c r="AN54" s="16" t="n">
        <f aca="false">AN17+BD17+AN33</f>
        <v>0</v>
      </c>
      <c r="AO54" s="16" t="n">
        <f aca="false">AO17+BE17+AO33</f>
        <v>2333333.33333333</v>
      </c>
      <c r="AP54" s="24" t="n">
        <f aca="false">AP17+BF17+AP33</f>
        <v>4666666666.66667</v>
      </c>
      <c r="AQ54" s="31" t="n">
        <f aca="false">AQ17+BG17+AQ33</f>
        <v>-656250</v>
      </c>
      <c r="AR54" s="31" t="n">
        <f aca="false">AR17+BH17+AR33</f>
        <v>4.01837230970225E-011</v>
      </c>
      <c r="AS54" s="31" t="n">
        <f aca="false">AS17+BI17+AS33</f>
        <v>875000000</v>
      </c>
      <c r="AT54" s="43" t="n">
        <f aca="false">AT17+BJ17+AT33</f>
        <v>656250</v>
      </c>
      <c r="AU54" s="43" t="n">
        <f aca="false">AU17+BK17+AU33</f>
        <v>-2333333.33333333</v>
      </c>
      <c r="AV54" s="43" t="n">
        <f aca="false">AV17+BL17+AV33</f>
        <v>11083333333.3333</v>
      </c>
      <c r="AX54" s="7" t="s">
        <v>54</v>
      </c>
      <c r="AZ54" s="13" t="n">
        <f aca="false">AX17+BN17+AX33</f>
        <v>23333333.3333333</v>
      </c>
      <c r="BB54" s="44" t="n">
        <f aca="false">AT121</f>
        <v>0.00284512240471268</v>
      </c>
      <c r="BC54" s="41"/>
      <c r="BD54" s="69" t="n">
        <v>0</v>
      </c>
      <c r="BE54" s="17"/>
      <c r="BK54" s="42"/>
      <c r="BL54" s="42"/>
      <c r="BM54" s="42"/>
      <c r="BN54" s="42"/>
      <c r="BO54" s="42"/>
      <c r="BP54" s="42"/>
      <c r="BR54" s="45"/>
      <c r="BT54" s="7"/>
      <c r="BV54" s="7"/>
      <c r="BY54" s="7"/>
    </row>
    <row r="55" customFormat="false" ht="12" hidden="false" customHeight="false" outlineLevel="0" collapsed="false">
      <c r="B55" s="38" t="n">
        <f aca="false">$E$5</f>
        <v>1</v>
      </c>
      <c r="C55" s="38" t="n">
        <f aca="false">$C$5</f>
        <v>6.12323399573677E-017</v>
      </c>
      <c r="D55" s="38" t="n">
        <v>0</v>
      </c>
      <c r="E55" s="38" t="n">
        <v>0</v>
      </c>
      <c r="F55" s="38" t="n">
        <v>0</v>
      </c>
      <c r="G55" s="38" t="n">
        <v>0</v>
      </c>
      <c r="L55" s="38" t="n">
        <f aca="false">$M$5</f>
        <v>1</v>
      </c>
      <c r="M55" s="38" t="n">
        <f aca="false">-$O$5</f>
        <v>-0</v>
      </c>
      <c r="N55" s="38" t="n">
        <v>0</v>
      </c>
      <c r="O55" s="38" t="n">
        <v>0</v>
      </c>
      <c r="P55" s="38" t="n">
        <v>0</v>
      </c>
      <c r="Q55" s="38" t="n">
        <v>0</v>
      </c>
      <c r="V55" s="38" t="n">
        <f aca="false">$C$5</f>
        <v>6.12323399573677E-017</v>
      </c>
      <c r="W55" s="38" t="n">
        <f aca="false">-$E$5</f>
        <v>-1</v>
      </c>
      <c r="X55" s="38" t="n">
        <v>0</v>
      </c>
      <c r="Y55" s="38" t="n">
        <v>0</v>
      </c>
      <c r="Z55" s="38" t="n">
        <v>0</v>
      </c>
      <c r="AA55" s="38" t="n">
        <v>0</v>
      </c>
      <c r="AB55" s="7"/>
      <c r="AH55" s="33"/>
      <c r="AI55" s="33"/>
      <c r="AZ55" s="20"/>
      <c r="BB55" s="36"/>
      <c r="BC55" s="41"/>
      <c r="BD55" s="41"/>
      <c r="BE55" s="17"/>
      <c r="BK55" s="42"/>
      <c r="BL55" s="42"/>
      <c r="BM55" s="42"/>
      <c r="BN55" s="42"/>
      <c r="BO55" s="42"/>
      <c r="BP55" s="42"/>
      <c r="BR55" s="45"/>
      <c r="BT55" s="7"/>
      <c r="BV55" s="7"/>
      <c r="BY55" s="7"/>
    </row>
    <row r="56" customFormat="false" ht="12" hidden="false" customHeight="false" outlineLevel="0" collapsed="false">
      <c r="B56" s="38" t="n">
        <v>0</v>
      </c>
      <c r="C56" s="38" t="n">
        <v>0</v>
      </c>
      <c r="D56" s="38" t="n">
        <f aca="false">D47</f>
        <v>1</v>
      </c>
      <c r="E56" s="38" t="n">
        <v>0</v>
      </c>
      <c r="F56" s="38" t="n">
        <v>0</v>
      </c>
      <c r="G56" s="38" t="n">
        <v>0</v>
      </c>
      <c r="L56" s="38" t="n">
        <f aca="false">$O$5</f>
        <v>0</v>
      </c>
      <c r="M56" s="38" t="n">
        <f aca="false">$M$5</f>
        <v>1</v>
      </c>
      <c r="N56" s="38" t="n">
        <v>0</v>
      </c>
      <c r="O56" s="38" t="n">
        <v>0</v>
      </c>
      <c r="P56" s="38" t="n">
        <v>0</v>
      </c>
      <c r="Q56" s="38" t="n">
        <v>0</v>
      </c>
      <c r="V56" s="38" t="n">
        <f aca="false">$E$5</f>
        <v>1</v>
      </c>
      <c r="W56" s="38" t="n">
        <f aca="false">$C$5</f>
        <v>6.12323399573677E-017</v>
      </c>
      <c r="X56" s="38" t="n">
        <v>0</v>
      </c>
      <c r="Y56" s="38" t="n">
        <v>0</v>
      </c>
      <c r="Z56" s="38" t="n">
        <v>0</v>
      </c>
      <c r="AA56" s="38" t="n">
        <v>0</v>
      </c>
      <c r="AB56" s="7"/>
      <c r="AH56" s="32"/>
      <c r="AI56" s="32"/>
      <c r="AZ56" s="20"/>
      <c r="BB56" s="36"/>
      <c r="BC56" s="34"/>
      <c r="BD56" s="34"/>
      <c r="BE56" s="17"/>
      <c r="BK56" s="42"/>
      <c r="BL56" s="42"/>
      <c r="BM56" s="42"/>
      <c r="BN56" s="42"/>
      <c r="BO56" s="42"/>
      <c r="BP56" s="42"/>
      <c r="BR56" s="45"/>
      <c r="BT56" s="7"/>
      <c r="BV56" s="7"/>
      <c r="BY56" s="7"/>
    </row>
    <row r="57" customFormat="false" ht="12" hidden="false" customHeight="false" outlineLevel="0" collapsed="false">
      <c r="B57" s="38" t="n">
        <v>0</v>
      </c>
      <c r="C57" s="38" t="n">
        <v>0</v>
      </c>
      <c r="D57" s="38" t="n">
        <v>0</v>
      </c>
      <c r="E57" s="38" t="n">
        <f aca="false">$C$5</f>
        <v>6.12323399573677E-017</v>
      </c>
      <c r="F57" s="38" t="n">
        <f aca="false">-$E$5</f>
        <v>-1</v>
      </c>
      <c r="G57" s="38" t="n">
        <v>0</v>
      </c>
      <c r="L57" s="38" t="n">
        <v>0</v>
      </c>
      <c r="M57" s="38" t="n">
        <v>0</v>
      </c>
      <c r="N57" s="38" t="n">
        <f aca="false">N48</f>
        <v>1</v>
      </c>
      <c r="O57" s="38" t="n">
        <v>0</v>
      </c>
      <c r="P57" s="38" t="n">
        <v>0</v>
      </c>
      <c r="Q57" s="38" t="n">
        <v>0</v>
      </c>
      <c r="V57" s="38" t="n">
        <v>0</v>
      </c>
      <c r="W57" s="38" t="n">
        <v>0</v>
      </c>
      <c r="X57" s="38" t="n">
        <f aca="false">X48</f>
        <v>1</v>
      </c>
      <c r="Y57" s="38" t="n">
        <v>0</v>
      </c>
      <c r="Z57" s="38" t="n">
        <v>0</v>
      </c>
      <c r="AA57" s="38" t="n">
        <v>0</v>
      </c>
      <c r="AB57" s="7"/>
      <c r="AZ57" s="20"/>
      <c r="BB57" s="7"/>
      <c r="BE57" s="17"/>
    </row>
    <row r="58" customFormat="false" ht="13.8" hidden="false" customHeight="false" outlineLevel="0" collapsed="false">
      <c r="B58" s="38" t="n">
        <v>0</v>
      </c>
      <c r="C58" s="38" t="n">
        <v>0</v>
      </c>
      <c r="D58" s="38" t="n">
        <v>0</v>
      </c>
      <c r="E58" s="38" t="n">
        <f aca="false">$E$5</f>
        <v>1</v>
      </c>
      <c r="F58" s="38" t="n">
        <f aca="false">$C$5</f>
        <v>6.12323399573677E-017</v>
      </c>
      <c r="G58" s="38" t="n">
        <v>0</v>
      </c>
      <c r="L58" s="38" t="n">
        <v>0</v>
      </c>
      <c r="M58" s="38" t="n">
        <v>0</v>
      </c>
      <c r="N58" s="38" t="n">
        <v>0</v>
      </c>
      <c r="O58" s="38" t="n">
        <f aca="false">$M$5</f>
        <v>1</v>
      </c>
      <c r="P58" s="38" t="n">
        <f aca="false">-$O$5</f>
        <v>-0</v>
      </c>
      <c r="Q58" s="38" t="n">
        <v>0</v>
      </c>
      <c r="V58" s="38" t="n">
        <v>0</v>
      </c>
      <c r="W58" s="38" t="n">
        <v>0</v>
      </c>
      <c r="X58" s="38" t="n">
        <v>0</v>
      </c>
      <c r="Y58" s="38" t="n">
        <f aca="false">$C$5</f>
        <v>6.12323399573677E-017</v>
      </c>
      <c r="Z58" s="38" t="n">
        <f aca="false">-$E$5</f>
        <v>-1</v>
      </c>
      <c r="AA58" s="38" t="n">
        <v>0</v>
      </c>
      <c r="AB58" s="7"/>
      <c r="AE58" s="1" t="s">
        <v>129</v>
      </c>
      <c r="AF58" s="1" t="s">
        <v>130</v>
      </c>
      <c r="AG58" s="1" t="s">
        <v>131</v>
      </c>
      <c r="AH58" s="1" t="s">
        <v>132</v>
      </c>
      <c r="AI58" s="0"/>
      <c r="AJ58" s="2" t="s">
        <v>133</v>
      </c>
      <c r="AL58" s="0"/>
      <c r="AM58" s="0"/>
      <c r="AN58" s="0"/>
      <c r="AO58" s="0"/>
      <c r="AP58" s="0"/>
      <c r="AQ58" s="0"/>
      <c r="AR58" s="0"/>
      <c r="AS58" s="0"/>
      <c r="AT58" s="0"/>
      <c r="AU58" s="0"/>
      <c r="AV58" s="0"/>
      <c r="AW58" s="0"/>
      <c r="AX58" s="2" t="s">
        <v>134</v>
      </c>
      <c r="BB58" s="20"/>
      <c r="BE58" s="20"/>
      <c r="BK58" s="2"/>
    </row>
    <row r="59" customFormat="false" ht="13.8" hidden="false" customHeight="false" outlineLevel="0" collapsed="false">
      <c r="B59" s="38" t="n">
        <v>0</v>
      </c>
      <c r="C59" s="38" t="n">
        <v>0</v>
      </c>
      <c r="D59" s="38" t="n">
        <v>0</v>
      </c>
      <c r="E59" s="38" t="n">
        <v>0</v>
      </c>
      <c r="F59" s="38" t="n">
        <v>0</v>
      </c>
      <c r="G59" s="38" t="n">
        <f aca="false">D47</f>
        <v>1</v>
      </c>
      <c r="L59" s="38" t="n">
        <v>0</v>
      </c>
      <c r="M59" s="38" t="n">
        <v>0</v>
      </c>
      <c r="N59" s="38" t="n">
        <v>0</v>
      </c>
      <c r="O59" s="38" t="n">
        <f aca="false">$O$5</f>
        <v>0</v>
      </c>
      <c r="P59" s="38" t="n">
        <f aca="false">$M$5</f>
        <v>1</v>
      </c>
      <c r="Q59" s="38" t="n">
        <v>0</v>
      </c>
      <c r="V59" s="38" t="n">
        <v>0</v>
      </c>
      <c r="W59" s="38" t="n">
        <v>0</v>
      </c>
      <c r="X59" s="38" t="n">
        <v>0</v>
      </c>
      <c r="Y59" s="38" t="n">
        <f aca="false">$E$5</f>
        <v>1</v>
      </c>
      <c r="Z59" s="38" t="n">
        <f aca="false">$C$5</f>
        <v>6.12323399573677E-017</v>
      </c>
      <c r="AA59" s="38" t="n">
        <v>0</v>
      </c>
      <c r="AB59" s="7"/>
      <c r="AE59" s="1" t="n">
        <v>1</v>
      </c>
      <c r="AF59" s="1" t="n">
        <v>0</v>
      </c>
      <c r="AG59" s="0" t="n">
        <f aca="false">COS(RADIANS(AF59))</f>
        <v>1</v>
      </c>
      <c r="AH59" s="0" t="n">
        <f aca="false">SIN(RADIANS(AF59))</f>
        <v>0</v>
      </c>
      <c r="AI59" s="0"/>
      <c r="AJ59" s="10"/>
      <c r="AK59" s="11" t="n">
        <v>1</v>
      </c>
      <c r="AL59" s="11" t="n">
        <v>2</v>
      </c>
      <c r="AM59" s="11" t="n">
        <v>3</v>
      </c>
      <c r="AN59" s="11" t="n">
        <v>4</v>
      </c>
      <c r="AO59" s="11" t="n">
        <v>5</v>
      </c>
      <c r="AP59" s="11" t="n">
        <v>6</v>
      </c>
      <c r="AQ59" s="11" t="n">
        <v>7</v>
      </c>
      <c r="AR59" s="11" t="n">
        <v>8</v>
      </c>
      <c r="AS59" s="11" t="n">
        <v>9</v>
      </c>
      <c r="AT59" s="11" t="n">
        <v>10</v>
      </c>
      <c r="AU59" s="11" t="n">
        <v>11</v>
      </c>
      <c r="AV59" s="11" t="n">
        <v>12</v>
      </c>
      <c r="AW59" s="0"/>
      <c r="AX59" s="10"/>
      <c r="AY59" s="11" t="n">
        <v>1</v>
      </c>
      <c r="AZ59" s="11" t="n">
        <v>2</v>
      </c>
      <c r="BA59" s="11" t="n">
        <v>3</v>
      </c>
      <c r="BB59" s="11" t="n">
        <v>4</v>
      </c>
      <c r="BC59" s="11" t="n">
        <v>5</v>
      </c>
      <c r="BD59" s="11" t="n">
        <v>6</v>
      </c>
      <c r="BE59" s="11" t="n">
        <v>7</v>
      </c>
      <c r="BF59" s="11" t="n">
        <v>8</v>
      </c>
      <c r="BG59" s="11" t="n">
        <v>9</v>
      </c>
      <c r="BH59" s="11" t="n">
        <v>10</v>
      </c>
      <c r="BI59" s="11" t="n">
        <v>11</v>
      </c>
      <c r="BJ59" s="11" t="n">
        <v>12</v>
      </c>
      <c r="BK59" s="21"/>
      <c r="BL59" s="7"/>
      <c r="BM59" s="7"/>
      <c r="BN59" s="7"/>
      <c r="BO59" s="7"/>
      <c r="BP59" s="7"/>
      <c r="BR59" s="7"/>
      <c r="BT59" s="42"/>
      <c r="BV59" s="7"/>
      <c r="BY59" s="48"/>
      <c r="CA59" s="49"/>
    </row>
    <row r="60" customFormat="false" ht="13.8" hidden="false" customHeight="false" outlineLevel="0" collapsed="false">
      <c r="L60" s="38" t="n">
        <v>0</v>
      </c>
      <c r="M60" s="38" t="n">
        <v>0</v>
      </c>
      <c r="N60" s="38" t="n">
        <v>0</v>
      </c>
      <c r="O60" s="38" t="n">
        <v>0</v>
      </c>
      <c r="P60" s="38" t="n">
        <v>0</v>
      </c>
      <c r="Q60" s="38" t="n">
        <f aca="false">N48</f>
        <v>1</v>
      </c>
      <c r="V60" s="38" t="n">
        <v>0</v>
      </c>
      <c r="W60" s="38" t="n">
        <v>0</v>
      </c>
      <c r="X60" s="38" t="n">
        <v>0</v>
      </c>
      <c r="Y60" s="38" t="n">
        <v>0</v>
      </c>
      <c r="Z60" s="38" t="n">
        <v>0</v>
      </c>
      <c r="AA60" s="38" t="n">
        <f aca="false">X48</f>
        <v>1</v>
      </c>
      <c r="AB60" s="7"/>
      <c r="AE60" s="1" t="n">
        <v>2</v>
      </c>
      <c r="AF60" s="1" t="n">
        <v>0</v>
      </c>
      <c r="AG60" s="0" t="n">
        <f aca="false">COS(RADIANS(AF60))</f>
        <v>1</v>
      </c>
      <c r="AH60" s="0" t="n">
        <f aca="false">SIN(RADIANS(AF60))</f>
        <v>0</v>
      </c>
      <c r="AI60" s="0"/>
      <c r="AJ60" s="11" t="n">
        <v>1</v>
      </c>
      <c r="AK60" s="17" t="n">
        <f aca="false">AG59</f>
        <v>1</v>
      </c>
      <c r="AL60" s="17" t="n">
        <f aca="false">AH59</f>
        <v>0</v>
      </c>
      <c r="AM60" s="17" t="n">
        <v>0</v>
      </c>
      <c r="AN60" s="17" t="n">
        <v>0</v>
      </c>
      <c r="AO60" s="17" t="n">
        <v>0</v>
      </c>
      <c r="AP60" s="17" t="n">
        <v>0</v>
      </c>
      <c r="AQ60" s="17" t="n">
        <v>0</v>
      </c>
      <c r="AR60" s="17" t="n">
        <v>0</v>
      </c>
      <c r="AS60" s="17" t="n">
        <v>0</v>
      </c>
      <c r="AT60" s="17" t="n">
        <v>0</v>
      </c>
      <c r="AU60" s="17" t="n">
        <v>0</v>
      </c>
      <c r="AV60" s="17" t="n">
        <v>0</v>
      </c>
      <c r="AW60" s="0"/>
      <c r="AX60" s="11" t="n">
        <v>1</v>
      </c>
      <c r="AY60" s="7" t="n">
        <f aca="false" t="array" ref="AY60:BJ71">TRANSPOSE(AK60:AV71)</f>
        <v>1</v>
      </c>
      <c r="AZ60" s="7" t="n">
        <v>-0</v>
      </c>
      <c r="BA60" s="7" t="n">
        <v>0</v>
      </c>
      <c r="BB60" s="20" t="n">
        <v>0</v>
      </c>
      <c r="BC60" s="7" t="n">
        <v>0</v>
      </c>
      <c r="BD60" s="7" t="n">
        <v>0</v>
      </c>
      <c r="BE60" s="20" t="n">
        <v>0</v>
      </c>
      <c r="BF60" s="7" t="n">
        <v>0</v>
      </c>
      <c r="BG60" s="7" t="n">
        <v>0</v>
      </c>
      <c r="BH60" s="7" t="n">
        <v>0</v>
      </c>
      <c r="BI60" s="7" t="n">
        <v>0</v>
      </c>
      <c r="BJ60" s="7" t="n">
        <v>0</v>
      </c>
      <c r="BK60" s="21"/>
      <c r="BL60" s="7"/>
      <c r="BM60" s="7"/>
      <c r="BN60" s="7"/>
      <c r="BO60" s="7"/>
      <c r="BP60" s="7"/>
      <c r="BR60" s="7"/>
      <c r="BT60" s="42"/>
      <c r="BV60" s="7"/>
      <c r="BY60" s="48"/>
      <c r="CA60" s="49"/>
    </row>
    <row r="61" customFormat="false" ht="13.8" hidden="false" customHeight="false" outlineLevel="0" collapsed="false">
      <c r="V61" s="7"/>
      <c r="AC61" s="7"/>
      <c r="AE61" s="1" t="n">
        <v>3</v>
      </c>
      <c r="AF61" s="1" t="n">
        <v>0</v>
      </c>
      <c r="AG61" s="0" t="n">
        <f aca="false">COS(RADIANS(AF61))</f>
        <v>1</v>
      </c>
      <c r="AH61" s="0" t="n">
        <f aca="false">SIN(RADIANS(AF61))</f>
        <v>0</v>
      </c>
      <c r="AI61" s="0"/>
      <c r="AJ61" s="11" t="n">
        <v>2</v>
      </c>
      <c r="AK61" s="17" t="n">
        <f aca="false">-AH59</f>
        <v>-0</v>
      </c>
      <c r="AL61" s="17" t="n">
        <f aca="false">AG59</f>
        <v>1</v>
      </c>
      <c r="AM61" s="17" t="n">
        <v>0</v>
      </c>
      <c r="AN61" s="17" t="n">
        <v>0</v>
      </c>
      <c r="AO61" s="17" t="n">
        <v>0</v>
      </c>
      <c r="AP61" s="17" t="n">
        <v>0</v>
      </c>
      <c r="AQ61" s="17" t="n">
        <v>0</v>
      </c>
      <c r="AR61" s="17" t="n">
        <v>0</v>
      </c>
      <c r="AS61" s="17" t="n">
        <v>0</v>
      </c>
      <c r="AT61" s="17" t="n">
        <v>0</v>
      </c>
      <c r="AU61" s="17" t="n">
        <v>0</v>
      </c>
      <c r="AV61" s="17" t="n">
        <v>0</v>
      </c>
      <c r="AW61" s="0"/>
      <c r="AX61" s="11" t="n">
        <v>2</v>
      </c>
      <c r="AY61" s="7" t="n">
        <v>0</v>
      </c>
      <c r="AZ61" s="7" t="n">
        <v>1</v>
      </c>
      <c r="BA61" s="7" t="n">
        <v>0</v>
      </c>
      <c r="BB61" s="20" t="n">
        <v>0</v>
      </c>
      <c r="BC61" s="7" t="n">
        <v>0</v>
      </c>
      <c r="BD61" s="7" t="n">
        <v>0</v>
      </c>
      <c r="BE61" s="20" t="n">
        <v>0</v>
      </c>
      <c r="BF61" s="7" t="n">
        <v>0</v>
      </c>
      <c r="BG61" s="7" t="n">
        <v>0</v>
      </c>
      <c r="BH61" s="7" t="n">
        <v>0</v>
      </c>
      <c r="BI61" s="7" t="n">
        <v>0</v>
      </c>
      <c r="BJ61" s="7" t="n">
        <v>0</v>
      </c>
      <c r="BK61" s="21"/>
      <c r="BL61" s="7"/>
      <c r="BM61" s="7"/>
      <c r="BN61" s="7"/>
      <c r="BO61" s="7"/>
      <c r="BP61" s="7"/>
      <c r="BQ61" s="7"/>
      <c r="BR61" s="7"/>
      <c r="BS61" s="7"/>
      <c r="BT61" s="42"/>
      <c r="BU61" s="7"/>
      <c r="BV61" s="7"/>
      <c r="BW61" s="7"/>
      <c r="BX61" s="7"/>
      <c r="BY61" s="48"/>
      <c r="BZ61" s="7"/>
      <c r="CA61" s="49"/>
      <c r="CE61" s="52"/>
    </row>
    <row r="62" customFormat="false" ht="13.8" hidden="false" customHeight="false" outlineLevel="0" collapsed="false">
      <c r="M62" s="1" t="s">
        <v>56</v>
      </c>
      <c r="N62" s="1" t="s">
        <v>57</v>
      </c>
      <c r="O62" s="1" t="s">
        <v>57</v>
      </c>
      <c r="W62" s="7"/>
      <c r="AD62" s="7"/>
      <c r="AE62" s="1" t="n">
        <v>4</v>
      </c>
      <c r="AF62" s="1" t="n">
        <v>0</v>
      </c>
      <c r="AG62" s="0" t="n">
        <f aca="false">COS(RADIANS(AF62))</f>
        <v>1</v>
      </c>
      <c r="AH62" s="0" t="n">
        <f aca="false">SIN(RADIANS(AF62))</f>
        <v>0</v>
      </c>
      <c r="AI62" s="0"/>
      <c r="AJ62" s="11" t="n">
        <v>3</v>
      </c>
      <c r="AK62" s="17" t="n">
        <v>0</v>
      </c>
      <c r="AL62" s="17" t="n">
        <v>0</v>
      </c>
      <c r="AM62" s="17" t="n">
        <v>1</v>
      </c>
      <c r="AN62" s="17" t="n">
        <v>0</v>
      </c>
      <c r="AO62" s="17" t="n">
        <v>0</v>
      </c>
      <c r="AP62" s="17" t="n">
        <v>0</v>
      </c>
      <c r="AQ62" s="17" t="n">
        <v>0</v>
      </c>
      <c r="AR62" s="17" t="n">
        <v>0</v>
      </c>
      <c r="AS62" s="17" t="n">
        <v>0</v>
      </c>
      <c r="AT62" s="17" t="n">
        <v>0</v>
      </c>
      <c r="AU62" s="17" t="n">
        <v>0</v>
      </c>
      <c r="AV62" s="17" t="n">
        <v>0</v>
      </c>
      <c r="AW62" s="0"/>
      <c r="AX62" s="11" t="n">
        <v>3</v>
      </c>
      <c r="AY62" s="7" t="n">
        <v>0</v>
      </c>
      <c r="AZ62" s="7" t="n">
        <v>0</v>
      </c>
      <c r="BA62" s="7" t="n">
        <v>1</v>
      </c>
      <c r="BB62" s="20" t="n">
        <v>0</v>
      </c>
      <c r="BC62" s="7" t="n">
        <v>0</v>
      </c>
      <c r="BD62" s="7" t="n">
        <v>0</v>
      </c>
      <c r="BE62" s="20" t="n">
        <v>0</v>
      </c>
      <c r="BF62" s="7" t="n">
        <v>0</v>
      </c>
      <c r="BG62" s="7" t="n">
        <v>0</v>
      </c>
      <c r="BH62" s="7" t="n">
        <v>0</v>
      </c>
      <c r="BI62" s="7" t="n">
        <v>0</v>
      </c>
      <c r="BJ62" s="7" t="n">
        <v>0</v>
      </c>
      <c r="BK62" s="21"/>
      <c r="BL62" s="7"/>
      <c r="BM62" s="7"/>
      <c r="BN62" s="7"/>
      <c r="BO62" s="7"/>
      <c r="BP62" s="7"/>
      <c r="BR62" s="7"/>
      <c r="BT62" s="42"/>
      <c r="BV62" s="7"/>
      <c r="BY62" s="48"/>
      <c r="CA62" s="49"/>
    </row>
    <row r="63" customFormat="false" ht="13.8" hidden="false" customHeight="false" outlineLevel="0" collapsed="false">
      <c r="I63" s="1" t="s">
        <v>58</v>
      </c>
      <c r="K63" s="1" t="s">
        <v>59</v>
      </c>
      <c r="M63" s="1" t="s">
        <v>60</v>
      </c>
      <c r="N63" s="1" t="s">
        <v>61</v>
      </c>
      <c r="O63" s="1" t="s">
        <v>62</v>
      </c>
      <c r="W63" s="7"/>
      <c r="AD63" s="7"/>
      <c r="AH63" s="0"/>
      <c r="AI63" s="0"/>
      <c r="AJ63" s="11" t="n">
        <v>4</v>
      </c>
      <c r="AK63" s="17" t="n">
        <v>0</v>
      </c>
      <c r="AL63" s="17" t="n">
        <v>0</v>
      </c>
      <c r="AM63" s="17" t="n">
        <v>0</v>
      </c>
      <c r="AN63" s="17" t="n">
        <f aca="false">AG60</f>
        <v>1</v>
      </c>
      <c r="AO63" s="17" t="n">
        <f aca="false">AH60</f>
        <v>0</v>
      </c>
      <c r="AP63" s="17" t="n">
        <v>0</v>
      </c>
      <c r="AQ63" s="17" t="n">
        <v>0</v>
      </c>
      <c r="AR63" s="17" t="n">
        <v>0</v>
      </c>
      <c r="AS63" s="17" t="n">
        <v>0</v>
      </c>
      <c r="AT63" s="17" t="n">
        <v>0</v>
      </c>
      <c r="AU63" s="17" t="n">
        <v>0</v>
      </c>
      <c r="AV63" s="17" t="n">
        <v>0</v>
      </c>
      <c r="AW63" s="0"/>
      <c r="AX63" s="11" t="n">
        <v>4</v>
      </c>
      <c r="AY63" s="7" t="n">
        <v>0</v>
      </c>
      <c r="AZ63" s="7" t="n">
        <v>0</v>
      </c>
      <c r="BA63" s="7" t="n">
        <v>0</v>
      </c>
      <c r="BB63" s="7" t="n">
        <v>1</v>
      </c>
      <c r="BC63" s="7" t="n">
        <v>-0</v>
      </c>
      <c r="BD63" s="7" t="n">
        <v>0</v>
      </c>
      <c r="BE63" s="7" t="n">
        <v>0</v>
      </c>
      <c r="BF63" s="7" t="n">
        <v>0</v>
      </c>
      <c r="BG63" s="7" t="n">
        <v>0</v>
      </c>
      <c r="BH63" s="7" t="n">
        <v>0</v>
      </c>
      <c r="BI63" s="7" t="n">
        <v>0</v>
      </c>
      <c r="BJ63" s="7" t="n">
        <v>0</v>
      </c>
      <c r="BK63" s="21"/>
      <c r="BL63" s="7"/>
      <c r="BM63" s="7"/>
      <c r="BN63" s="7"/>
      <c r="BO63" s="7"/>
      <c r="BP63" s="7"/>
      <c r="BR63" s="7"/>
      <c r="BT63" s="42"/>
      <c r="BV63" s="7"/>
      <c r="BY63" s="48"/>
      <c r="CA63" s="49"/>
    </row>
    <row r="64" customFormat="false" ht="13.8" hidden="false" customHeight="false" outlineLevel="0" collapsed="false">
      <c r="H64" s="1" t="s">
        <v>63</v>
      </c>
      <c r="I64" s="53" t="n">
        <v>10000</v>
      </c>
      <c r="J64" s="1" t="s">
        <v>64</v>
      </c>
      <c r="K64" s="1" t="s">
        <v>65</v>
      </c>
      <c r="L64" s="13" t="n">
        <f aca="false">COS(RADIANS(I65-E4))*I64</f>
        <v>6.12323399573677E-013</v>
      </c>
      <c r="M64" s="8" t="s">
        <v>66</v>
      </c>
      <c r="N64" s="35" t="n">
        <f aca="false">-I67/E6*L64</f>
        <v>-3.06161699786838E-013</v>
      </c>
      <c r="O64" s="35" t="n">
        <f aca="false">-I66/E6*L64</f>
        <v>-3.06161699786838E-013</v>
      </c>
      <c r="P64" s="1" t="s">
        <v>67</v>
      </c>
      <c r="AH64" s="0"/>
      <c r="AI64" s="0"/>
      <c r="AJ64" s="11" t="n">
        <v>5</v>
      </c>
      <c r="AK64" s="17" t="n">
        <v>0</v>
      </c>
      <c r="AL64" s="17" t="n">
        <v>0</v>
      </c>
      <c r="AM64" s="17" t="n">
        <v>0</v>
      </c>
      <c r="AN64" s="17" t="n">
        <f aca="false">-AH60</f>
        <v>-0</v>
      </c>
      <c r="AO64" s="17" t="n">
        <f aca="false">AG60</f>
        <v>1</v>
      </c>
      <c r="AP64" s="17" t="n">
        <v>0</v>
      </c>
      <c r="AQ64" s="17" t="n">
        <v>0</v>
      </c>
      <c r="AR64" s="17" t="n">
        <v>0</v>
      </c>
      <c r="AS64" s="17" t="n">
        <v>0</v>
      </c>
      <c r="AT64" s="17" t="n">
        <v>0</v>
      </c>
      <c r="AU64" s="17" t="n">
        <v>0</v>
      </c>
      <c r="AV64" s="17" t="n">
        <v>0</v>
      </c>
      <c r="AW64" s="0"/>
      <c r="AX64" s="11" t="n">
        <v>5</v>
      </c>
      <c r="AY64" s="7" t="n">
        <v>0</v>
      </c>
      <c r="AZ64" s="7" t="n">
        <v>0</v>
      </c>
      <c r="BA64" s="7" t="n">
        <v>0</v>
      </c>
      <c r="BB64" s="7" t="n">
        <v>0</v>
      </c>
      <c r="BC64" s="7" t="n">
        <v>1</v>
      </c>
      <c r="BD64" s="7" t="n">
        <v>0</v>
      </c>
      <c r="BE64" s="7" t="n">
        <v>0</v>
      </c>
      <c r="BF64" s="7" t="n">
        <v>0</v>
      </c>
      <c r="BG64" s="7" t="n">
        <v>0</v>
      </c>
      <c r="BH64" s="7" t="n">
        <v>0</v>
      </c>
      <c r="BI64" s="7" t="n">
        <v>0</v>
      </c>
      <c r="BJ64" s="7" t="n">
        <v>0</v>
      </c>
      <c r="BR64" s="54"/>
    </row>
    <row r="65" customFormat="false" ht="13.8" hidden="false" customHeight="false" outlineLevel="0" collapsed="false">
      <c r="H65" s="1" t="s">
        <v>68</v>
      </c>
      <c r="I65" s="53" t="n">
        <v>0</v>
      </c>
      <c r="J65" s="1" t="s">
        <v>5</v>
      </c>
      <c r="K65" s="1" t="s">
        <v>69</v>
      </c>
      <c r="L65" s="13" t="n">
        <f aca="false">SIN(RADIANS(I65-E4))*I64</f>
        <v>-10000</v>
      </c>
      <c r="M65" s="8" t="s">
        <v>70</v>
      </c>
      <c r="N65" s="35" t="n">
        <f aca="false">-1*I67^2*(3*I66+I67)/E6^3*L65</f>
        <v>5000</v>
      </c>
      <c r="O65" s="35" t="n">
        <f aca="false">-1*I66^2*(I66+3*I67)/E6^3*L65</f>
        <v>5000</v>
      </c>
      <c r="P65" s="1" t="s">
        <v>71</v>
      </c>
      <c r="AH65" s="0"/>
      <c r="AI65" s="0"/>
      <c r="AJ65" s="11" t="n">
        <v>6</v>
      </c>
      <c r="AK65" s="17" t="n">
        <v>0</v>
      </c>
      <c r="AL65" s="17" t="n">
        <v>0</v>
      </c>
      <c r="AM65" s="17" t="n">
        <v>0</v>
      </c>
      <c r="AN65" s="17" t="n">
        <v>0</v>
      </c>
      <c r="AO65" s="17" t="n">
        <v>0</v>
      </c>
      <c r="AP65" s="17" t="n">
        <v>1</v>
      </c>
      <c r="AQ65" s="17" t="n">
        <v>0</v>
      </c>
      <c r="AR65" s="17" t="n">
        <v>0</v>
      </c>
      <c r="AS65" s="17" t="n">
        <v>0</v>
      </c>
      <c r="AT65" s="17" t="n">
        <v>0</v>
      </c>
      <c r="AU65" s="17" t="n">
        <v>0</v>
      </c>
      <c r="AV65" s="17" t="n">
        <v>0</v>
      </c>
      <c r="AW65" s="0"/>
      <c r="AX65" s="11" t="n">
        <v>6</v>
      </c>
      <c r="AY65" s="7" t="n">
        <v>0</v>
      </c>
      <c r="AZ65" s="7" t="n">
        <v>0</v>
      </c>
      <c r="BA65" s="7" t="n">
        <v>0</v>
      </c>
      <c r="BB65" s="7" t="n">
        <v>0</v>
      </c>
      <c r="BC65" s="42" t="n">
        <v>0</v>
      </c>
      <c r="BD65" s="42" t="n">
        <v>1</v>
      </c>
      <c r="BE65" s="7" t="n">
        <v>0</v>
      </c>
      <c r="BF65" s="7" t="n">
        <v>0</v>
      </c>
      <c r="BG65" s="7" t="n">
        <v>0</v>
      </c>
      <c r="BH65" s="7" t="n">
        <v>0</v>
      </c>
      <c r="BI65" s="7" t="n">
        <v>0</v>
      </c>
      <c r="BJ65" s="7" t="n">
        <v>0</v>
      </c>
      <c r="BR65" s="54"/>
    </row>
    <row r="66" customFormat="false" ht="13.8" hidden="false" customHeight="false" outlineLevel="0" collapsed="false">
      <c r="H66" s="1" t="s">
        <v>72</v>
      </c>
      <c r="I66" s="53" t="n">
        <v>2000</v>
      </c>
      <c r="J66" s="1" t="s">
        <v>12</v>
      </c>
      <c r="M66" s="55" t="s">
        <v>73</v>
      </c>
      <c r="N66" s="35" t="n">
        <f aca="false">-1*I66*I67^2/E6^2*L65</f>
        <v>5000000</v>
      </c>
      <c r="O66" s="35" t="n">
        <f aca="false">I66^2*I67/E6^2*L65</f>
        <v>-5000000</v>
      </c>
      <c r="P66" s="1" t="s">
        <v>74</v>
      </c>
      <c r="AH66" s="0"/>
      <c r="AI66" s="0"/>
      <c r="AJ66" s="11" t="n">
        <v>7</v>
      </c>
      <c r="AK66" s="17" t="n">
        <v>0</v>
      </c>
      <c r="AL66" s="17" t="n">
        <v>0</v>
      </c>
      <c r="AM66" s="17" t="n">
        <v>0</v>
      </c>
      <c r="AN66" s="17" t="n">
        <v>0</v>
      </c>
      <c r="AO66" s="17" t="n">
        <v>0</v>
      </c>
      <c r="AP66" s="17" t="n">
        <v>0</v>
      </c>
      <c r="AQ66" s="17" t="n">
        <f aca="false">AG61</f>
        <v>1</v>
      </c>
      <c r="AR66" s="17" t="n">
        <f aca="false">AH61</f>
        <v>0</v>
      </c>
      <c r="AS66" s="17" t="n">
        <v>0</v>
      </c>
      <c r="AT66" s="17" t="n">
        <v>0</v>
      </c>
      <c r="AU66" s="17" t="n">
        <v>0</v>
      </c>
      <c r="AV66" s="17" t="n">
        <v>0</v>
      </c>
      <c r="AW66" s="0"/>
      <c r="AX66" s="11" t="n">
        <v>7</v>
      </c>
      <c r="AY66" s="7" t="n">
        <v>0</v>
      </c>
      <c r="AZ66" s="7" t="n">
        <v>0</v>
      </c>
      <c r="BA66" s="7" t="n">
        <v>0</v>
      </c>
      <c r="BB66" s="7" t="n">
        <v>0</v>
      </c>
      <c r="BC66" s="7" t="n">
        <v>0</v>
      </c>
      <c r="BD66" s="7" t="n">
        <v>0</v>
      </c>
      <c r="BE66" s="7" t="n">
        <v>1</v>
      </c>
      <c r="BF66" s="7" t="n">
        <v>-0</v>
      </c>
      <c r="BG66" s="7" t="n">
        <v>0</v>
      </c>
      <c r="BH66" s="7" t="n">
        <v>0</v>
      </c>
      <c r="BI66" s="7" t="n">
        <v>0</v>
      </c>
      <c r="BJ66" s="7" t="n">
        <v>0</v>
      </c>
      <c r="BR66" s="54"/>
    </row>
    <row r="67" customFormat="false" ht="13.8" hidden="false" customHeight="false" outlineLevel="0" collapsed="false">
      <c r="H67" s="1" t="s">
        <v>75</v>
      </c>
      <c r="I67" s="57" t="n">
        <f aca="false">E6-I66</f>
        <v>2000</v>
      </c>
      <c r="M67" s="8"/>
      <c r="AH67" s="0"/>
      <c r="AI67" s="0"/>
      <c r="AJ67" s="11" t="n">
        <v>8</v>
      </c>
      <c r="AK67" s="17" t="n">
        <v>0</v>
      </c>
      <c r="AL67" s="17" t="n">
        <v>0</v>
      </c>
      <c r="AM67" s="17" t="n">
        <v>0</v>
      </c>
      <c r="AN67" s="17" t="n">
        <v>0</v>
      </c>
      <c r="AO67" s="17" t="n">
        <v>0</v>
      </c>
      <c r="AP67" s="17" t="n">
        <v>0</v>
      </c>
      <c r="AQ67" s="17" t="n">
        <f aca="false">-AH61</f>
        <v>-0</v>
      </c>
      <c r="AR67" s="17" t="n">
        <f aca="false">AG61</f>
        <v>1</v>
      </c>
      <c r="AS67" s="17" t="n">
        <v>0</v>
      </c>
      <c r="AT67" s="17" t="n">
        <v>0</v>
      </c>
      <c r="AU67" s="17" t="n">
        <v>0</v>
      </c>
      <c r="AV67" s="17" t="n">
        <v>0</v>
      </c>
      <c r="AW67" s="0"/>
      <c r="AX67" s="11" t="n">
        <v>8</v>
      </c>
      <c r="AY67" s="7" t="n">
        <v>0</v>
      </c>
      <c r="AZ67" s="7" t="n">
        <v>0</v>
      </c>
      <c r="BA67" s="7" t="n">
        <v>0</v>
      </c>
      <c r="BB67" s="7" t="n">
        <v>0</v>
      </c>
      <c r="BC67" s="7" t="n">
        <v>0</v>
      </c>
      <c r="BD67" s="7" t="n">
        <v>0</v>
      </c>
      <c r="BE67" s="7" t="n">
        <v>0</v>
      </c>
      <c r="BF67" s="7" t="n">
        <v>1</v>
      </c>
      <c r="BG67" s="7" t="n">
        <v>0</v>
      </c>
      <c r="BH67" s="7" t="n">
        <v>0</v>
      </c>
      <c r="BI67" s="7" t="n">
        <v>0</v>
      </c>
      <c r="BJ67" s="7" t="n">
        <v>0</v>
      </c>
      <c r="BR67" s="54"/>
    </row>
    <row r="68" customFormat="false" ht="13.8" hidden="false" customHeight="false" outlineLevel="0" collapsed="false">
      <c r="H68" s="1" t="s">
        <v>76</v>
      </c>
      <c r="M68" s="8" t="s">
        <v>66</v>
      </c>
      <c r="AH68" s="0"/>
      <c r="AI68" s="0"/>
      <c r="AJ68" s="11" t="n">
        <v>9</v>
      </c>
      <c r="AK68" s="17" t="n">
        <v>0</v>
      </c>
      <c r="AL68" s="17" t="n">
        <v>0</v>
      </c>
      <c r="AM68" s="17" t="n">
        <v>0</v>
      </c>
      <c r="AN68" s="17" t="n">
        <v>0</v>
      </c>
      <c r="AO68" s="17" t="n">
        <v>0</v>
      </c>
      <c r="AP68" s="17" t="n">
        <v>0</v>
      </c>
      <c r="AQ68" s="17" t="n">
        <v>0</v>
      </c>
      <c r="AR68" s="17" t="n">
        <v>0</v>
      </c>
      <c r="AS68" s="17" t="n">
        <v>1</v>
      </c>
      <c r="AT68" s="17" t="n">
        <v>0</v>
      </c>
      <c r="AU68" s="17" t="n">
        <v>0</v>
      </c>
      <c r="AV68" s="17" t="n">
        <v>0</v>
      </c>
      <c r="AW68" s="0"/>
      <c r="AX68" s="11" t="n">
        <v>9</v>
      </c>
      <c r="AY68" s="7" t="n">
        <v>0</v>
      </c>
      <c r="AZ68" s="7" t="n">
        <v>0</v>
      </c>
      <c r="BA68" s="7" t="n">
        <v>0</v>
      </c>
      <c r="BB68" s="7" t="n">
        <v>0</v>
      </c>
      <c r="BC68" s="7" t="n">
        <v>0</v>
      </c>
      <c r="BD68" s="7" t="n">
        <v>0</v>
      </c>
      <c r="BE68" s="7" t="n">
        <v>0</v>
      </c>
      <c r="BF68" s="7" t="n">
        <v>0</v>
      </c>
      <c r="BG68" s="7" t="n">
        <v>1</v>
      </c>
      <c r="BH68" s="7" t="n">
        <v>0</v>
      </c>
      <c r="BI68" s="7" t="n">
        <v>0</v>
      </c>
      <c r="BJ68" s="7" t="n">
        <v>0</v>
      </c>
      <c r="BR68" s="54"/>
    </row>
    <row r="69" customFormat="false" ht="12" hidden="false" customHeight="true" outlineLevel="0" collapsed="false">
      <c r="H69" s="1" t="s">
        <v>77</v>
      </c>
      <c r="M69" s="8" t="s">
        <v>70</v>
      </c>
      <c r="N69" s="1" t="n">
        <f aca="false">6*I66*I67/E6^3*I64</f>
        <v>3.75</v>
      </c>
      <c r="O69" s="1" t="n">
        <f aca="false">-6*I66*I67/E6^3*I64</f>
        <v>-3.75</v>
      </c>
      <c r="AH69" s="0"/>
      <c r="AI69" s="0"/>
      <c r="AJ69" s="11" t="n">
        <v>10</v>
      </c>
      <c r="AK69" s="17" t="n">
        <v>0</v>
      </c>
      <c r="AL69" s="17" t="n">
        <v>0</v>
      </c>
      <c r="AM69" s="17" t="n">
        <v>0</v>
      </c>
      <c r="AN69" s="17" t="n">
        <v>0</v>
      </c>
      <c r="AO69" s="17" t="n">
        <v>0</v>
      </c>
      <c r="AP69" s="17" t="n">
        <v>0</v>
      </c>
      <c r="AQ69" s="17" t="n">
        <v>0</v>
      </c>
      <c r="AR69" s="17" t="n">
        <v>0</v>
      </c>
      <c r="AS69" s="17" t="n">
        <v>0</v>
      </c>
      <c r="AT69" s="17" t="n">
        <f aca="false">AG62</f>
        <v>1</v>
      </c>
      <c r="AU69" s="17" t="n">
        <f aca="false">AH62</f>
        <v>0</v>
      </c>
      <c r="AV69" s="17" t="n">
        <v>0</v>
      </c>
      <c r="AW69" s="0"/>
      <c r="AX69" s="11" t="n">
        <v>10</v>
      </c>
      <c r="AY69" s="7" t="n">
        <v>0</v>
      </c>
      <c r="AZ69" s="7" t="n">
        <v>0</v>
      </c>
      <c r="BA69" s="7" t="n">
        <v>0</v>
      </c>
      <c r="BB69" s="7" t="n">
        <v>0</v>
      </c>
      <c r="BC69" s="7" t="n">
        <v>0</v>
      </c>
      <c r="BD69" s="7" t="n">
        <v>0</v>
      </c>
      <c r="BE69" s="7" t="n">
        <v>0</v>
      </c>
      <c r="BF69" s="7" t="n">
        <v>0</v>
      </c>
      <c r="BG69" s="7" t="n">
        <v>0</v>
      </c>
      <c r="BH69" s="7" t="n">
        <v>1</v>
      </c>
      <c r="BI69" s="7" t="n">
        <v>-0</v>
      </c>
      <c r="BJ69" s="7" t="n">
        <v>0</v>
      </c>
      <c r="BR69" s="54"/>
    </row>
    <row r="70" customFormat="false" ht="13.8" hidden="false" customHeight="false" outlineLevel="0" collapsed="false">
      <c r="E70" s="15"/>
      <c r="M70" s="55" t="s">
        <v>73</v>
      </c>
      <c r="N70" s="1" t="n">
        <f aca="false">I67*(2*I66-I67)/E6^2*I64</f>
        <v>2500</v>
      </c>
      <c r="O70" s="1" t="n">
        <f aca="false">I66*(2*I67-I66)/E6^2*I64</f>
        <v>2500</v>
      </c>
      <c r="AG70" s="2"/>
      <c r="AH70" s="0"/>
      <c r="AI70" s="0"/>
      <c r="AJ70" s="11" t="n">
        <v>11</v>
      </c>
      <c r="AK70" s="17" t="n">
        <v>0</v>
      </c>
      <c r="AL70" s="17" t="n">
        <v>0</v>
      </c>
      <c r="AM70" s="17" t="n">
        <v>0</v>
      </c>
      <c r="AN70" s="17" t="n">
        <v>0</v>
      </c>
      <c r="AO70" s="17" t="n">
        <v>0</v>
      </c>
      <c r="AP70" s="17" t="n">
        <v>0</v>
      </c>
      <c r="AQ70" s="17" t="n">
        <v>0</v>
      </c>
      <c r="AR70" s="17" t="n">
        <v>0</v>
      </c>
      <c r="AS70" s="17" t="n">
        <v>0</v>
      </c>
      <c r="AT70" s="17" t="n">
        <f aca="false">-AH62</f>
        <v>-0</v>
      </c>
      <c r="AU70" s="17" t="n">
        <f aca="false">AG62</f>
        <v>1</v>
      </c>
      <c r="AV70" s="17" t="n">
        <v>0</v>
      </c>
      <c r="AW70" s="0"/>
      <c r="AX70" s="11" t="n">
        <v>11</v>
      </c>
      <c r="AY70" s="7" t="n">
        <v>0</v>
      </c>
      <c r="AZ70" s="7" t="n">
        <v>0</v>
      </c>
      <c r="BA70" s="7" t="n">
        <v>0</v>
      </c>
      <c r="BB70" s="7" t="n">
        <v>0</v>
      </c>
      <c r="BC70" s="7" t="n">
        <v>0</v>
      </c>
      <c r="BD70" s="7" t="n">
        <v>0</v>
      </c>
      <c r="BE70" s="7" t="n">
        <v>0</v>
      </c>
      <c r="BF70" s="7" t="n">
        <v>0</v>
      </c>
      <c r="BG70" s="7" t="n">
        <v>0</v>
      </c>
      <c r="BH70" s="7" t="n">
        <v>0</v>
      </c>
      <c r="BI70" s="7" t="n">
        <v>1</v>
      </c>
      <c r="BJ70" s="7" t="n">
        <v>0</v>
      </c>
    </row>
    <row r="71" customFormat="false" ht="13.8" hidden="false" customHeight="false" outlineLevel="0" collapsed="false">
      <c r="AG71" s="2"/>
      <c r="AH71" s="0"/>
      <c r="AI71" s="0"/>
      <c r="AJ71" s="11" t="n">
        <v>12</v>
      </c>
      <c r="AK71" s="17" t="n">
        <v>0</v>
      </c>
      <c r="AL71" s="17" t="n">
        <v>0</v>
      </c>
      <c r="AM71" s="17" t="n">
        <v>0</v>
      </c>
      <c r="AN71" s="17" t="n">
        <v>0</v>
      </c>
      <c r="AO71" s="17" t="n">
        <v>0</v>
      </c>
      <c r="AP71" s="17" t="n">
        <v>0</v>
      </c>
      <c r="AQ71" s="17" t="n">
        <v>0</v>
      </c>
      <c r="AR71" s="17" t="n">
        <v>0</v>
      </c>
      <c r="AS71" s="17" t="n">
        <v>0</v>
      </c>
      <c r="AT71" s="17" t="n">
        <v>0</v>
      </c>
      <c r="AU71" s="17" t="n">
        <v>0</v>
      </c>
      <c r="AV71" s="17" t="n">
        <v>1</v>
      </c>
      <c r="AW71" s="0"/>
      <c r="AX71" s="11" t="n">
        <v>12</v>
      </c>
      <c r="AY71" s="7" t="n">
        <v>0</v>
      </c>
      <c r="AZ71" s="7" t="n">
        <v>0</v>
      </c>
      <c r="BA71" s="7" t="n">
        <v>0</v>
      </c>
      <c r="BB71" s="7" t="n">
        <v>0</v>
      </c>
      <c r="BC71" s="7" t="n">
        <v>0</v>
      </c>
      <c r="BD71" s="7" t="n">
        <v>0</v>
      </c>
      <c r="BE71" s="7" t="n">
        <v>0</v>
      </c>
      <c r="BF71" s="7" t="n">
        <v>0</v>
      </c>
      <c r="BG71" s="7" t="n">
        <v>0</v>
      </c>
      <c r="BH71" s="7" t="n">
        <v>0</v>
      </c>
      <c r="BI71" s="7" t="n">
        <v>0</v>
      </c>
      <c r="BJ71" s="7" t="n">
        <v>1</v>
      </c>
    </row>
    <row r="72" customFormat="false" ht="12" hidden="false" customHeight="true" outlineLevel="0" collapsed="false">
      <c r="H72" s="1" t="s">
        <v>80</v>
      </c>
      <c r="M72" s="8" t="s">
        <v>66</v>
      </c>
      <c r="AJ72" s="0"/>
      <c r="AK72" s="0"/>
      <c r="AL72" s="0"/>
      <c r="AM72" s="0"/>
      <c r="AN72" s="0"/>
      <c r="AO72" s="0"/>
      <c r="AP72" s="0"/>
      <c r="AQ72" s="0"/>
      <c r="AR72" s="0"/>
      <c r="AS72" s="0"/>
      <c r="AT72" s="0"/>
      <c r="AU72" s="0"/>
      <c r="AV72" s="0"/>
      <c r="AW72" s="0"/>
      <c r="AX72" s="0"/>
      <c r="AY72" s="0"/>
      <c r="AZ72" s="0"/>
      <c r="BA72" s="0"/>
      <c r="BB72" s="0"/>
      <c r="BC72" s="0"/>
      <c r="BD72" s="0"/>
      <c r="BE72" s="0"/>
      <c r="BF72" s="0"/>
      <c r="BG72" s="0"/>
      <c r="BH72" s="0"/>
      <c r="BI72" s="0"/>
      <c r="BJ72" s="0"/>
    </row>
    <row r="73" customFormat="false" ht="15" hidden="false" customHeight="true" outlineLevel="0" collapsed="false">
      <c r="H73" s="1" t="s">
        <v>81</v>
      </c>
      <c r="M73" s="8" t="s">
        <v>70</v>
      </c>
      <c r="AH73" s="0"/>
      <c r="AI73" s="0"/>
      <c r="AJ73" s="2" t="s">
        <v>135</v>
      </c>
      <c r="AL73" s="0"/>
      <c r="AM73" s="0"/>
      <c r="AN73" s="0"/>
      <c r="AO73" s="0"/>
      <c r="AP73" s="0"/>
      <c r="AQ73" s="0"/>
      <c r="AR73" s="0"/>
      <c r="AS73" s="0"/>
      <c r="AT73" s="0"/>
      <c r="AU73" s="0"/>
      <c r="AV73" s="0"/>
      <c r="AW73" s="0"/>
      <c r="AX73" s="0"/>
      <c r="AY73" s="0"/>
      <c r="BB73" s="7"/>
      <c r="BK73" s="2"/>
    </row>
    <row r="74" customFormat="false" ht="13.8" hidden="false" customHeight="false" outlineLevel="0" collapsed="false">
      <c r="M74" s="55" t="s">
        <v>73</v>
      </c>
      <c r="AH74" s="0"/>
      <c r="AI74" s="0"/>
      <c r="AJ74" s="10"/>
      <c r="AK74" s="11" t="n">
        <v>1</v>
      </c>
      <c r="AL74" s="11" t="n">
        <v>2</v>
      </c>
      <c r="AM74" s="11" t="n">
        <v>3</v>
      </c>
      <c r="AN74" s="11" t="n">
        <v>4</v>
      </c>
      <c r="AO74" s="11" t="n">
        <v>5</v>
      </c>
      <c r="AP74" s="11" t="n">
        <v>6</v>
      </c>
      <c r="AQ74" s="11" t="n">
        <v>7</v>
      </c>
      <c r="AR74" s="11" t="n">
        <v>8</v>
      </c>
      <c r="AS74" s="11" t="n">
        <v>9</v>
      </c>
      <c r="AT74" s="11" t="n">
        <v>10</v>
      </c>
      <c r="AU74" s="11" t="n">
        <v>11</v>
      </c>
      <c r="AV74" s="11" t="n">
        <v>12</v>
      </c>
      <c r="AW74" s="0"/>
      <c r="AX74" s="0"/>
      <c r="AY74" s="0"/>
      <c r="AZ74" s="20"/>
      <c r="BB74" s="20"/>
      <c r="BE74" s="20"/>
      <c r="BK74" s="42"/>
      <c r="BL74" s="42"/>
      <c r="BM74" s="42"/>
      <c r="BN74" s="42"/>
      <c r="BO74" s="42"/>
      <c r="BP74" s="42"/>
      <c r="BR74" s="45"/>
      <c r="BT74" s="7"/>
      <c r="BV74" s="58"/>
    </row>
    <row r="75" customFormat="false" ht="13.8" hidden="false" customHeight="false" outlineLevel="0" collapsed="false">
      <c r="G75" s="59"/>
      <c r="M75" s="8"/>
      <c r="AH75" s="0"/>
      <c r="AI75" s="0"/>
      <c r="AJ75" s="11" t="n">
        <v>1</v>
      </c>
      <c r="AK75" s="12" t="n">
        <f aca="false" t="array" ref="AK75:AV86">MMULT(AK43:AV54,AY60:BJ71)</f>
        <v>328.125</v>
      </c>
      <c r="AL75" s="12" t="n">
        <v>3.21268866160695E-011</v>
      </c>
      <c r="AM75" s="12" t="n">
        <v>-656250</v>
      </c>
      <c r="AN75" s="12" t="n">
        <v>-328.125</v>
      </c>
      <c r="AO75" s="12" t="n">
        <v>-3.21268866160695E-011</v>
      </c>
      <c r="AP75" s="12" t="n">
        <v>-656250</v>
      </c>
      <c r="AQ75" s="21" t="n">
        <v>0</v>
      </c>
      <c r="AR75" s="21" t="n">
        <v>0</v>
      </c>
      <c r="AS75" s="21" t="n">
        <v>0</v>
      </c>
      <c r="AT75" s="21" t="n">
        <v>0</v>
      </c>
      <c r="AU75" s="21" t="n">
        <v>0</v>
      </c>
      <c r="AV75" s="21" t="n">
        <v>0</v>
      </c>
      <c r="AW75" s="0"/>
      <c r="AX75" s="0"/>
      <c r="AY75" s="0"/>
      <c r="AZ75" s="20"/>
      <c r="BB75" s="20"/>
      <c r="BE75" s="20"/>
      <c r="BK75" s="42"/>
      <c r="BL75" s="42"/>
      <c r="BM75" s="42"/>
      <c r="BN75" s="42"/>
      <c r="BO75" s="42"/>
      <c r="BP75" s="42"/>
      <c r="BR75" s="45"/>
      <c r="BT75" s="7"/>
      <c r="BV75" s="58"/>
    </row>
    <row r="76" customFormat="false" ht="13.8" hidden="false" customHeight="false" outlineLevel="0" collapsed="false">
      <c r="F76" s="1" t="s">
        <v>82</v>
      </c>
      <c r="M76" s="8"/>
      <c r="AH76" s="0"/>
      <c r="AI76" s="0"/>
      <c r="AJ76" s="11" t="n">
        <v>2</v>
      </c>
      <c r="AK76" s="12" t="n">
        <v>3.21268866160695E-011</v>
      </c>
      <c r="AL76" s="12" t="n">
        <v>525000</v>
      </c>
      <c r="AM76" s="12" t="n">
        <v>4.01837230970225E-011</v>
      </c>
      <c r="AN76" s="12" t="n">
        <v>-3.21268866160695E-011</v>
      </c>
      <c r="AO76" s="12" t="n">
        <v>-525000</v>
      </c>
      <c r="AP76" s="12" t="n">
        <v>4.01837230970225E-011</v>
      </c>
      <c r="AQ76" s="21" t="n">
        <v>0</v>
      </c>
      <c r="AR76" s="21" t="n">
        <v>0</v>
      </c>
      <c r="AS76" s="21" t="n">
        <v>0</v>
      </c>
      <c r="AT76" s="21" t="n">
        <v>0</v>
      </c>
      <c r="AU76" s="21" t="n">
        <v>0</v>
      </c>
      <c r="AV76" s="21" t="n">
        <v>0</v>
      </c>
      <c r="AW76" s="0"/>
      <c r="AX76" s="0"/>
      <c r="AY76" s="0"/>
      <c r="AZ76" s="20"/>
      <c r="BB76" s="20"/>
      <c r="BE76" s="20"/>
      <c r="BK76" s="42"/>
      <c r="BL76" s="42"/>
      <c r="BM76" s="42"/>
      <c r="BN76" s="42"/>
      <c r="BO76" s="42"/>
      <c r="BP76" s="42"/>
      <c r="BQ76" s="7"/>
      <c r="BR76" s="45"/>
      <c r="BS76" s="7"/>
      <c r="BT76" s="7"/>
      <c r="BU76" s="7"/>
      <c r="BV76" s="58"/>
    </row>
    <row r="77" customFormat="false" ht="13.8" hidden="false" customHeight="false" outlineLevel="0" collapsed="false">
      <c r="M77" s="55"/>
      <c r="AH77" s="0"/>
      <c r="AI77" s="0"/>
      <c r="AJ77" s="11" t="n">
        <v>3</v>
      </c>
      <c r="AK77" s="12" t="n">
        <v>-656250</v>
      </c>
      <c r="AL77" s="12" t="n">
        <v>4.01837230970225E-011</v>
      </c>
      <c r="AM77" s="12" t="n">
        <v>1750000000</v>
      </c>
      <c r="AN77" s="12" t="n">
        <v>656250</v>
      </c>
      <c r="AO77" s="12" t="n">
        <v>-4.01837230970225E-011</v>
      </c>
      <c r="AP77" s="12" t="n">
        <v>875000000</v>
      </c>
      <c r="AQ77" s="21" t="n">
        <v>0</v>
      </c>
      <c r="AR77" s="21" t="n">
        <v>0</v>
      </c>
      <c r="AS77" s="21" t="n">
        <v>0</v>
      </c>
      <c r="AT77" s="21" t="n">
        <v>0</v>
      </c>
      <c r="AU77" s="21" t="n">
        <v>0</v>
      </c>
      <c r="AV77" s="21" t="n">
        <v>0</v>
      </c>
      <c r="AW77" s="0"/>
      <c r="AX77" s="0"/>
      <c r="AY77" s="0"/>
      <c r="AZ77" s="60"/>
      <c r="BB77" s="7"/>
      <c r="BE77" s="7"/>
      <c r="BK77" s="42"/>
      <c r="BL77" s="42"/>
      <c r="BM77" s="42"/>
      <c r="BN77" s="42"/>
      <c r="BO77" s="42"/>
      <c r="BP77" s="42"/>
      <c r="BR77" s="45"/>
      <c r="BT77" s="7"/>
      <c r="BV77" s="58"/>
    </row>
    <row r="78" customFormat="false" ht="13.8" hidden="false" customHeight="false" outlineLevel="0" collapsed="false">
      <c r="AH78" s="0"/>
      <c r="AI78" s="0"/>
      <c r="AJ78" s="11" t="n">
        <v>4</v>
      </c>
      <c r="AK78" s="12" t="n">
        <v>-328.125</v>
      </c>
      <c r="AL78" s="12" t="n">
        <v>-3.21268866160695E-011</v>
      </c>
      <c r="AM78" s="12" t="n">
        <v>656250</v>
      </c>
      <c r="AN78" s="39" t="n">
        <v>700328.125</v>
      </c>
      <c r="AO78" s="39" t="n">
        <v>3.21268866160695E-011</v>
      </c>
      <c r="AP78" s="39" t="n">
        <v>656250</v>
      </c>
      <c r="AQ78" s="17" t="n">
        <v>0</v>
      </c>
      <c r="AR78" s="21" t="n">
        <v>0</v>
      </c>
      <c r="AS78" s="21" t="n">
        <v>0</v>
      </c>
      <c r="AT78" s="24" t="n">
        <v>-700000</v>
      </c>
      <c r="AU78" s="16" t="n">
        <v>0</v>
      </c>
      <c r="AV78" s="16" t="n">
        <v>0</v>
      </c>
      <c r="AW78" s="0"/>
      <c r="AX78" s="0"/>
      <c r="AY78" s="0"/>
      <c r="AZ78" s="7"/>
      <c r="BB78" s="7"/>
      <c r="BE78" s="20"/>
      <c r="BK78" s="42"/>
      <c r="BL78" s="42"/>
      <c r="BM78" s="42"/>
      <c r="BN78" s="42"/>
      <c r="BO78" s="42"/>
      <c r="BP78" s="42"/>
      <c r="BR78" s="45"/>
      <c r="BT78" s="7"/>
      <c r="BV78" s="58"/>
    </row>
    <row r="79" customFormat="false" ht="13.8" hidden="false" customHeight="false" outlineLevel="0" collapsed="false">
      <c r="AH79" s="0"/>
      <c r="AI79" s="0"/>
      <c r="AJ79" s="11" t="n">
        <v>5</v>
      </c>
      <c r="AK79" s="12" t="n">
        <v>-3.21268866160695E-011</v>
      </c>
      <c r="AL79" s="12" t="n">
        <v>-525000</v>
      </c>
      <c r="AM79" s="12" t="n">
        <v>-4.01837230970225E-011</v>
      </c>
      <c r="AN79" s="39" t="n">
        <v>3.21268866160695E-011</v>
      </c>
      <c r="AO79" s="39" t="n">
        <v>525777.777777778</v>
      </c>
      <c r="AP79" s="39" t="n">
        <v>2333333.33333333</v>
      </c>
      <c r="AQ79" s="17" t="n">
        <v>0</v>
      </c>
      <c r="AR79" s="21" t="n">
        <v>0</v>
      </c>
      <c r="AS79" s="21" t="n">
        <v>0</v>
      </c>
      <c r="AT79" s="24" t="n">
        <v>0</v>
      </c>
      <c r="AU79" s="16" t="n">
        <v>-777.777777777778</v>
      </c>
      <c r="AV79" s="16" t="n">
        <v>2333333.33333333</v>
      </c>
      <c r="AW79" s="0"/>
      <c r="AX79" s="0"/>
      <c r="AY79" s="0"/>
      <c r="AZ79" s="60"/>
      <c r="BA79" s="7"/>
      <c r="BB79" s="7"/>
      <c r="BC79" s="46"/>
      <c r="BD79" s="46"/>
      <c r="BE79" s="20"/>
      <c r="BK79" s="42"/>
      <c r="BL79" s="42"/>
      <c r="BM79" s="42"/>
      <c r="BN79" s="42"/>
      <c r="BO79" s="42"/>
      <c r="BP79" s="42"/>
      <c r="BR79" s="45"/>
      <c r="BT79" s="7"/>
      <c r="BV79" s="58"/>
    </row>
    <row r="80" customFormat="false" ht="13.8" hidden="false" customHeight="false" outlineLevel="0" collapsed="false">
      <c r="AH80" s="0"/>
      <c r="AI80" s="0"/>
      <c r="AJ80" s="11" t="n">
        <v>6</v>
      </c>
      <c r="AK80" s="12" t="n">
        <v>-656250</v>
      </c>
      <c r="AL80" s="12" t="n">
        <v>4.01837230970225E-011</v>
      </c>
      <c r="AM80" s="12" t="n">
        <v>875000000</v>
      </c>
      <c r="AN80" s="39" t="n">
        <v>656250</v>
      </c>
      <c r="AO80" s="39" t="n">
        <v>2333333.33333333</v>
      </c>
      <c r="AP80" s="39" t="n">
        <v>11083333333.3333</v>
      </c>
      <c r="AQ80" s="21" t="n">
        <v>0</v>
      </c>
      <c r="AR80" s="21" t="n">
        <v>0</v>
      </c>
      <c r="AS80" s="21" t="n">
        <v>0</v>
      </c>
      <c r="AT80" s="24" t="n">
        <v>0</v>
      </c>
      <c r="AU80" s="24" t="n">
        <v>-2333333.33333333</v>
      </c>
      <c r="AV80" s="24" t="n">
        <v>4666666666.66667</v>
      </c>
      <c r="AW80" s="0"/>
      <c r="AX80" s="0"/>
      <c r="AY80" s="0"/>
      <c r="AZ80" s="60"/>
      <c r="BA80" s="7"/>
      <c r="BB80" s="7"/>
      <c r="BC80" s="46"/>
      <c r="BD80" s="46"/>
      <c r="BE80" s="20"/>
    </row>
    <row r="81" customFormat="false" ht="13.8" hidden="false" customHeight="false" outlineLevel="0" collapsed="false">
      <c r="AH81" s="0"/>
      <c r="AI81" s="0"/>
      <c r="AJ81" s="11" t="n">
        <v>7</v>
      </c>
      <c r="AK81" s="21" t="n">
        <v>0</v>
      </c>
      <c r="AL81" s="21" t="n">
        <v>0</v>
      </c>
      <c r="AM81" s="21" t="n">
        <v>0</v>
      </c>
      <c r="AN81" s="17" t="n">
        <v>0</v>
      </c>
      <c r="AO81" s="17" t="n">
        <v>0</v>
      </c>
      <c r="AP81" s="21" t="n">
        <v>0</v>
      </c>
      <c r="AQ81" s="31" t="n">
        <v>328.125</v>
      </c>
      <c r="AR81" s="26" t="n">
        <v>3.21268866160695E-011</v>
      </c>
      <c r="AS81" s="26" t="n">
        <v>-656250</v>
      </c>
      <c r="AT81" s="26" t="n">
        <v>-328.125</v>
      </c>
      <c r="AU81" s="31" t="n">
        <v>-3.21268866160695E-011</v>
      </c>
      <c r="AV81" s="31" t="n">
        <v>-656250</v>
      </c>
      <c r="AW81" s="0"/>
      <c r="AX81" s="0"/>
      <c r="AY81" s="0"/>
      <c r="AZ81" s="7"/>
      <c r="BB81" s="20"/>
      <c r="BE81" s="20"/>
      <c r="BK81" s="2"/>
    </row>
    <row r="82" customFormat="false" ht="13.8" hidden="false" customHeight="false" outlineLevel="0" collapsed="false">
      <c r="AH82" s="0"/>
      <c r="AI82" s="0"/>
      <c r="AJ82" s="11" t="n">
        <v>8</v>
      </c>
      <c r="AK82" s="21" t="n">
        <v>0</v>
      </c>
      <c r="AL82" s="21" t="n">
        <v>0</v>
      </c>
      <c r="AM82" s="21" t="n">
        <v>0</v>
      </c>
      <c r="AN82" s="21" t="n">
        <v>0</v>
      </c>
      <c r="AO82" s="21" t="n">
        <v>0</v>
      </c>
      <c r="AP82" s="21" t="n">
        <v>0</v>
      </c>
      <c r="AQ82" s="26" t="n">
        <v>3.21268866160695E-011</v>
      </c>
      <c r="AR82" s="31" t="n">
        <v>525000</v>
      </c>
      <c r="AS82" s="31" t="n">
        <v>4.01837230970225E-011</v>
      </c>
      <c r="AT82" s="31" t="n">
        <v>-3.21268866160695E-011</v>
      </c>
      <c r="AU82" s="31" t="n">
        <v>-525000</v>
      </c>
      <c r="AV82" s="31" t="n">
        <v>4.01837230970225E-011</v>
      </c>
      <c r="AW82" s="0"/>
      <c r="AX82" s="0"/>
      <c r="AY82" s="0"/>
      <c r="AZ82" s="7"/>
      <c r="BB82" s="20"/>
      <c r="BE82" s="20"/>
      <c r="BK82" s="21"/>
      <c r="BL82" s="21"/>
      <c r="BM82" s="21"/>
      <c r="BN82" s="21"/>
      <c r="BO82" s="21"/>
      <c r="BP82" s="21"/>
      <c r="BR82" s="45"/>
      <c r="BT82" s="42"/>
      <c r="BV82" s="7"/>
      <c r="BY82" s="48"/>
      <c r="CA82" s="49"/>
    </row>
    <row r="83" customFormat="false" ht="13.8" hidden="false" customHeight="false" outlineLevel="0" collapsed="false">
      <c r="AH83" s="0"/>
      <c r="AI83" s="0"/>
      <c r="AJ83" s="11" t="n">
        <v>9</v>
      </c>
      <c r="AK83" s="21" t="n">
        <v>0</v>
      </c>
      <c r="AL83" s="21" t="n">
        <v>0</v>
      </c>
      <c r="AM83" s="21" t="n">
        <v>0</v>
      </c>
      <c r="AN83" s="21" t="n">
        <v>0</v>
      </c>
      <c r="AO83" s="21" t="n">
        <v>0</v>
      </c>
      <c r="AP83" s="21" t="n">
        <v>0</v>
      </c>
      <c r="AQ83" s="26" t="n">
        <v>-656250</v>
      </c>
      <c r="AR83" s="31" t="n">
        <v>4.01837230970225E-011</v>
      </c>
      <c r="AS83" s="31" t="n">
        <v>1750000000</v>
      </c>
      <c r="AT83" s="31" t="n">
        <v>656250</v>
      </c>
      <c r="AU83" s="31" t="n">
        <v>-4.01837230970225E-011</v>
      </c>
      <c r="AV83" s="31" t="n">
        <v>875000000</v>
      </c>
      <c r="AW83" s="0"/>
      <c r="AX83" s="0"/>
      <c r="AY83" s="0"/>
      <c r="AZ83" s="20"/>
      <c r="BB83" s="20"/>
      <c r="BE83" s="20"/>
      <c r="BK83" s="21"/>
      <c r="BL83" s="21"/>
      <c r="BM83" s="21"/>
      <c r="BN83" s="21"/>
      <c r="BO83" s="21"/>
      <c r="BP83" s="21"/>
      <c r="BR83" s="45"/>
      <c r="BT83" s="21"/>
      <c r="BV83" s="7"/>
      <c r="BY83" s="48"/>
      <c r="CA83" s="49"/>
      <c r="CE83" s="52"/>
    </row>
    <row r="84" customFormat="false" ht="12" hidden="false" customHeight="true" outlineLevel="0" collapsed="false">
      <c r="AH84" s="0"/>
      <c r="AI84" s="0"/>
      <c r="AJ84" s="11" t="n">
        <v>10</v>
      </c>
      <c r="AK84" s="21" t="n">
        <v>0</v>
      </c>
      <c r="AL84" s="21" t="n">
        <v>0</v>
      </c>
      <c r="AM84" s="21" t="n">
        <v>0</v>
      </c>
      <c r="AN84" s="24" t="n">
        <v>-700000</v>
      </c>
      <c r="AO84" s="24" t="n">
        <v>0</v>
      </c>
      <c r="AP84" s="24" t="n">
        <v>0</v>
      </c>
      <c r="AQ84" s="26" t="n">
        <v>-328.125</v>
      </c>
      <c r="AR84" s="31" t="n">
        <v>-3.21268866160695E-011</v>
      </c>
      <c r="AS84" s="31" t="n">
        <v>656250</v>
      </c>
      <c r="AT84" s="43" t="n">
        <v>700328.125</v>
      </c>
      <c r="AU84" s="43" t="n">
        <v>3.21268866160695E-011</v>
      </c>
      <c r="AV84" s="43" t="n">
        <v>656250</v>
      </c>
      <c r="AW84" s="0"/>
      <c r="AX84" s="0"/>
      <c r="AY84" s="0"/>
      <c r="AZ84" s="20"/>
      <c r="BB84" s="20"/>
      <c r="BE84" s="20"/>
      <c r="BK84" s="21"/>
      <c r="BL84" s="21"/>
      <c r="BM84" s="21"/>
      <c r="BN84" s="21"/>
      <c r="BO84" s="21"/>
      <c r="BP84" s="21"/>
      <c r="BQ84" s="7"/>
      <c r="BR84" s="45"/>
      <c r="BS84" s="7"/>
      <c r="BT84" s="21"/>
      <c r="BU84" s="7"/>
      <c r="BV84" s="7"/>
      <c r="BW84" s="7"/>
      <c r="BX84" s="7"/>
      <c r="BY84" s="48"/>
      <c r="BZ84" s="7"/>
      <c r="CA84" s="49"/>
    </row>
    <row r="85" customFormat="false" ht="13.8" hidden="false" customHeight="false" outlineLevel="0" collapsed="false">
      <c r="AH85" s="0"/>
      <c r="AI85" s="0"/>
      <c r="AJ85" s="11" t="n">
        <v>11</v>
      </c>
      <c r="AK85" s="21" t="n">
        <v>0</v>
      </c>
      <c r="AL85" s="21" t="n">
        <v>0</v>
      </c>
      <c r="AM85" s="21" t="n">
        <v>0</v>
      </c>
      <c r="AN85" s="16" t="n">
        <v>0</v>
      </c>
      <c r="AO85" s="16" t="n">
        <v>-777.777777777778</v>
      </c>
      <c r="AP85" s="24" t="n">
        <v>-2333333.33333333</v>
      </c>
      <c r="AQ85" s="31" t="n">
        <v>-3.21268866160695E-011</v>
      </c>
      <c r="AR85" s="31" t="n">
        <v>-525000</v>
      </c>
      <c r="AS85" s="31" t="n">
        <v>-4.01837230970225E-011</v>
      </c>
      <c r="AT85" s="43" t="n">
        <v>3.21268866160695E-011</v>
      </c>
      <c r="AU85" s="43" t="n">
        <v>525777.777777778</v>
      </c>
      <c r="AV85" s="43" t="n">
        <v>-2333333.33333333</v>
      </c>
      <c r="AW85" s="0"/>
      <c r="AX85" s="0"/>
      <c r="AY85" s="0"/>
      <c r="AZ85" s="7"/>
      <c r="BB85" s="7"/>
      <c r="BE85" s="20"/>
      <c r="BK85" s="21"/>
      <c r="BL85" s="21"/>
      <c r="BM85" s="21"/>
      <c r="BN85" s="21"/>
      <c r="BO85" s="21"/>
      <c r="BP85" s="21"/>
      <c r="BR85" s="45"/>
      <c r="BT85" s="42"/>
      <c r="BV85" s="7"/>
      <c r="BY85" s="48"/>
      <c r="CA85" s="49"/>
    </row>
    <row r="86" customFormat="false" ht="13.8" hidden="false" customHeight="false" outlineLevel="0" collapsed="false">
      <c r="AH86" s="0"/>
      <c r="AI86" s="0"/>
      <c r="AJ86" s="11" t="n">
        <v>12</v>
      </c>
      <c r="AK86" s="21" t="n">
        <v>0</v>
      </c>
      <c r="AL86" s="21" t="n">
        <v>0</v>
      </c>
      <c r="AM86" s="21" t="n">
        <v>0</v>
      </c>
      <c r="AN86" s="16" t="n">
        <v>0</v>
      </c>
      <c r="AO86" s="16" t="n">
        <v>2333333.33333333</v>
      </c>
      <c r="AP86" s="24" t="n">
        <v>4666666666.66667</v>
      </c>
      <c r="AQ86" s="31" t="n">
        <v>-656250</v>
      </c>
      <c r="AR86" s="31" t="n">
        <v>4.01837230970225E-011</v>
      </c>
      <c r="AS86" s="31" t="n">
        <v>875000000</v>
      </c>
      <c r="AT86" s="43" t="n">
        <v>656250</v>
      </c>
      <c r="AU86" s="43" t="n">
        <v>-2333333.33333333</v>
      </c>
      <c r="AV86" s="43" t="n">
        <v>11083333333.3333</v>
      </c>
      <c r="AW86" s="0"/>
      <c r="AX86" s="0"/>
      <c r="AY86" s="0"/>
      <c r="AZ86" s="7"/>
      <c r="BB86" s="7"/>
      <c r="BE86" s="20"/>
      <c r="BK86" s="21"/>
      <c r="BL86" s="21"/>
      <c r="BM86" s="21"/>
      <c r="BN86" s="21"/>
      <c r="BO86" s="21"/>
      <c r="BP86" s="21"/>
      <c r="BR86" s="45"/>
      <c r="BT86" s="21"/>
      <c r="BV86" s="7"/>
      <c r="BY86" s="48"/>
      <c r="CA86" s="49"/>
    </row>
    <row r="87" customFormat="false" ht="13.8" hidden="false" customHeight="false" outlineLevel="0" collapsed="false">
      <c r="AJ87" s="0"/>
      <c r="AK87" s="0"/>
      <c r="AL87" s="0"/>
      <c r="AM87" s="0"/>
      <c r="AN87" s="0"/>
      <c r="AO87" s="0"/>
      <c r="AP87" s="0"/>
      <c r="AQ87" s="0"/>
      <c r="AR87" s="0"/>
      <c r="AS87" s="0"/>
      <c r="AT87" s="0"/>
      <c r="AU87" s="0"/>
      <c r="AV87" s="0"/>
      <c r="AW87" s="0"/>
      <c r="AX87" s="0"/>
      <c r="AY87" s="0"/>
      <c r="AZ87" s="7"/>
      <c r="BB87" s="7"/>
      <c r="BE87" s="20"/>
      <c r="BK87" s="21"/>
      <c r="BL87" s="21"/>
      <c r="BM87" s="21"/>
      <c r="BN87" s="21"/>
      <c r="BO87" s="21"/>
      <c r="BP87" s="21"/>
      <c r="BR87" s="45"/>
      <c r="BT87" s="21"/>
      <c r="BV87" s="7"/>
      <c r="BY87" s="48"/>
      <c r="CA87" s="49"/>
    </row>
    <row r="88" customFormat="false" ht="13.8" hidden="false" customHeight="false" outlineLevel="0" collapsed="false">
      <c r="AH88" s="0"/>
      <c r="AI88" s="0"/>
      <c r="AJ88" s="2" t="s">
        <v>136</v>
      </c>
      <c r="AL88" s="0"/>
      <c r="AM88" s="0"/>
      <c r="AN88" s="0"/>
      <c r="AO88" s="0"/>
      <c r="AP88" s="0"/>
      <c r="AQ88" s="0"/>
      <c r="AR88" s="0"/>
      <c r="AS88" s="0"/>
      <c r="AT88" s="0"/>
      <c r="AU88" s="0"/>
      <c r="AV88" s="0"/>
      <c r="AW88" s="0"/>
      <c r="AX88" s="0" t="s">
        <v>137</v>
      </c>
      <c r="AY88" s="0"/>
      <c r="AZ88" s="0" t="s">
        <v>138</v>
      </c>
      <c r="BB88" s="0" t="s">
        <v>139</v>
      </c>
    </row>
    <row r="89" customFormat="false" ht="13.8" hidden="false" customHeight="false" outlineLevel="0" collapsed="false">
      <c r="AH89" s="0"/>
      <c r="AI89" s="0"/>
      <c r="AJ89" s="10"/>
      <c r="AK89" s="11" t="n">
        <v>1</v>
      </c>
      <c r="AL89" s="11" t="n">
        <v>2</v>
      </c>
      <c r="AM89" s="11" t="n">
        <v>3</v>
      </c>
      <c r="AN89" s="11" t="n">
        <v>4</v>
      </c>
      <c r="AO89" s="11" t="n">
        <v>5</v>
      </c>
      <c r="AP89" s="11" t="n">
        <v>6</v>
      </c>
      <c r="AQ89" s="11" t="n">
        <v>7</v>
      </c>
      <c r="AR89" s="11" t="n">
        <v>8</v>
      </c>
      <c r="AS89" s="11" t="n">
        <v>9</v>
      </c>
      <c r="AT89" s="11" t="n">
        <v>10</v>
      </c>
      <c r="AU89" s="11" t="n">
        <v>11</v>
      </c>
      <c r="AV89" s="11" t="n">
        <v>12</v>
      </c>
      <c r="AW89" s="0"/>
      <c r="AX89" s="0"/>
      <c r="AY89" s="0"/>
      <c r="AZ89" s="0"/>
    </row>
    <row r="90" customFormat="false" ht="13.8" hidden="false" customHeight="false" outlineLevel="0" collapsed="false">
      <c r="AH90" s="0"/>
      <c r="AI90" s="0"/>
      <c r="AJ90" s="11" t="n">
        <v>1</v>
      </c>
      <c r="AK90" s="12" t="n">
        <f aca="false" t="array" ref="AK90:AV101">MMULT(AK60:AV71,AK75:AV86)</f>
        <v>328.125</v>
      </c>
      <c r="AL90" s="12" t="n">
        <v>3.21268866160695E-011</v>
      </c>
      <c r="AM90" s="12" t="n">
        <v>-656250</v>
      </c>
      <c r="AN90" s="12" t="n">
        <v>-328.125</v>
      </c>
      <c r="AO90" s="12" t="n">
        <v>-3.21268866160695E-011</v>
      </c>
      <c r="AP90" s="12" t="n">
        <v>-656250</v>
      </c>
      <c r="AQ90" s="21" t="n">
        <v>0</v>
      </c>
      <c r="AR90" s="21" t="n">
        <v>0</v>
      </c>
      <c r="AS90" s="21" t="n">
        <v>0</v>
      </c>
      <c r="AT90" s="21" t="n">
        <v>0</v>
      </c>
      <c r="AU90" s="21" t="n">
        <v>0</v>
      </c>
      <c r="AV90" s="21" t="n">
        <v>0</v>
      </c>
      <c r="AW90" s="0"/>
      <c r="AX90" s="0" t="n">
        <v>0</v>
      </c>
      <c r="AY90" s="0"/>
      <c r="AZ90" s="13" t="n">
        <f aca="false" t="array" ref="AZ90:AZ101">MMULT(AK60:AV71,AZ43:AZ54)</f>
        <v>20000</v>
      </c>
      <c r="BB90" s="63" t="n">
        <f aca="false" t="array" ref="BB90:BB101">MMULT(AK90:AV101,AX90:AX101)-AZ90:AZ101</f>
        <v>-14286.8688001871</v>
      </c>
    </row>
    <row r="91" customFormat="false" ht="13.8" hidden="false" customHeight="false" outlineLevel="0" collapsed="false">
      <c r="AH91" s="0"/>
      <c r="AI91" s="0"/>
      <c r="AJ91" s="11" t="n">
        <v>2</v>
      </c>
      <c r="AK91" s="12" t="n">
        <v>3.21268866160695E-011</v>
      </c>
      <c r="AL91" s="12" t="n">
        <v>525000</v>
      </c>
      <c r="AM91" s="12" t="n">
        <v>4.01837230970225E-011</v>
      </c>
      <c r="AN91" s="12" t="n">
        <v>-3.21268866160695E-011</v>
      </c>
      <c r="AO91" s="12" t="n">
        <v>-525000</v>
      </c>
      <c r="AP91" s="12" t="n">
        <v>4.01837230970225E-011</v>
      </c>
      <c r="AQ91" s="21" t="n">
        <v>0</v>
      </c>
      <c r="AR91" s="21" t="n">
        <v>0</v>
      </c>
      <c r="AS91" s="21" t="n">
        <v>0</v>
      </c>
      <c r="AT91" s="21" t="n">
        <v>0</v>
      </c>
      <c r="AU91" s="21" t="n">
        <v>0</v>
      </c>
      <c r="AV91" s="21" t="n">
        <v>0</v>
      </c>
      <c r="AW91" s="0"/>
      <c r="AX91" s="0" t="n">
        <v>0</v>
      </c>
      <c r="AY91" s="0"/>
      <c r="AZ91" s="13" t="n">
        <v>-1.22464679914735E-012</v>
      </c>
      <c r="BB91" s="63" t="n">
        <v>31520.766314083</v>
      </c>
    </row>
    <row r="92" customFormat="false" ht="13.8" hidden="false" customHeight="false" outlineLevel="0" collapsed="false">
      <c r="AH92" s="0"/>
      <c r="AI92" s="0"/>
      <c r="AJ92" s="11" t="n">
        <v>3</v>
      </c>
      <c r="AK92" s="12" t="n">
        <v>-656250</v>
      </c>
      <c r="AL92" s="12" t="n">
        <v>4.01837230970225E-011</v>
      </c>
      <c r="AM92" s="12" t="n">
        <v>1750000000</v>
      </c>
      <c r="AN92" s="12" t="n">
        <v>656250</v>
      </c>
      <c r="AO92" s="12" t="n">
        <v>-4.01837230970225E-011</v>
      </c>
      <c r="AP92" s="12" t="n">
        <v>875000000</v>
      </c>
      <c r="AQ92" s="21" t="n">
        <v>0</v>
      </c>
      <c r="AR92" s="21" t="n">
        <v>0</v>
      </c>
      <c r="AS92" s="21" t="n">
        <v>0</v>
      </c>
      <c r="AT92" s="21" t="n">
        <v>0</v>
      </c>
      <c r="AU92" s="21" t="n">
        <v>0</v>
      </c>
      <c r="AV92" s="21" t="n">
        <v>0</v>
      </c>
      <c r="AX92" s="162" t="n">
        <f aca="false">AT116</f>
        <v>-0.006532371505047</v>
      </c>
      <c r="AZ92" s="13" t="n">
        <v>-13333333.3333333</v>
      </c>
      <c r="BB92" s="63" t="n">
        <v>0</v>
      </c>
    </row>
    <row r="93" customFormat="false" ht="13.8" hidden="false" customHeight="false" outlineLevel="0" collapsed="false">
      <c r="AH93" s="0"/>
      <c r="AI93" s="0"/>
      <c r="AJ93" s="11" t="n">
        <v>4</v>
      </c>
      <c r="AK93" s="12" t="n">
        <v>-328.125</v>
      </c>
      <c r="AL93" s="12" t="n">
        <v>-3.21268866160695E-011</v>
      </c>
      <c r="AM93" s="12" t="n">
        <v>656250</v>
      </c>
      <c r="AN93" s="39" t="n">
        <v>700328.125</v>
      </c>
      <c r="AO93" s="39" t="n">
        <v>3.21268866160695E-011</v>
      </c>
      <c r="AP93" s="39" t="n">
        <v>656250</v>
      </c>
      <c r="AQ93" s="17" t="n">
        <v>0</v>
      </c>
      <c r="AR93" s="21" t="n">
        <v>0</v>
      </c>
      <c r="AS93" s="21" t="n">
        <v>0</v>
      </c>
      <c r="AT93" s="24" t="n">
        <v>-700000</v>
      </c>
      <c r="AU93" s="16" t="n">
        <v>0</v>
      </c>
      <c r="AV93" s="16" t="n">
        <v>0</v>
      </c>
      <c r="AX93" s="0" t="n">
        <v>0</v>
      </c>
      <c r="AZ93" s="13" t="n">
        <v>20000</v>
      </c>
      <c r="BB93" s="63" t="n">
        <v>-12281.1494711254</v>
      </c>
    </row>
    <row r="94" customFormat="false" ht="13.8" hidden="false" customHeight="false" outlineLevel="0" collapsed="false">
      <c r="AH94" s="0"/>
      <c r="AI94" s="0"/>
      <c r="AJ94" s="11" t="n">
        <v>5</v>
      </c>
      <c r="AK94" s="12" t="n">
        <v>-3.21268866160695E-011</v>
      </c>
      <c r="AL94" s="12" t="n">
        <v>-525000</v>
      </c>
      <c r="AM94" s="12" t="n">
        <v>-4.01837230970225E-011</v>
      </c>
      <c r="AN94" s="39" t="n">
        <v>3.21268866160695E-011</v>
      </c>
      <c r="AO94" s="39" t="n">
        <v>525777.777777778</v>
      </c>
      <c r="AP94" s="39" t="n">
        <v>2333333.33333333</v>
      </c>
      <c r="AQ94" s="17" t="n">
        <v>0</v>
      </c>
      <c r="AR94" s="21" t="n">
        <v>0</v>
      </c>
      <c r="AS94" s="21" t="n">
        <v>0</v>
      </c>
      <c r="AT94" s="24" t="n">
        <v>0</v>
      </c>
      <c r="AU94" s="16" t="n">
        <v>-777.777777777778</v>
      </c>
      <c r="AV94" s="16" t="n">
        <v>2333333.33333333</v>
      </c>
      <c r="AX94" s="162" t="n">
        <f aca="false">AT117</f>
        <v>-0.0600395548839677</v>
      </c>
      <c r="AZ94" s="13" t="n">
        <v>-30000</v>
      </c>
      <c r="BB94" s="63" t="n">
        <v>5.56610757485032E-010</v>
      </c>
      <c r="BC94" s="56"/>
      <c r="BD94" s="56"/>
    </row>
    <row r="95" customFormat="false" ht="13.8" hidden="false" customHeight="false" outlineLevel="0" collapsed="false">
      <c r="AH95" s="0"/>
      <c r="AI95" s="0"/>
      <c r="AJ95" s="11" t="n">
        <v>6</v>
      </c>
      <c r="AK95" s="12" t="n">
        <v>-656250</v>
      </c>
      <c r="AL95" s="12" t="n">
        <v>4.01837230970225E-011</v>
      </c>
      <c r="AM95" s="12" t="n">
        <v>875000000</v>
      </c>
      <c r="AN95" s="39" t="n">
        <v>656250</v>
      </c>
      <c r="AO95" s="39" t="n">
        <v>2333333.33333333</v>
      </c>
      <c r="AP95" s="39" t="n">
        <v>11083333333.3333</v>
      </c>
      <c r="AQ95" s="21" t="n">
        <v>0</v>
      </c>
      <c r="AR95" s="21" t="n">
        <v>0</v>
      </c>
      <c r="AS95" s="21" t="n">
        <v>0</v>
      </c>
      <c r="AT95" s="24" t="n">
        <v>0</v>
      </c>
      <c r="AU95" s="24" t="n">
        <v>-2333333.33333333</v>
      </c>
      <c r="AV95" s="24" t="n">
        <v>4666666666.66667</v>
      </c>
      <c r="AX95" s="162" t="n">
        <f aca="false">AT118</f>
        <v>-0.00217335222800124</v>
      </c>
      <c r="AZ95" s="13" t="n">
        <v>-16666666.6666667</v>
      </c>
      <c r="BB95" s="63" t="n">
        <v>0</v>
      </c>
    </row>
    <row r="96" customFormat="false" ht="13.8" hidden="false" customHeight="false" outlineLevel="0" collapsed="false">
      <c r="AH96" s="0"/>
      <c r="AI96" s="0"/>
      <c r="AJ96" s="11" t="n">
        <v>7</v>
      </c>
      <c r="AK96" s="21" t="n">
        <v>0</v>
      </c>
      <c r="AL96" s="21" t="n">
        <v>0</v>
      </c>
      <c r="AM96" s="21" t="n">
        <v>0</v>
      </c>
      <c r="AN96" s="17" t="n">
        <v>0</v>
      </c>
      <c r="AO96" s="17" t="n">
        <v>0</v>
      </c>
      <c r="AP96" s="21" t="n">
        <v>0</v>
      </c>
      <c r="AQ96" s="31" t="n">
        <v>328.125</v>
      </c>
      <c r="AR96" s="26" t="n">
        <v>3.21268866160695E-011</v>
      </c>
      <c r="AS96" s="26" t="n">
        <v>-656250</v>
      </c>
      <c r="AT96" s="26" t="n">
        <v>-328.125</v>
      </c>
      <c r="AU96" s="31" t="n">
        <v>-3.21268866160695E-011</v>
      </c>
      <c r="AV96" s="31" t="n">
        <v>-656250</v>
      </c>
      <c r="AX96" s="0" t="n">
        <v>0</v>
      </c>
      <c r="AZ96" s="13" t="n">
        <v>-10000</v>
      </c>
      <c r="BB96" s="63" t="n">
        <v>6568.01827131248</v>
      </c>
    </row>
    <row r="97" customFormat="false" ht="13.8" hidden="false" customHeight="false" outlineLevel="0" collapsed="false">
      <c r="AH97" s="0"/>
      <c r="AI97" s="0"/>
      <c r="AJ97" s="11" t="n">
        <v>8</v>
      </c>
      <c r="AK97" s="21" t="n">
        <v>0</v>
      </c>
      <c r="AL97" s="21" t="n">
        <v>0</v>
      </c>
      <c r="AM97" s="21" t="n">
        <v>0</v>
      </c>
      <c r="AN97" s="21" t="n">
        <v>0</v>
      </c>
      <c r="AO97" s="21" t="n">
        <v>0</v>
      </c>
      <c r="AP97" s="21" t="n">
        <v>0</v>
      </c>
      <c r="AQ97" s="26" t="n">
        <v>3.21268866160695E-011</v>
      </c>
      <c r="AR97" s="31" t="n">
        <v>525000</v>
      </c>
      <c r="AS97" s="31" t="n">
        <v>4.01837230970225E-011</v>
      </c>
      <c r="AT97" s="31" t="n">
        <v>-3.21268866160695E-011</v>
      </c>
      <c r="AU97" s="31" t="n">
        <v>-525000</v>
      </c>
      <c r="AV97" s="31" t="n">
        <v>4.01837230970225E-011</v>
      </c>
      <c r="AX97" s="0" t="n">
        <v>0</v>
      </c>
      <c r="AZ97" s="13" t="n">
        <v>6.12323399573677E-013</v>
      </c>
      <c r="BB97" s="63" t="n">
        <v>2.146786259989E-013</v>
      </c>
    </row>
    <row r="98" customFormat="false" ht="13.8" hidden="false" customHeight="false" outlineLevel="0" collapsed="false">
      <c r="AH98" s="0"/>
      <c r="AI98" s="0"/>
      <c r="AJ98" s="11" t="n">
        <v>9</v>
      </c>
      <c r="AK98" s="21" t="n">
        <v>0</v>
      </c>
      <c r="AL98" s="21" t="n">
        <v>0</v>
      </c>
      <c r="AM98" s="21" t="n">
        <v>0</v>
      </c>
      <c r="AN98" s="21" t="n">
        <v>0</v>
      </c>
      <c r="AO98" s="21" t="n">
        <v>0</v>
      </c>
      <c r="AP98" s="21" t="n">
        <v>0</v>
      </c>
      <c r="AQ98" s="26" t="n">
        <v>-656250</v>
      </c>
      <c r="AR98" s="31" t="n">
        <v>4.01837230970225E-011</v>
      </c>
      <c r="AS98" s="31" t="n">
        <v>1750000000</v>
      </c>
      <c r="AT98" s="31" t="n">
        <v>656250</v>
      </c>
      <c r="AU98" s="31" t="n">
        <v>-4.01837230970225E-011</v>
      </c>
      <c r="AV98" s="31" t="n">
        <v>875000000</v>
      </c>
      <c r="AX98" s="162" t="n">
        <f aca="false">AT119</f>
        <v>0.00239415831166498</v>
      </c>
      <c r="AZ98" s="13" t="n">
        <v>6666666.66666667</v>
      </c>
      <c r="BB98" s="63" t="n">
        <v>0</v>
      </c>
    </row>
    <row r="99" customFormat="false" ht="13.8" hidden="false" customHeight="false" outlineLevel="0" collapsed="false">
      <c r="AH99" s="0"/>
      <c r="AI99" s="0"/>
      <c r="AJ99" s="11" t="n">
        <v>10</v>
      </c>
      <c r="AK99" s="21" t="n">
        <v>0</v>
      </c>
      <c r="AL99" s="21" t="n">
        <v>0</v>
      </c>
      <c r="AM99" s="21" t="n">
        <v>0</v>
      </c>
      <c r="AN99" s="24" t="n">
        <v>-700000</v>
      </c>
      <c r="AO99" s="24" t="n">
        <v>0</v>
      </c>
      <c r="AP99" s="24" t="n">
        <v>0</v>
      </c>
      <c r="AQ99" s="26" t="n">
        <v>-328.125</v>
      </c>
      <c r="AR99" s="31" t="n">
        <v>-3.21268866160695E-011</v>
      </c>
      <c r="AS99" s="31" t="n">
        <v>656250</v>
      </c>
      <c r="AT99" s="43" t="n">
        <v>700328.125</v>
      </c>
      <c r="AU99" s="43" t="n">
        <v>3.21268866160695E-011</v>
      </c>
      <c r="AV99" s="43" t="n">
        <v>656250</v>
      </c>
      <c r="AX99" s="162" t="n">
        <f aca="false">AT120</f>
        <v>-0.0191885453266965</v>
      </c>
      <c r="AZ99" s="13" t="n">
        <v>-10000</v>
      </c>
      <c r="BB99" s="63" t="n">
        <v>0</v>
      </c>
    </row>
    <row r="100" customFormat="false" ht="13.8" hidden="false" customHeight="false" outlineLevel="0" collapsed="false">
      <c r="AH100" s="0"/>
      <c r="AI100" s="0"/>
      <c r="AJ100" s="11" t="n">
        <v>11</v>
      </c>
      <c r="AK100" s="21" t="n">
        <v>0</v>
      </c>
      <c r="AL100" s="21" t="n">
        <v>0</v>
      </c>
      <c r="AM100" s="21" t="n">
        <v>0</v>
      </c>
      <c r="AN100" s="16" t="n">
        <v>0</v>
      </c>
      <c r="AO100" s="16" t="n">
        <v>-777.777777777778</v>
      </c>
      <c r="AP100" s="24" t="n">
        <v>-2333333.33333333</v>
      </c>
      <c r="AQ100" s="31" t="n">
        <v>-3.21268866160695E-011</v>
      </c>
      <c r="AR100" s="31" t="n">
        <v>-525000</v>
      </c>
      <c r="AS100" s="31" t="n">
        <v>-4.01837230970225E-011</v>
      </c>
      <c r="AT100" s="43" t="n">
        <v>3.21268866160695E-011</v>
      </c>
      <c r="AU100" s="43" t="n">
        <v>525777.777777778</v>
      </c>
      <c r="AV100" s="43" t="n">
        <v>-2333333.33333333</v>
      </c>
      <c r="AX100" s="0" t="n">
        <v>0</v>
      </c>
      <c r="AZ100" s="13" t="n">
        <v>-30000</v>
      </c>
      <c r="BB100" s="63" t="n">
        <v>28479.2336859164</v>
      </c>
    </row>
    <row r="101" customFormat="false" ht="13.8" hidden="false" customHeight="false" outlineLevel="0" collapsed="false">
      <c r="AH101" s="0"/>
      <c r="AI101" s="0"/>
      <c r="AJ101" s="11" t="n">
        <v>12</v>
      </c>
      <c r="AK101" s="21" t="n">
        <v>0</v>
      </c>
      <c r="AL101" s="21" t="n">
        <v>0</v>
      </c>
      <c r="AM101" s="21" t="n">
        <v>0</v>
      </c>
      <c r="AN101" s="16" t="n">
        <v>0</v>
      </c>
      <c r="AO101" s="16" t="n">
        <v>2333333.33333333</v>
      </c>
      <c r="AP101" s="24" t="n">
        <v>4666666666.66667</v>
      </c>
      <c r="AQ101" s="31" t="n">
        <v>-656250</v>
      </c>
      <c r="AR101" s="31" t="n">
        <v>4.01837230970225E-011</v>
      </c>
      <c r="AS101" s="31" t="n">
        <v>875000000</v>
      </c>
      <c r="AT101" s="43" t="n">
        <v>656250</v>
      </c>
      <c r="AU101" s="43" t="n">
        <v>-2333333.33333333</v>
      </c>
      <c r="AV101" s="43" t="n">
        <v>11083333333.3333</v>
      </c>
      <c r="AX101" s="162" t="n">
        <f aca="false">AT121</f>
        <v>0.00284512240471268</v>
      </c>
      <c r="AZ101" s="13" t="n">
        <v>23333333.3333333</v>
      </c>
      <c r="BB101" s="63" t="n">
        <v>0</v>
      </c>
    </row>
    <row r="102" customFormat="false" ht="12" hidden="false" customHeight="false" outlineLevel="0" collapsed="false">
      <c r="AZ102" s="20"/>
      <c r="BB102" s="20"/>
      <c r="BE102" s="20"/>
      <c r="BK102" s="2"/>
    </row>
    <row r="103" customFormat="false" ht="12.8" hidden="false" customHeight="false" outlineLevel="0" collapsed="false">
      <c r="AJ103" s="2" t="s">
        <v>55</v>
      </c>
      <c r="AY103" s="7"/>
      <c r="AZ103" s="20"/>
      <c r="BB103" s="20"/>
      <c r="BE103" s="20"/>
      <c r="BK103" s="42"/>
      <c r="BL103" s="42"/>
      <c r="BM103" s="42"/>
      <c r="BN103" s="42"/>
      <c r="BO103" s="42"/>
      <c r="BP103" s="42"/>
      <c r="BR103" s="7"/>
      <c r="BT103" s="7"/>
      <c r="BV103" s="7"/>
      <c r="BY103" s="7"/>
    </row>
    <row r="104" customFormat="false" ht="13.8" hidden="false" customHeight="false" outlineLevel="0" collapsed="false">
      <c r="W104" s="21"/>
      <c r="X104" s="7"/>
      <c r="Y104" s="7"/>
      <c r="Z104" s="7"/>
      <c r="AA104" s="7"/>
      <c r="AB104" s="7"/>
      <c r="AC104" s="7"/>
      <c r="AD104" s="7"/>
      <c r="AE104" s="7"/>
      <c r="AF104" s="7"/>
      <c r="AJ104" s="10"/>
      <c r="AK104" s="10" t="n">
        <v>3</v>
      </c>
      <c r="AL104" s="10" t="n">
        <v>5</v>
      </c>
      <c r="AM104" s="10" t="n">
        <v>6</v>
      </c>
      <c r="AN104" s="10" t="n">
        <v>9</v>
      </c>
      <c r="AO104" s="10" t="n">
        <v>10</v>
      </c>
      <c r="AP104" s="10" t="n">
        <v>12</v>
      </c>
      <c r="AQ104" s="7" t="s">
        <v>37</v>
      </c>
      <c r="AR104" s="10" t="s">
        <v>38</v>
      </c>
      <c r="AS104" s="7" t="s">
        <v>39</v>
      </c>
      <c r="AT104" s="47"/>
      <c r="AU104" s="0"/>
      <c r="AV104" s="0"/>
      <c r="AZ104" s="20"/>
      <c r="BB104" s="20"/>
      <c r="BE104" s="20"/>
      <c r="BK104" s="42"/>
      <c r="BL104" s="42"/>
      <c r="BM104" s="42"/>
      <c r="BN104" s="42"/>
      <c r="BO104" s="42"/>
      <c r="BP104" s="42"/>
      <c r="BR104" s="7"/>
      <c r="BT104" s="7"/>
      <c r="BV104" s="7"/>
      <c r="BY104" s="7"/>
    </row>
    <row r="105" customFormat="false" ht="12.8" hidden="false" customHeight="false" outlineLevel="0" collapsed="false">
      <c r="W105" s="7"/>
      <c r="X105" s="21"/>
      <c r="Y105" s="7"/>
      <c r="Z105" s="7"/>
      <c r="AA105" s="7"/>
      <c r="AB105" s="7"/>
      <c r="AC105" s="7"/>
      <c r="AD105" s="7"/>
      <c r="AE105" s="21"/>
      <c r="AF105" s="7"/>
      <c r="AJ105" s="11" t="n">
        <v>3</v>
      </c>
      <c r="AK105" s="13" t="n">
        <f aca="false">AM92</f>
        <v>1750000000</v>
      </c>
      <c r="AL105" s="13" t="n">
        <f aca="false">AO92</f>
        <v>-4.01837230970225E-011</v>
      </c>
      <c r="AM105" s="13" t="n">
        <f aca="false">AP92</f>
        <v>875000000</v>
      </c>
      <c r="AN105" s="13" t="n">
        <f aca="false">AS92</f>
        <v>0</v>
      </c>
      <c r="AO105" s="13" t="n">
        <f aca="false">AT92</f>
        <v>0</v>
      </c>
      <c r="AP105" s="13" t="n">
        <f aca="false">AV92</f>
        <v>0</v>
      </c>
      <c r="AQ105" s="13"/>
      <c r="AR105" s="13" t="str">
        <f aca="false">AX45</f>
        <v>r13</v>
      </c>
      <c r="AS105" s="13"/>
      <c r="AT105" s="21"/>
      <c r="AV105" s="50"/>
      <c r="AZ105" s="60"/>
      <c r="BB105" s="7"/>
      <c r="BE105" s="7"/>
      <c r="BK105" s="42"/>
      <c r="BL105" s="42"/>
      <c r="BM105" s="42"/>
      <c r="BN105" s="42"/>
      <c r="BO105" s="42"/>
      <c r="BP105" s="42"/>
      <c r="BQ105" s="7"/>
      <c r="BR105" s="7"/>
      <c r="BS105" s="7"/>
      <c r="BT105" s="7"/>
      <c r="BU105" s="7"/>
      <c r="BV105" s="7"/>
      <c r="BW105" s="7"/>
      <c r="BX105" s="7"/>
      <c r="BY105" s="7"/>
    </row>
    <row r="106" customFormat="false" ht="12.8" hidden="false" customHeight="false" outlineLevel="0" collapsed="false">
      <c r="W106" s="7"/>
      <c r="X106" s="7"/>
      <c r="Y106" s="21"/>
      <c r="Z106" s="7"/>
      <c r="AA106" s="21"/>
      <c r="AB106" s="7"/>
      <c r="AC106" s="7"/>
      <c r="AD106" s="7"/>
      <c r="AE106" s="7"/>
      <c r="AF106" s="21"/>
      <c r="AJ106" s="11" t="n">
        <v>5</v>
      </c>
      <c r="AK106" s="13" t="n">
        <f aca="false">AM94</f>
        <v>-4.01837230970225E-011</v>
      </c>
      <c r="AL106" s="13" t="n">
        <f aca="false">AO94</f>
        <v>525777.777777778</v>
      </c>
      <c r="AM106" s="13" t="n">
        <f aca="false">AP94</f>
        <v>2333333.33333333</v>
      </c>
      <c r="AN106" s="13" t="n">
        <f aca="false">AS94</f>
        <v>0</v>
      </c>
      <c r="AO106" s="13" t="n">
        <f aca="false">AT94</f>
        <v>0</v>
      </c>
      <c r="AP106" s="13" t="n">
        <f aca="false">AV94</f>
        <v>2333333.33333333</v>
      </c>
      <c r="AQ106" s="13"/>
      <c r="AR106" s="13" t="s">
        <v>140</v>
      </c>
      <c r="AS106" s="13"/>
      <c r="AT106" s="21"/>
      <c r="AV106" s="51"/>
      <c r="AZ106" s="7"/>
      <c r="BB106" s="7"/>
      <c r="BE106" s="7"/>
      <c r="BK106" s="42"/>
      <c r="BL106" s="42"/>
      <c r="BM106" s="42"/>
      <c r="BN106" s="42"/>
      <c r="BO106" s="42"/>
      <c r="BP106" s="42"/>
      <c r="BR106" s="45"/>
      <c r="BT106" s="7"/>
      <c r="BV106" s="7"/>
      <c r="BY106" s="7"/>
    </row>
    <row r="107" customFormat="false" ht="12.8" hidden="false" customHeight="false" outlineLevel="0" collapsed="false"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J107" s="11" t="n">
        <v>6</v>
      </c>
      <c r="AK107" s="13" t="n">
        <f aca="false">AM95</f>
        <v>875000000</v>
      </c>
      <c r="AL107" s="13" t="n">
        <f aca="false">AO95</f>
        <v>2333333.33333333</v>
      </c>
      <c r="AM107" s="13" t="n">
        <f aca="false">AP95</f>
        <v>11083333333.3333</v>
      </c>
      <c r="AN107" s="13" t="n">
        <f aca="false">AS95</f>
        <v>0</v>
      </c>
      <c r="AO107" s="13" t="n">
        <f aca="false">AT95</f>
        <v>0</v>
      </c>
      <c r="AP107" s="13" t="n">
        <f aca="false">AV95</f>
        <v>4666666666.66667</v>
      </c>
      <c r="AQ107" s="13"/>
      <c r="AR107" s="13" t="str">
        <f aca="false">AX48</f>
        <v>r23</v>
      </c>
      <c r="AS107" s="13"/>
      <c r="AT107" s="21"/>
      <c r="AV107" s="51"/>
      <c r="AZ107" s="20"/>
      <c r="BB107" s="20"/>
      <c r="BE107" s="20"/>
      <c r="BK107" s="42"/>
      <c r="BL107" s="42"/>
      <c r="BM107" s="42"/>
      <c r="BN107" s="42"/>
      <c r="BO107" s="42"/>
      <c r="BP107" s="42"/>
      <c r="BR107" s="45"/>
      <c r="BT107" s="7"/>
      <c r="BV107" s="7"/>
      <c r="BY107" s="7"/>
    </row>
    <row r="108" customFormat="false" ht="12.8" hidden="false" customHeight="false" outlineLevel="0" collapsed="false">
      <c r="W108" s="7"/>
      <c r="X108" s="7"/>
      <c r="Y108" s="21"/>
      <c r="Z108" s="7"/>
      <c r="AA108" s="21"/>
      <c r="AB108" s="7"/>
      <c r="AC108" s="7"/>
      <c r="AD108" s="7"/>
      <c r="AE108" s="7"/>
      <c r="AF108" s="21"/>
      <c r="AJ108" s="11" t="n">
        <v>9</v>
      </c>
      <c r="AK108" s="13" t="n">
        <f aca="false">AM98</f>
        <v>0</v>
      </c>
      <c r="AL108" s="13" t="n">
        <f aca="false">AO98</f>
        <v>0</v>
      </c>
      <c r="AM108" s="13" t="n">
        <f aca="false">AP98</f>
        <v>0</v>
      </c>
      <c r="AN108" s="13" t="n">
        <f aca="false">AS98</f>
        <v>1750000000</v>
      </c>
      <c r="AO108" s="13" t="n">
        <f aca="false">AT98</f>
        <v>656250</v>
      </c>
      <c r="AP108" s="13" t="n">
        <f aca="false">AV98</f>
        <v>875000000</v>
      </c>
      <c r="AQ108" s="13"/>
      <c r="AR108" s="13" t="str">
        <f aca="false">AX51</f>
        <v>r33</v>
      </c>
      <c r="AS108" s="13"/>
      <c r="AT108" s="21"/>
      <c r="AV108" s="51"/>
      <c r="AZ108" s="7"/>
      <c r="BB108" s="20"/>
      <c r="BE108" s="62"/>
      <c r="BK108" s="42"/>
      <c r="BL108" s="42"/>
      <c r="BM108" s="42"/>
      <c r="BN108" s="42"/>
      <c r="BO108" s="42"/>
      <c r="BP108" s="42"/>
      <c r="BR108" s="45"/>
      <c r="BT108" s="7"/>
      <c r="BV108" s="7"/>
      <c r="BY108" s="7"/>
    </row>
    <row r="109" customFormat="false" ht="12.8" hidden="false" customHeight="false" outlineLevel="0" collapsed="false"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J109" s="11" t="n">
        <v>10</v>
      </c>
      <c r="AK109" s="13" t="n">
        <f aca="false">AM99</f>
        <v>0</v>
      </c>
      <c r="AL109" s="13" t="n">
        <f aca="false">AO99</f>
        <v>0</v>
      </c>
      <c r="AM109" s="13" t="n">
        <f aca="false">AP99</f>
        <v>0</v>
      </c>
      <c r="AN109" s="13" t="n">
        <f aca="false">AS99</f>
        <v>656250</v>
      </c>
      <c r="AO109" s="13" t="n">
        <f aca="false">AT99</f>
        <v>700328.125</v>
      </c>
      <c r="AP109" s="13" t="n">
        <f aca="false">AV99</f>
        <v>656250</v>
      </c>
      <c r="AR109" s="1" t="s">
        <v>141</v>
      </c>
      <c r="AT109" s="7"/>
      <c r="AV109" s="13"/>
      <c r="AZ109" s="7"/>
      <c r="BB109" s="20"/>
      <c r="BE109" s="62"/>
    </row>
    <row r="110" customFormat="false" ht="12.8" hidden="false" customHeight="false" outlineLevel="0" collapsed="false"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J110" s="11" t="n">
        <v>12</v>
      </c>
      <c r="AK110" s="13" t="n">
        <f aca="false">AM101</f>
        <v>0</v>
      </c>
      <c r="AL110" s="13" t="n">
        <f aca="false">AO101</f>
        <v>2333333.33333333</v>
      </c>
      <c r="AM110" s="13" t="n">
        <f aca="false">AP101</f>
        <v>4666666666.66667</v>
      </c>
      <c r="AN110" s="13" t="n">
        <f aca="false">AS101</f>
        <v>875000000</v>
      </c>
      <c r="AO110" s="13" t="n">
        <f aca="false">AT101</f>
        <v>656250</v>
      </c>
      <c r="AP110" s="13" t="n">
        <f aca="false">AV101</f>
        <v>11083333333.3333</v>
      </c>
      <c r="AR110" s="1" t="str">
        <f aca="false">AX54</f>
        <v>r43</v>
      </c>
      <c r="AT110" s="7"/>
      <c r="AZ110" s="20"/>
      <c r="BB110" s="20"/>
      <c r="BE110" s="62"/>
      <c r="BK110" s="2"/>
    </row>
    <row r="111" customFormat="false" ht="13.8" hidden="false" customHeight="false" outlineLevel="0" collapsed="false"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J111" s="0"/>
      <c r="AT111" s="7"/>
      <c r="AZ111" s="20"/>
      <c r="BB111" s="21"/>
      <c r="BE111" s="62"/>
      <c r="BK111" s="21"/>
      <c r="BL111" s="21"/>
      <c r="BM111" s="21"/>
      <c r="BN111" s="21"/>
      <c r="BO111" s="21"/>
      <c r="BP111" s="21"/>
      <c r="BR111" s="7"/>
      <c r="BT111" s="42"/>
      <c r="BV111" s="7"/>
      <c r="BY111" s="48"/>
      <c r="CA111" s="49"/>
    </row>
    <row r="112" customFormat="false" ht="13.8" hidden="false" customHeight="false" outlineLevel="0" collapsed="false">
      <c r="W112" s="7"/>
      <c r="X112" s="21"/>
      <c r="Y112" s="7"/>
      <c r="Z112" s="7"/>
      <c r="AA112" s="7"/>
      <c r="AB112" s="7"/>
      <c r="AC112" s="7"/>
      <c r="AD112" s="7"/>
      <c r="AE112" s="21"/>
      <c r="AF112" s="7"/>
      <c r="AJ112" s="0"/>
      <c r="AT112" s="7"/>
      <c r="AZ112" s="20"/>
      <c r="BB112" s="21"/>
      <c r="BE112" s="62"/>
      <c r="BK112" s="21"/>
      <c r="BL112" s="21"/>
      <c r="BM112" s="21"/>
      <c r="BN112" s="21"/>
      <c r="BO112" s="21"/>
      <c r="BP112" s="21"/>
      <c r="BR112" s="7"/>
      <c r="BT112" s="42"/>
      <c r="BV112" s="7"/>
      <c r="BY112" s="48"/>
      <c r="CA112" s="49"/>
    </row>
    <row r="113" customFormat="false" ht="12.8" hidden="false" customHeight="false" outlineLevel="0" collapsed="false">
      <c r="W113" s="7"/>
      <c r="X113" s="7"/>
      <c r="Y113" s="21"/>
      <c r="Z113" s="7"/>
      <c r="AA113" s="21"/>
      <c r="AB113" s="7"/>
      <c r="AC113" s="7"/>
      <c r="AD113" s="7"/>
      <c r="AE113" s="7"/>
      <c r="AF113" s="21"/>
      <c r="AJ113" s="10"/>
      <c r="AK113" s="10"/>
      <c r="AL113" s="10"/>
      <c r="AM113" s="10"/>
      <c r="AN113" s="10"/>
      <c r="AO113" s="10"/>
      <c r="AP113" s="10"/>
      <c r="AQ113" s="10"/>
      <c r="AR113" s="10"/>
      <c r="AZ113" s="7"/>
      <c r="BB113" s="7"/>
      <c r="BE113" s="62"/>
      <c r="BK113" s="21"/>
      <c r="BL113" s="21"/>
      <c r="BM113" s="21"/>
      <c r="BN113" s="21"/>
      <c r="BO113" s="21"/>
      <c r="BP113" s="21"/>
      <c r="BQ113" s="7"/>
      <c r="BR113" s="7"/>
      <c r="BS113" s="7"/>
      <c r="BT113" s="42"/>
      <c r="BU113" s="7"/>
      <c r="BV113" s="7"/>
      <c r="BW113" s="7"/>
      <c r="BX113" s="7"/>
      <c r="BY113" s="48"/>
      <c r="BZ113" s="7"/>
      <c r="CA113" s="49"/>
    </row>
    <row r="114" customFormat="false" ht="12.8" hidden="false" customHeight="false" outlineLevel="0" collapsed="false"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Z114" s="163"/>
      <c r="BB114" s="7"/>
      <c r="BE114" s="62"/>
      <c r="BK114" s="21"/>
      <c r="BL114" s="21"/>
      <c r="BM114" s="21"/>
      <c r="BN114" s="21"/>
      <c r="BO114" s="21"/>
      <c r="BP114" s="21"/>
      <c r="BR114" s="7"/>
      <c r="BT114" s="42"/>
      <c r="BV114" s="7"/>
      <c r="BY114" s="48"/>
      <c r="CA114" s="49"/>
    </row>
    <row r="115" customFormat="false" ht="13.8" hidden="false" customHeight="false" outlineLevel="0" collapsed="false">
      <c r="W115" s="7"/>
      <c r="X115" s="7"/>
      <c r="Y115" s="21"/>
      <c r="Z115" s="7"/>
      <c r="AA115" s="21"/>
      <c r="AB115" s="7"/>
      <c r="AC115" s="7"/>
      <c r="AD115" s="7"/>
      <c r="AE115" s="7"/>
      <c r="AF115" s="21"/>
      <c r="AJ115" s="10"/>
      <c r="AK115" s="10" t="n">
        <v>3</v>
      </c>
      <c r="AL115" s="10" t="n">
        <v>5</v>
      </c>
      <c r="AM115" s="10" t="n">
        <v>6</v>
      </c>
      <c r="AN115" s="10" t="n">
        <v>9</v>
      </c>
      <c r="AO115" s="10" t="n">
        <v>10</v>
      </c>
      <c r="AP115" s="10" t="n">
        <v>12</v>
      </c>
      <c r="AQ115" s="7" t="s">
        <v>37</v>
      </c>
      <c r="AR115" s="47" t="s">
        <v>10</v>
      </c>
      <c r="AS115" s="7" t="s">
        <v>39</v>
      </c>
      <c r="AT115" s="10" t="s">
        <v>38</v>
      </c>
      <c r="AX115" s="0"/>
      <c r="AY115" s="0"/>
      <c r="AZ115" s="7" t="s">
        <v>142</v>
      </c>
      <c r="BB115" s="7"/>
      <c r="BE115" s="7"/>
      <c r="BK115" s="21"/>
      <c r="BL115" s="21"/>
      <c r="BM115" s="21"/>
      <c r="BN115" s="21"/>
      <c r="BO115" s="21"/>
      <c r="BP115" s="21"/>
      <c r="BR115" s="7"/>
      <c r="BT115" s="42"/>
      <c r="BV115" s="7"/>
      <c r="BY115" s="48"/>
      <c r="CA115" s="49"/>
    </row>
    <row r="116" customFormat="false" ht="13.8" hidden="false" customHeight="false" outlineLevel="0" collapsed="false">
      <c r="AJ116" s="10" t="n">
        <v>3</v>
      </c>
      <c r="AK116" s="1" t="n">
        <f aca="false" t="array" ref="AK116:AP121">MINVERSE(AK105:AP110)</f>
        <v>6.00508915512716E-010</v>
      </c>
      <c r="AL116" s="1" t="n">
        <v>1.4510515386466E-010</v>
      </c>
      <c r="AM116" s="1" t="n">
        <v>-5.81606881682883E-011</v>
      </c>
      <c r="AN116" s="1" t="n">
        <v>-1.27273545725196E-011</v>
      </c>
      <c r="AO116" s="1" t="n">
        <v>-1.19346921051993E-011</v>
      </c>
      <c r="AP116" s="1" t="n">
        <v>2.54636601641182E-011</v>
      </c>
      <c r="AR116" s="13" t="n">
        <f aca="false">AZ92</f>
        <v>-13333333.3333333</v>
      </c>
      <c r="AT116" s="36" t="n">
        <f aca="false" t="array" ref="AT116:AT121">MMULT(AK116:AP121,AR116:AR121)</f>
        <v>-0.006532371505047</v>
      </c>
      <c r="AU116" s="1" t="s">
        <v>78</v>
      </c>
      <c r="AV116" s="1" t="n">
        <f aca="false">1000*AT116</f>
        <v>-6.532371505047</v>
      </c>
      <c r="AW116" s="1" t="s">
        <v>79</v>
      </c>
      <c r="AX116" s="0"/>
      <c r="AY116" s="0"/>
      <c r="AZ116" s="1" t="s">
        <v>143</v>
      </c>
      <c r="BK116" s="21"/>
      <c r="BL116" s="21"/>
      <c r="BM116" s="21"/>
      <c r="BN116" s="21"/>
      <c r="BO116" s="21"/>
      <c r="BP116" s="21"/>
      <c r="BR116" s="7"/>
      <c r="BT116" s="42"/>
      <c r="BV116" s="7"/>
      <c r="BY116" s="48"/>
      <c r="CA116" s="49"/>
    </row>
    <row r="117" customFormat="false" ht="12.8" hidden="false" customHeight="false" outlineLevel="0" collapsed="false">
      <c r="AJ117" s="10" t="n">
        <v>5</v>
      </c>
      <c r="AK117" s="1" t="n">
        <v>1.45105153864626E-010</v>
      </c>
      <c r="AL117" s="13" t="n">
        <v>1.90452007389763E-006</v>
      </c>
      <c r="AM117" s="13" t="n">
        <v>-2.90210307729252E-010</v>
      </c>
      <c r="AN117" s="1" t="n">
        <v>1.45057877355407E-010</v>
      </c>
      <c r="AO117" s="1" t="n">
        <v>1.36023640561391E-010</v>
      </c>
      <c r="AP117" s="1" t="n">
        <v>-2.90217772441219E-010</v>
      </c>
      <c r="AR117" s="13" t="n">
        <f aca="false">AZ94</f>
        <v>-30000</v>
      </c>
      <c r="AT117" s="36" t="n">
        <v>-0.0600395548839677</v>
      </c>
      <c r="AU117" s="1" t="s">
        <v>12</v>
      </c>
      <c r="AX117" s="1" t="s">
        <v>45</v>
      </c>
      <c r="AY117" s="1" t="n">
        <v>0</v>
      </c>
      <c r="AZ117" s="164" t="n">
        <f aca="false" t="array" ref="AZ117:AZ118">MMULT(BB63:BC64,AY117:AY118)</f>
        <v>0</v>
      </c>
    </row>
    <row r="118" customFormat="false" ht="12.8" hidden="false" customHeight="false" outlineLevel="0" collapsed="false">
      <c r="B118" s="2"/>
      <c r="AF118" s="2"/>
      <c r="AJ118" s="10" t="n">
        <v>6</v>
      </c>
      <c r="AK118" s="1" t="n">
        <v>-5.81606881682883E-011</v>
      </c>
      <c r="AL118" s="13" t="n">
        <v>-2.9021030772932E-010</v>
      </c>
      <c r="AM118" s="13" t="n">
        <v>1.16321376336577E-010</v>
      </c>
      <c r="AN118" s="1" t="n">
        <v>2.54547091450393E-011</v>
      </c>
      <c r="AO118" s="1" t="n">
        <v>2.38693842103987E-011</v>
      </c>
      <c r="AP118" s="1" t="n">
        <v>-5.09273203282364E-011</v>
      </c>
      <c r="AR118" s="13" t="n">
        <f aca="false">AZ95</f>
        <v>-16666666.6666667</v>
      </c>
      <c r="AT118" s="36" t="n">
        <v>-0.00217335222800124</v>
      </c>
      <c r="AU118" s="1" t="s">
        <v>78</v>
      </c>
      <c r="AV118" s="1" t="n">
        <f aca="false">1000*AT118</f>
        <v>-2.17335222800124</v>
      </c>
      <c r="AW118" s="1" t="s">
        <v>79</v>
      </c>
      <c r="AX118" s="1" t="s">
        <v>46</v>
      </c>
      <c r="AY118" s="36" t="n">
        <f aca="false">AT117</f>
        <v>-0.0600395548839677</v>
      </c>
      <c r="AZ118" s="164" t="n">
        <v>-0.0600395548839677</v>
      </c>
    </row>
    <row r="119" customFormat="false" ht="12.8" hidden="false" customHeight="false" outlineLevel="0" collapsed="false">
      <c r="E119" s="15"/>
      <c r="F119" s="9"/>
      <c r="V119" s="7"/>
      <c r="AJ119" s="10" t="n">
        <v>9</v>
      </c>
      <c r="AK119" s="1" t="n">
        <v>-1.27273545725196E-011</v>
      </c>
      <c r="AL119" s="1" t="n">
        <v>1.45057877355441E-010</v>
      </c>
      <c r="AM119" s="1" t="n">
        <v>2.54547091450393E-011</v>
      </c>
      <c r="AN119" s="1" t="n">
        <v>6.00689763919317E-010</v>
      </c>
      <c r="AO119" s="1" t="n">
        <v>-5.08401074255991E-010</v>
      </c>
      <c r="AP119" s="1" t="n">
        <v>-5.81410841757986E-011</v>
      </c>
      <c r="AR119" s="13" t="n">
        <f aca="false">AZ98</f>
        <v>6666666.66666667</v>
      </c>
      <c r="AT119" s="36" t="n">
        <v>0.00239415831166498</v>
      </c>
      <c r="AU119" s="1" t="s">
        <v>78</v>
      </c>
      <c r="AV119" s="1" t="n">
        <f aca="false">1000*AT119</f>
        <v>2.39415831166498</v>
      </c>
      <c r="AW119" s="1" t="s">
        <v>79</v>
      </c>
    </row>
    <row r="120" customFormat="false" ht="13.8" hidden="false" customHeight="false" outlineLevel="0" collapsed="false">
      <c r="E120" s="15"/>
      <c r="F120" s="9"/>
      <c r="V120" s="7"/>
      <c r="AJ120" s="10" t="n">
        <v>10</v>
      </c>
      <c r="AK120" s="1" t="n">
        <v>-1.19346921051993E-011</v>
      </c>
      <c r="AL120" s="1" t="n">
        <v>1.36023640561482E-010</v>
      </c>
      <c r="AM120" s="1" t="n">
        <v>2.38693842103986E-011</v>
      </c>
      <c r="AN120" s="1" t="n">
        <v>-5.08401074255991E-010</v>
      </c>
      <c r="AO120" s="1" t="n">
        <v>1.42842959074965E-006</v>
      </c>
      <c r="AP120" s="1" t="n">
        <v>-5.45200445502526E-011</v>
      </c>
      <c r="AR120" s="13" t="n">
        <f aca="false">AZ99</f>
        <v>-10000</v>
      </c>
      <c r="AT120" s="36" t="n">
        <v>-0.0191885453266965</v>
      </c>
      <c r="AU120" s="1" t="s">
        <v>12</v>
      </c>
      <c r="AV120" s="0"/>
      <c r="AW120" s="0"/>
      <c r="AX120" s="1" t="s">
        <v>51</v>
      </c>
      <c r="AY120" s="36" t="n">
        <f aca="false">AT120</f>
        <v>-0.0191885453266965</v>
      </c>
      <c r="AZ120" s="164" t="n">
        <f aca="false" t="array" ref="AZ120:AZ121">MMULT(BH69:BI70,AY120:AY121)</f>
        <v>-0.0191885453266965</v>
      </c>
    </row>
    <row r="121" customFormat="false" ht="12.8" hidden="false" customHeight="false" outlineLevel="0" collapsed="false">
      <c r="E121" s="15"/>
      <c r="F121" s="9"/>
      <c r="V121" s="7"/>
      <c r="AJ121" s="10" t="n">
        <v>12</v>
      </c>
      <c r="AK121" s="1" t="n">
        <v>2.54636601641182E-011</v>
      </c>
      <c r="AL121" s="1" t="n">
        <v>-2.90217772441302E-010</v>
      </c>
      <c r="AM121" s="1" t="n">
        <v>-5.09273203282364E-011</v>
      </c>
      <c r="AN121" s="1" t="n">
        <v>-5.81410841757986E-011</v>
      </c>
      <c r="AO121" s="13" t="n">
        <v>-5.45200445502526E-011</v>
      </c>
      <c r="AP121" s="1" t="n">
        <v>1.1632305838501E-010</v>
      </c>
      <c r="AR121" s="13" t="n">
        <f aca="false">AZ101</f>
        <v>23333333.3333333</v>
      </c>
      <c r="AT121" s="36" t="n">
        <v>0.00284512240471268</v>
      </c>
      <c r="AU121" s="1" t="s">
        <v>78</v>
      </c>
      <c r="AV121" s="1" t="n">
        <f aca="false">1000*AT121</f>
        <v>2.84512240471268</v>
      </c>
      <c r="AW121" s="1" t="s">
        <v>79</v>
      </c>
      <c r="AX121" s="1" t="s">
        <v>53</v>
      </c>
      <c r="AY121" s="1" t="n">
        <v>0</v>
      </c>
      <c r="AZ121" s="164" t="n">
        <v>0</v>
      </c>
      <c r="BB121" s="20"/>
      <c r="BE121" s="62"/>
    </row>
    <row r="122" customFormat="false" ht="13.8" hidden="false" customHeight="false" outlineLevel="0" collapsed="false">
      <c r="V122" s="7"/>
      <c r="AJ122" s="0"/>
      <c r="AO122" s="13"/>
      <c r="AT122" s="36"/>
      <c r="AX122" s="0"/>
      <c r="AY122" s="0"/>
      <c r="AZ122" s="20"/>
      <c r="BB122" s="20"/>
      <c r="BE122" s="62"/>
    </row>
    <row r="123" customFormat="false" ht="13.8" hidden="false" customHeight="false" outlineLevel="0" collapsed="false">
      <c r="V123" s="7"/>
      <c r="AJ123" s="0"/>
      <c r="AT123" s="36"/>
      <c r="AV123" s="1" t="n">
        <f aca="false">1000*AT123</f>
        <v>0</v>
      </c>
      <c r="AW123" s="1" t="s">
        <v>79</v>
      </c>
      <c r="AX123" s="0"/>
      <c r="AY123" s="0"/>
      <c r="AZ123" s="20"/>
      <c r="BB123" s="20"/>
      <c r="BE123" s="62"/>
    </row>
    <row r="124" customFormat="false" ht="12.8" hidden="false" customHeight="false" outlineLevel="0" collapsed="false">
      <c r="V124" s="7"/>
      <c r="AJ124" s="10"/>
      <c r="AK124" s="10"/>
      <c r="AL124" s="10"/>
      <c r="AM124" s="10"/>
      <c r="AN124" s="10"/>
      <c r="AO124" s="10"/>
      <c r="AP124" s="10"/>
      <c r="AQ124" s="10"/>
      <c r="AR124" s="10"/>
      <c r="AY124" s="7"/>
      <c r="AZ124" s="60"/>
      <c r="BB124" s="21"/>
      <c r="BE124" s="62"/>
    </row>
    <row r="125" customFormat="false" ht="12.8" hidden="false" customHeight="false" outlineLevel="0" collapsed="false">
      <c r="V125" s="7"/>
      <c r="AY125" s="7"/>
      <c r="AZ125" s="60"/>
      <c r="BB125" s="21"/>
      <c r="BE125" s="62"/>
    </row>
    <row r="126" customFormat="false" ht="12.8" hidden="false" customHeight="false" outlineLevel="0" collapsed="false">
      <c r="V126" s="7"/>
      <c r="AZ126" s="60"/>
      <c r="BB126" s="20"/>
      <c r="BE126" s="62"/>
    </row>
    <row r="127" customFormat="false" ht="12.8" hidden="false" customHeight="false" outlineLevel="0" collapsed="false">
      <c r="V127" s="7"/>
      <c r="AZ127" s="60"/>
      <c r="BA127" s="7"/>
      <c r="BB127" s="20"/>
      <c r="BC127" s="46"/>
      <c r="BD127" s="46"/>
      <c r="BE127" s="62"/>
    </row>
    <row r="128" customFormat="false" ht="12.8" hidden="false" customHeight="false" outlineLevel="0" collapsed="false">
      <c r="V128" s="7"/>
      <c r="AJ128" s="1" t="s">
        <v>83</v>
      </c>
      <c r="AZ128" s="60"/>
      <c r="BB128" s="20"/>
      <c r="BE128" s="62"/>
    </row>
    <row r="129" customFormat="false" ht="12.8" hidden="false" customHeight="true" outlineLevel="0" collapsed="false">
      <c r="V129" s="7"/>
      <c r="AJ129" s="1" t="s">
        <v>84</v>
      </c>
      <c r="AT129" s="61" t="s">
        <v>85</v>
      </c>
      <c r="AZ129" s="60"/>
      <c r="BB129" s="20"/>
      <c r="BE129" s="62"/>
    </row>
    <row r="130" customFormat="false" ht="12.8" hidden="false" customHeight="false" outlineLevel="0" collapsed="false">
      <c r="V130" s="7"/>
      <c r="AJ130" s="10"/>
      <c r="AK130" s="10" t="n">
        <v>1</v>
      </c>
      <c r="AL130" s="10" t="n">
        <v>2</v>
      </c>
      <c r="AM130" s="10" t="n">
        <v>3</v>
      </c>
      <c r="AN130" s="10" t="n">
        <v>4</v>
      </c>
      <c r="AO130" s="10" t="n">
        <v>5</v>
      </c>
      <c r="AP130" s="10" t="n">
        <v>6</v>
      </c>
      <c r="AQ130" s="7" t="s">
        <v>37</v>
      </c>
      <c r="AR130" s="10" t="s">
        <v>86</v>
      </c>
      <c r="AS130" s="7" t="s">
        <v>87</v>
      </c>
      <c r="AT130" s="61"/>
      <c r="AU130" s="7" t="s">
        <v>39</v>
      </c>
      <c r="AV130" s="10" t="s">
        <v>88</v>
      </c>
      <c r="AZ130" s="60"/>
      <c r="BB130" s="20"/>
      <c r="BE130" s="62"/>
    </row>
    <row r="131" customFormat="false" ht="12.8" hidden="false" customHeight="false" outlineLevel="0" collapsed="false">
      <c r="V131" s="7"/>
      <c r="AJ131" s="10" t="n">
        <v>1</v>
      </c>
      <c r="AK131" s="13" t="n">
        <f aca="false">B28</f>
        <v>525000</v>
      </c>
      <c r="AL131" s="13" t="n">
        <f aca="false">C28</f>
        <v>0</v>
      </c>
      <c r="AM131" s="13" t="n">
        <f aca="false">D28</f>
        <v>0</v>
      </c>
      <c r="AN131" s="13" t="n">
        <f aca="false">E28</f>
        <v>-525000</v>
      </c>
      <c r="AO131" s="13" t="n">
        <f aca="false">F28</f>
        <v>0</v>
      </c>
      <c r="AP131" s="13" t="n">
        <f aca="false">G28</f>
        <v>0</v>
      </c>
      <c r="AR131" s="1" t="n">
        <f aca="false" t="array" ref="AR131:AR136">MMULT(B45:G50,BB43:BB48)</f>
        <v>0</v>
      </c>
      <c r="AT131" s="13" t="n">
        <f aca="false">I28</f>
        <v>-0</v>
      </c>
      <c r="AV131" s="13" t="e">
        <f aca="false" t="array" ref="AV131:AV136">MMULT(AK131:AP136,_xlfn.anchorarray(AR131))-AT131:AT136</f>
        <v>#NAME?</v>
      </c>
      <c r="AZ131" s="60"/>
      <c r="BB131" s="21"/>
      <c r="BE131" s="62"/>
    </row>
    <row r="132" customFormat="false" ht="12.8" hidden="false" customHeight="false" outlineLevel="0" collapsed="false">
      <c r="V132" s="7"/>
      <c r="AJ132" s="10" t="n">
        <v>2</v>
      </c>
      <c r="AK132" s="13" t="n">
        <f aca="false">B29</f>
        <v>0</v>
      </c>
      <c r="AL132" s="13" t="n">
        <f aca="false">C29</f>
        <v>328.125</v>
      </c>
      <c r="AM132" s="13" t="n">
        <f aca="false">D29</f>
        <v>656250</v>
      </c>
      <c r="AN132" s="13" t="n">
        <f aca="false">E29</f>
        <v>0</v>
      </c>
      <c r="AO132" s="13" t="n">
        <f aca="false">F29</f>
        <v>-328.125</v>
      </c>
      <c r="AP132" s="13" t="n">
        <f aca="false">G29</f>
        <v>656250</v>
      </c>
      <c r="AR132" s="1" t="n">
        <v>0</v>
      </c>
      <c r="AT132" s="13" t="n">
        <f aca="false">I29</f>
        <v>-20000</v>
      </c>
      <c r="AV132" s="1" t="e">
        <v>#NAME?</v>
      </c>
      <c r="AZ132" s="60"/>
      <c r="BB132" s="21"/>
      <c r="BE132" s="62"/>
    </row>
    <row r="133" customFormat="false" ht="12.8" hidden="false" customHeight="false" outlineLevel="0" collapsed="false">
      <c r="V133" s="7"/>
      <c r="AJ133" s="10" t="n">
        <v>3</v>
      </c>
      <c r="AK133" s="13" t="n">
        <f aca="false">B30</f>
        <v>0</v>
      </c>
      <c r="AL133" s="13" t="n">
        <f aca="false">C30</f>
        <v>656250</v>
      </c>
      <c r="AM133" s="13" t="n">
        <f aca="false">D30</f>
        <v>1750000000</v>
      </c>
      <c r="AN133" s="13" t="n">
        <f aca="false">E30</f>
        <v>0</v>
      </c>
      <c r="AO133" s="13" t="n">
        <f aca="false">F30</f>
        <v>-656250</v>
      </c>
      <c r="AP133" s="13" t="n">
        <f aca="false">G30</f>
        <v>875000000</v>
      </c>
      <c r="AR133" s="1" t="n">
        <v>-0.006532371505047</v>
      </c>
      <c r="AT133" s="13" t="n">
        <f aca="false">I30</f>
        <v>-13333333.3333333</v>
      </c>
      <c r="AV133" s="1" t="e">
        <v>#NAME?</v>
      </c>
      <c r="AZ133" s="60"/>
      <c r="BB133" s="20"/>
      <c r="BE133" s="62"/>
    </row>
    <row r="134" customFormat="false" ht="12.8" hidden="false" customHeight="false" outlineLevel="0" collapsed="false">
      <c r="V134" s="7"/>
      <c r="AJ134" s="10" t="n">
        <v>4</v>
      </c>
      <c r="AK134" s="13" t="n">
        <f aca="false">B31</f>
        <v>-525000</v>
      </c>
      <c r="AL134" s="13" t="n">
        <f aca="false">C31</f>
        <v>0</v>
      </c>
      <c r="AM134" s="13" t="n">
        <f aca="false">D31</f>
        <v>0</v>
      </c>
      <c r="AN134" s="13" t="n">
        <f aca="false">E31</f>
        <v>525000</v>
      </c>
      <c r="AO134" s="13" t="n">
        <f aca="false">F31</f>
        <v>0</v>
      </c>
      <c r="AP134" s="13" t="n">
        <f aca="false">G31</f>
        <v>0</v>
      </c>
      <c r="AR134" s="1" t="n">
        <v>-0.0600395548839677</v>
      </c>
      <c r="AT134" s="13" t="n">
        <f aca="false">I31</f>
        <v>-0</v>
      </c>
      <c r="AV134" s="1" t="e">
        <v>#NAME?</v>
      </c>
      <c r="AZ134" s="60"/>
      <c r="BB134" s="20"/>
      <c r="BE134" s="62"/>
    </row>
    <row r="135" customFormat="false" ht="12.8" hidden="false" customHeight="false" outlineLevel="0" collapsed="false">
      <c r="V135" s="7"/>
      <c r="AJ135" s="10" t="n">
        <v>5</v>
      </c>
      <c r="AK135" s="13" t="n">
        <f aca="false">B32</f>
        <v>0</v>
      </c>
      <c r="AL135" s="13" t="n">
        <f aca="false">C32</f>
        <v>-328.125</v>
      </c>
      <c r="AM135" s="13" t="n">
        <f aca="false">D32</f>
        <v>-656250</v>
      </c>
      <c r="AN135" s="13" t="n">
        <f aca="false">E32</f>
        <v>0</v>
      </c>
      <c r="AO135" s="13" t="n">
        <f aca="false">F32</f>
        <v>328.125</v>
      </c>
      <c r="AP135" s="13" t="n">
        <f aca="false">G32</f>
        <v>-656250</v>
      </c>
      <c r="AR135" s="1" t="n">
        <v>-3.67636243554414E-018</v>
      </c>
      <c r="AT135" s="13" t="n">
        <f aca="false">I32</f>
        <v>-20000</v>
      </c>
      <c r="AV135" s="1" t="e">
        <v>#NAME?</v>
      </c>
    </row>
    <row r="136" customFormat="false" ht="12.8" hidden="false" customHeight="false" outlineLevel="0" collapsed="false">
      <c r="V136" s="7"/>
      <c r="AJ136" s="10" t="n">
        <v>6</v>
      </c>
      <c r="AK136" s="13" t="n">
        <f aca="false">B33</f>
        <v>0</v>
      </c>
      <c r="AL136" s="13" t="n">
        <f aca="false">C33</f>
        <v>656250</v>
      </c>
      <c r="AM136" s="13" t="n">
        <f aca="false">D33</f>
        <v>875000000</v>
      </c>
      <c r="AN136" s="13" t="n">
        <f aca="false">E33</f>
        <v>0</v>
      </c>
      <c r="AO136" s="13" t="n">
        <f aca="false">F33</f>
        <v>-656250</v>
      </c>
      <c r="AP136" s="13" t="n">
        <f aca="false">G33</f>
        <v>1750000000</v>
      </c>
      <c r="AR136" s="1" t="n">
        <v>-0.00217335222800124</v>
      </c>
      <c r="AT136" s="13" t="n">
        <f aca="false">I33</f>
        <v>13333333.3333333</v>
      </c>
      <c r="AV136" s="1" t="e">
        <v>#NAME?</v>
      </c>
    </row>
    <row r="137" customFormat="false" ht="12" hidden="false" customHeight="false" outlineLevel="0" collapsed="false">
      <c r="BX137" s="64"/>
    </row>
    <row r="138" customFormat="false" ht="12" hidden="false" customHeight="false" outlineLevel="0" collapsed="false">
      <c r="BX138" s="64"/>
    </row>
    <row r="139" customFormat="false" ht="12" hidden="false" customHeight="false" outlineLevel="0" collapsed="false">
      <c r="BX139" s="64"/>
    </row>
    <row r="141" customFormat="false" ht="12" hidden="false" customHeight="false" outlineLevel="0" collapsed="false">
      <c r="BX141" s="64"/>
      <c r="CL141" s="56"/>
    </row>
    <row r="142" customFormat="false" ht="12" hidden="false" customHeight="false" outlineLevel="0" collapsed="false">
      <c r="BX142" s="64"/>
    </row>
    <row r="143" customFormat="false" ht="12" hidden="false" customHeight="false" outlineLevel="0" collapsed="false">
      <c r="BX143" s="64"/>
    </row>
    <row r="144" customFormat="false" ht="12" hidden="false" customHeight="false" outlineLevel="0" collapsed="false">
      <c r="BL144" s="7"/>
      <c r="BT144" s="2"/>
    </row>
    <row r="145" customFormat="false" ht="12" hidden="false" customHeight="false" outlineLevel="0" collapsed="false">
      <c r="BL145" s="7"/>
      <c r="BN145" s="7"/>
      <c r="BP145" s="7"/>
      <c r="BR145" s="7"/>
      <c r="BT145" s="42"/>
      <c r="BU145" s="7"/>
      <c r="BV145" s="7"/>
      <c r="BW145" s="7"/>
      <c r="BX145" s="7"/>
      <c r="BY145" s="7"/>
      <c r="BZ145" s="7"/>
      <c r="CA145" s="65"/>
      <c r="CB145" s="7"/>
      <c r="CD145" s="7"/>
      <c r="CF145" s="7"/>
    </row>
    <row r="146" customFormat="false" ht="12" hidden="false" customHeight="false" outlineLevel="0" collapsed="false">
      <c r="BL146" s="7"/>
      <c r="BN146" s="7"/>
      <c r="BP146" s="7"/>
      <c r="BR146" s="7"/>
      <c r="BT146" s="7"/>
      <c r="BU146" s="42"/>
      <c r="BV146" s="7"/>
      <c r="BW146" s="7"/>
      <c r="BX146" s="7"/>
      <c r="BY146" s="7"/>
      <c r="BZ146" s="7"/>
      <c r="CA146" s="66"/>
      <c r="CB146" s="7"/>
      <c r="CD146" s="7"/>
      <c r="CF146" s="7"/>
    </row>
    <row r="147" customFormat="false" ht="12" hidden="false" customHeight="false" outlineLevel="0" collapsed="false">
      <c r="BL147" s="7"/>
      <c r="BN147" s="7"/>
      <c r="BP147" s="7"/>
      <c r="BR147" s="7"/>
      <c r="BT147" s="7"/>
      <c r="BU147" s="7"/>
      <c r="BV147" s="7"/>
      <c r="BW147" s="7"/>
      <c r="BX147" s="7"/>
      <c r="BY147" s="7"/>
      <c r="BZ147" s="7"/>
      <c r="CA147" s="65"/>
      <c r="CB147" s="7"/>
      <c r="CC147" s="7"/>
      <c r="CD147" s="7"/>
      <c r="CE147" s="7"/>
      <c r="CF147" s="7"/>
    </row>
    <row r="148" customFormat="false" ht="12" hidden="false" customHeight="false" outlineLevel="0" collapsed="false">
      <c r="BL148" s="7"/>
      <c r="BN148" s="7"/>
      <c r="BP148" s="7"/>
      <c r="BR148" s="7"/>
      <c r="BT148" s="7"/>
      <c r="BU148" s="7"/>
      <c r="BV148" s="7"/>
      <c r="BW148" s="42"/>
      <c r="BX148" s="42"/>
      <c r="BY148" s="7"/>
      <c r="BZ148" s="7"/>
      <c r="CA148" s="66"/>
      <c r="CB148" s="21"/>
      <c r="CD148" s="7"/>
      <c r="CF148" s="21"/>
    </row>
    <row r="149" customFormat="false" ht="12" hidden="false" customHeight="false" outlineLevel="0" collapsed="false">
      <c r="AM149" s="2"/>
      <c r="BL149" s="7"/>
      <c r="BN149" s="7"/>
      <c r="BP149" s="7"/>
      <c r="BR149" s="7"/>
      <c r="BT149" s="7"/>
      <c r="BU149" s="7"/>
      <c r="BV149" s="7"/>
      <c r="BW149" s="7"/>
      <c r="BX149" s="7"/>
      <c r="BY149" s="42"/>
      <c r="BZ149" s="7"/>
      <c r="CA149" s="66"/>
      <c r="CB149" s="21"/>
      <c r="CD149" s="7"/>
      <c r="CF149" s="21"/>
    </row>
    <row r="150" customFormat="false" ht="12" hidden="false" customHeight="false" outlineLevel="0" collapsed="false">
      <c r="AN150" s="7"/>
      <c r="AO150" s="7"/>
      <c r="AP150" s="7"/>
      <c r="AQ150" s="7"/>
      <c r="AR150" s="7"/>
      <c r="AS150" s="7"/>
      <c r="AT150" s="7"/>
      <c r="AU150" s="7"/>
      <c r="BL150" s="7"/>
      <c r="BN150" s="7"/>
      <c r="BP150" s="7"/>
      <c r="BR150" s="7"/>
      <c r="BT150" s="7"/>
      <c r="BU150" s="7"/>
      <c r="BV150" s="7"/>
      <c r="BW150" s="7"/>
      <c r="BX150" s="7"/>
      <c r="BY150" s="7"/>
      <c r="BZ150" s="7"/>
      <c r="CA150" s="66"/>
      <c r="CB150" s="21"/>
      <c r="CD150" s="7"/>
      <c r="CF150" s="21"/>
    </row>
    <row r="151" customFormat="false" ht="12" hidden="false" customHeight="false" outlineLevel="0" collapsed="false">
      <c r="AM151" s="7"/>
      <c r="AN151" s="21"/>
      <c r="AO151" s="21"/>
      <c r="AP151" s="21"/>
      <c r="AQ151" s="21"/>
      <c r="AR151" s="21"/>
      <c r="AS151" s="21"/>
      <c r="AT151" s="21"/>
      <c r="AU151" s="21"/>
      <c r="AV151" s="7"/>
      <c r="AW151" s="20"/>
      <c r="AX151" s="7"/>
      <c r="AY151" s="21"/>
      <c r="BL151" s="7"/>
      <c r="BM151" s="7"/>
      <c r="BN151" s="7"/>
      <c r="BO151" s="7"/>
      <c r="BP151" s="7"/>
      <c r="BQ151" s="46"/>
      <c r="BR151" s="7"/>
    </row>
    <row r="152" customFormat="false" ht="12" hidden="false" customHeight="false" outlineLevel="0" collapsed="false">
      <c r="AM152" s="7"/>
      <c r="AN152" s="21"/>
      <c r="AO152" s="21"/>
      <c r="AP152" s="21"/>
      <c r="AQ152" s="21"/>
      <c r="AR152" s="21"/>
      <c r="AS152" s="21"/>
      <c r="AT152" s="21"/>
      <c r="AU152" s="21"/>
      <c r="AW152" s="20"/>
      <c r="AY152" s="21"/>
      <c r="BL152" s="42"/>
      <c r="BN152" s="20"/>
      <c r="BP152" s="15"/>
      <c r="BR152" s="17"/>
      <c r="BT152" s="2"/>
    </row>
    <row r="153" customFormat="false" ht="12" hidden="false" customHeight="false" outlineLevel="0" collapsed="false">
      <c r="AM153" s="7"/>
      <c r="AN153" s="21"/>
      <c r="AO153" s="21"/>
      <c r="AP153" s="21"/>
      <c r="AQ153" s="21"/>
      <c r="AR153" s="21"/>
      <c r="AS153" s="21"/>
      <c r="AT153" s="21"/>
      <c r="AU153" s="21"/>
      <c r="AW153" s="20"/>
      <c r="AY153" s="21"/>
      <c r="BL153" s="42"/>
      <c r="BN153" s="20"/>
      <c r="BP153" s="15"/>
      <c r="BR153" s="67"/>
      <c r="BT153" s="21"/>
      <c r="BU153" s="7"/>
      <c r="BV153" s="42"/>
      <c r="BW153" s="21"/>
      <c r="BX153" s="21"/>
      <c r="BY153" s="7"/>
      <c r="BZ153" s="42"/>
      <c r="CB153" s="7"/>
      <c r="CD153" s="7"/>
      <c r="CF153" s="7"/>
      <c r="CH153" s="68"/>
    </row>
    <row r="154" customFormat="false" ht="12" hidden="false" customHeight="false" outlineLevel="0" collapsed="false">
      <c r="AM154" s="7"/>
      <c r="AN154" s="21"/>
      <c r="AO154" s="21"/>
      <c r="AP154" s="21"/>
      <c r="AQ154" s="21"/>
      <c r="AR154" s="21"/>
      <c r="AS154" s="21"/>
      <c r="AT154" s="21"/>
      <c r="AU154" s="21"/>
      <c r="AW154" s="20"/>
      <c r="AY154" s="21"/>
      <c r="BL154" s="42"/>
      <c r="BN154" s="20"/>
      <c r="BP154" s="15"/>
      <c r="BR154" s="17"/>
      <c r="BT154" s="7"/>
      <c r="BU154" s="21"/>
      <c r="BV154" s="21"/>
      <c r="BW154" s="7"/>
      <c r="BX154" s="7"/>
      <c r="BY154" s="21"/>
      <c r="BZ154" s="21"/>
      <c r="CB154" s="7"/>
      <c r="CD154" s="21"/>
      <c r="CF154" s="7"/>
      <c r="CH154" s="68"/>
    </row>
    <row r="155" customFormat="false" ht="12" hidden="false" customHeight="false" outlineLevel="0" collapsed="false">
      <c r="AM155" s="7"/>
      <c r="AN155" s="21"/>
      <c r="AO155" s="21"/>
      <c r="AP155" s="21"/>
      <c r="AQ155" s="21"/>
      <c r="AR155" s="21"/>
      <c r="AS155" s="21"/>
      <c r="AT155" s="21"/>
      <c r="AU155" s="21"/>
      <c r="AW155" s="20"/>
      <c r="AY155" s="21"/>
      <c r="BL155" s="42"/>
      <c r="BN155" s="20"/>
      <c r="BP155" s="21"/>
      <c r="BR155" s="17"/>
      <c r="BT155" s="42"/>
      <c r="BU155" s="21"/>
      <c r="BV155" s="21"/>
      <c r="BW155" s="21"/>
      <c r="BX155" s="21"/>
      <c r="BY155" s="21"/>
      <c r="BZ155" s="21"/>
      <c r="CA155" s="7"/>
      <c r="CB155" s="7"/>
      <c r="CC155" s="7"/>
      <c r="CD155" s="21"/>
      <c r="CE155" s="7"/>
      <c r="CF155" s="7"/>
      <c r="CG155" s="7"/>
      <c r="CH155" s="68"/>
      <c r="CN155" s="52"/>
    </row>
    <row r="156" customFormat="false" ht="12" hidden="false" customHeight="false" outlineLevel="0" collapsed="false">
      <c r="AM156" s="7"/>
      <c r="AN156" s="21"/>
      <c r="AO156" s="21"/>
      <c r="AP156" s="21"/>
      <c r="AQ156" s="21"/>
      <c r="AR156" s="21"/>
      <c r="AS156" s="21"/>
      <c r="AT156" s="21"/>
      <c r="AU156" s="21"/>
      <c r="AW156" s="20"/>
      <c r="AY156" s="21"/>
      <c r="BL156" s="42"/>
      <c r="BN156" s="20"/>
      <c r="BP156" s="21"/>
      <c r="BR156" s="67"/>
      <c r="BT156" s="21"/>
      <c r="BU156" s="7"/>
      <c r="BV156" s="42"/>
      <c r="BW156" s="69"/>
      <c r="BX156" s="69"/>
      <c r="BY156" s="7"/>
      <c r="BZ156" s="42"/>
      <c r="CB156" s="21"/>
      <c r="CD156" s="7"/>
      <c r="CF156" s="7"/>
      <c r="CH156" s="68"/>
    </row>
    <row r="157" customFormat="false" ht="12" hidden="false" customHeight="false" outlineLevel="0" collapsed="false">
      <c r="AM157" s="7"/>
      <c r="AN157" s="21"/>
      <c r="AO157" s="21"/>
      <c r="AP157" s="21"/>
      <c r="AQ157" s="21"/>
      <c r="AR157" s="21"/>
      <c r="AS157" s="21"/>
      <c r="AT157" s="21"/>
      <c r="AU157" s="21"/>
      <c r="AW157" s="20"/>
      <c r="AY157" s="21"/>
      <c r="BD157" s="70"/>
      <c r="BL157" s="42"/>
      <c r="BN157" s="20"/>
      <c r="BO157" s="63"/>
      <c r="BP157" s="7"/>
      <c r="BR157" s="17"/>
      <c r="BT157" s="7"/>
      <c r="BU157" s="21"/>
      <c r="BV157" s="21"/>
      <c r="BW157" s="7"/>
      <c r="BX157" s="7"/>
      <c r="BY157" s="21"/>
      <c r="BZ157" s="21"/>
      <c r="CB157" s="21"/>
      <c r="CD157" s="21"/>
      <c r="CF157" s="7"/>
      <c r="CH157" s="68"/>
    </row>
    <row r="158" customFormat="false" ht="12" hidden="false" customHeight="false" outlineLevel="0" collapsed="false">
      <c r="AM158" s="7"/>
      <c r="AN158" s="21"/>
      <c r="AO158" s="21"/>
      <c r="AP158" s="21"/>
      <c r="AQ158" s="21"/>
      <c r="AR158" s="21"/>
      <c r="AS158" s="21"/>
      <c r="AT158" s="21"/>
      <c r="AU158" s="21"/>
      <c r="AW158" s="20"/>
      <c r="AY158" s="21"/>
      <c r="BD158" s="70"/>
      <c r="BL158" s="42"/>
      <c r="BN158" s="7"/>
      <c r="BP158" s="7"/>
      <c r="BR158" s="7"/>
      <c r="BT158" s="42"/>
      <c r="BU158" s="21"/>
      <c r="BV158" s="21"/>
      <c r="BW158" s="42"/>
      <c r="BX158" s="42"/>
      <c r="BY158" s="21"/>
      <c r="BZ158" s="21"/>
      <c r="CB158" s="21"/>
      <c r="CD158" s="21"/>
      <c r="CF158" s="7"/>
      <c r="CH158" s="71"/>
    </row>
    <row r="159" customFormat="false" ht="12" hidden="false" customHeight="false" outlineLevel="0" collapsed="false">
      <c r="BD159" s="70"/>
      <c r="BR159" s="63"/>
    </row>
    <row r="160" customFormat="false" ht="12" hidden="false" customHeight="false" outlineLevel="0" collapsed="false">
      <c r="AS160" s="56"/>
      <c r="BD160" s="70"/>
      <c r="BK160" s="2"/>
      <c r="BP160" s="63"/>
    </row>
    <row r="161" customFormat="false" ht="12" hidden="false" customHeight="false" outlineLevel="0" collapsed="false">
      <c r="BD161" s="70"/>
      <c r="BJ161" s="7"/>
      <c r="BK161" s="7"/>
      <c r="BL161" s="7"/>
      <c r="BM161" s="7"/>
      <c r="BN161" s="7"/>
      <c r="BO161" s="7"/>
      <c r="BP161" s="7"/>
      <c r="BQ161" s="7"/>
      <c r="BR161" s="7"/>
      <c r="BW161" s="72"/>
      <c r="BX161" s="72"/>
      <c r="CC161" s="56"/>
    </row>
    <row r="162" customFormat="false" ht="12" hidden="false" customHeight="false" outlineLevel="0" collapsed="false">
      <c r="AM162" s="2"/>
      <c r="AZ162" s="73"/>
      <c r="BA162" s="73"/>
      <c r="BB162" s="73"/>
      <c r="BC162" s="73"/>
      <c r="BD162" s="70"/>
      <c r="BK162" s="64"/>
      <c r="BL162" s="64"/>
      <c r="BN162" s="63"/>
      <c r="BT162" s="2"/>
      <c r="CA162" s="64"/>
      <c r="CB162" s="64"/>
      <c r="CC162" s="63"/>
    </row>
    <row r="163" customFormat="false" ht="12" hidden="false" customHeight="false" outlineLevel="0" collapsed="false">
      <c r="AN163" s="7"/>
      <c r="AO163" s="7"/>
      <c r="AP163" s="7"/>
      <c r="AQ163" s="7"/>
      <c r="AR163" s="7"/>
      <c r="AS163" s="7"/>
      <c r="AT163" s="7"/>
      <c r="AU163" s="7"/>
      <c r="AZ163" s="73"/>
      <c r="BA163" s="73"/>
      <c r="BB163" s="73"/>
      <c r="BC163" s="73"/>
      <c r="BD163" s="73"/>
      <c r="BE163" s="73"/>
    </row>
    <row r="164" customFormat="false" ht="12" hidden="false" customHeight="false" outlineLevel="0" collapsed="false">
      <c r="AM164" s="7"/>
      <c r="AN164" s="21"/>
      <c r="AO164" s="21"/>
      <c r="AP164" s="21"/>
      <c r="AQ164" s="21"/>
      <c r="AR164" s="21"/>
      <c r="AS164" s="21"/>
      <c r="AT164" s="21"/>
      <c r="AU164" s="21"/>
      <c r="AV164" s="7"/>
      <c r="AW164" s="13"/>
      <c r="AX164" s="7"/>
      <c r="AY164" s="20"/>
      <c r="AZ164" s="60"/>
      <c r="BA164" s="74"/>
      <c r="BB164" s="73"/>
      <c r="BC164" s="73"/>
      <c r="BD164" s="75"/>
      <c r="BE164" s="73"/>
      <c r="BQ164" s="64"/>
    </row>
    <row r="165" customFormat="false" ht="12" hidden="false" customHeight="false" outlineLevel="0" collapsed="false">
      <c r="AM165" s="7"/>
      <c r="AN165" s="21"/>
      <c r="AO165" s="21"/>
      <c r="AP165" s="21"/>
      <c r="AQ165" s="21"/>
      <c r="AR165" s="21"/>
      <c r="AS165" s="21"/>
      <c r="AT165" s="21"/>
      <c r="AU165" s="21"/>
      <c r="AW165" s="13"/>
      <c r="AY165" s="20"/>
      <c r="AZ165" s="73"/>
      <c r="BA165" s="74"/>
      <c r="BB165" s="73"/>
      <c r="BC165" s="73"/>
      <c r="BD165" s="75"/>
      <c r="BE165" s="73"/>
      <c r="BK165" s="2"/>
      <c r="BT165" s="2"/>
      <c r="BY165" s="2"/>
    </row>
    <row r="166" customFormat="false" ht="12" hidden="false" customHeight="false" outlineLevel="0" collapsed="false">
      <c r="AM166" s="7"/>
      <c r="AN166" s="21"/>
      <c r="AO166" s="21"/>
      <c r="AP166" s="21"/>
      <c r="AQ166" s="21"/>
      <c r="AR166" s="21"/>
      <c r="AS166" s="21"/>
      <c r="AT166" s="21"/>
      <c r="AU166" s="21"/>
      <c r="AW166" s="13"/>
      <c r="AY166" s="20"/>
      <c r="AZ166" s="73"/>
      <c r="BA166" s="74"/>
      <c r="BB166" s="76"/>
      <c r="BC166" s="73"/>
      <c r="BD166" s="77"/>
      <c r="BE166" s="73"/>
      <c r="BP166" s="78"/>
      <c r="BQ166" s="79"/>
      <c r="BR166" s="80"/>
      <c r="BT166" s="20"/>
      <c r="BU166" s="81"/>
      <c r="BV166" s="2"/>
      <c r="BY166" s="20"/>
      <c r="BZ166" s="79"/>
      <c r="CA166" s="2"/>
    </row>
    <row r="167" customFormat="false" ht="12" hidden="false" customHeight="false" outlineLevel="0" collapsed="false">
      <c r="AM167" s="7"/>
      <c r="AN167" s="21"/>
      <c r="AO167" s="21"/>
      <c r="AP167" s="21"/>
      <c r="AQ167" s="21"/>
      <c r="AR167" s="21"/>
      <c r="AS167" s="21"/>
      <c r="AT167" s="21"/>
      <c r="AU167" s="21"/>
      <c r="AW167" s="13"/>
      <c r="AY167" s="20"/>
      <c r="BA167" s="74"/>
      <c r="BB167" s="76"/>
      <c r="BC167" s="73"/>
      <c r="BD167" s="75"/>
      <c r="BE167" s="73"/>
      <c r="BP167" s="78"/>
      <c r="BQ167" s="79"/>
      <c r="BR167" s="80"/>
      <c r="BT167" s="20"/>
      <c r="BU167" s="81"/>
      <c r="BV167" s="2"/>
      <c r="BY167" s="20"/>
      <c r="BZ167" s="79"/>
      <c r="CA167" s="2"/>
    </row>
    <row r="168" customFormat="false" ht="12" hidden="false" customHeight="false" outlineLevel="0" collapsed="false">
      <c r="AM168" s="7"/>
      <c r="AN168" s="21"/>
      <c r="AO168" s="21"/>
      <c r="AP168" s="21"/>
      <c r="AQ168" s="21"/>
      <c r="AR168" s="21"/>
      <c r="AS168" s="21"/>
      <c r="AT168" s="21"/>
      <c r="AU168" s="21"/>
      <c r="AW168" s="13"/>
      <c r="AY168" s="20"/>
      <c r="AZ168" s="73"/>
      <c r="BA168" s="74"/>
      <c r="BB168" s="73"/>
      <c r="BC168" s="73"/>
      <c r="BD168" s="75"/>
      <c r="BE168" s="73"/>
      <c r="BP168" s="78"/>
      <c r="BQ168" s="79"/>
      <c r="BR168" s="80"/>
      <c r="BT168" s="20"/>
      <c r="BU168" s="81"/>
      <c r="BV168" s="2"/>
      <c r="BW168" s="82"/>
      <c r="BX168" s="82"/>
      <c r="BY168" s="20"/>
      <c r="BZ168" s="79"/>
      <c r="CA168" s="2"/>
    </row>
    <row r="169" customFormat="false" ht="12" hidden="false" customHeight="false" outlineLevel="0" collapsed="false">
      <c r="AM169" s="7"/>
      <c r="AN169" s="21"/>
      <c r="AO169" s="21"/>
      <c r="AP169" s="21"/>
      <c r="AQ169" s="21"/>
      <c r="AR169" s="21"/>
      <c r="AS169" s="21"/>
      <c r="AT169" s="21"/>
      <c r="AU169" s="21"/>
      <c r="AW169" s="13"/>
      <c r="AY169" s="20"/>
      <c r="AZ169" s="73"/>
      <c r="BA169" s="74"/>
      <c r="BB169" s="73"/>
      <c r="BC169" s="73"/>
      <c r="BD169" s="75"/>
      <c r="BE169" s="73"/>
      <c r="BL169" s="83"/>
      <c r="BM169" s="84"/>
      <c r="BN169" s="84"/>
      <c r="BP169" s="78"/>
      <c r="BQ169" s="79"/>
      <c r="BT169" s="20"/>
      <c r="BU169" s="81"/>
      <c r="BV169" s="2"/>
      <c r="BW169" s="82"/>
      <c r="BX169" s="82"/>
      <c r="BY169" s="20"/>
      <c r="BZ169" s="79"/>
      <c r="CA169" s="2"/>
    </row>
    <row r="170" customFormat="false" ht="12" hidden="false" customHeight="false" outlineLevel="0" collapsed="false">
      <c r="AM170" s="7"/>
      <c r="AN170" s="21"/>
      <c r="AO170" s="21"/>
      <c r="AP170" s="21"/>
      <c r="AQ170" s="21"/>
      <c r="AR170" s="21"/>
      <c r="AS170" s="21"/>
      <c r="AT170" s="21"/>
      <c r="AU170" s="21"/>
      <c r="AW170" s="13"/>
      <c r="AY170" s="20"/>
      <c r="AZ170" s="73"/>
      <c r="BA170" s="74"/>
      <c r="BB170" s="76"/>
      <c r="BC170" s="73"/>
      <c r="BD170" s="75"/>
      <c r="BE170" s="73"/>
      <c r="BP170" s="78"/>
      <c r="BQ170" s="70"/>
      <c r="BT170" s="20"/>
      <c r="BU170" s="81"/>
      <c r="BV170" s="2"/>
      <c r="BY170" s="20"/>
      <c r="BZ170" s="79"/>
      <c r="CA170" s="2"/>
    </row>
    <row r="171" customFormat="false" ht="12" hidden="false" customHeight="false" outlineLevel="0" collapsed="false">
      <c r="AM171" s="7"/>
      <c r="AN171" s="21"/>
      <c r="AO171" s="21"/>
      <c r="AP171" s="21"/>
      <c r="AQ171" s="21"/>
      <c r="AR171" s="21"/>
      <c r="AS171" s="21"/>
      <c r="AT171" s="21"/>
      <c r="AU171" s="21"/>
      <c r="AW171" s="13"/>
      <c r="AY171" s="20"/>
      <c r="AZ171" s="73"/>
      <c r="BA171" s="74"/>
      <c r="BB171" s="76"/>
      <c r="BC171" s="73"/>
      <c r="BD171" s="75"/>
      <c r="BE171" s="73"/>
      <c r="BP171" s="78"/>
      <c r="BQ171" s="70"/>
      <c r="BT171" s="20"/>
      <c r="BU171" s="81"/>
      <c r="BV171" s="2"/>
      <c r="BY171" s="20"/>
      <c r="BZ171" s="79"/>
      <c r="CA171" s="2"/>
      <c r="CF171" s="2"/>
    </row>
    <row r="172" customFormat="false" ht="12" hidden="false" customHeight="false" outlineLevel="0" collapsed="false">
      <c r="BB172" s="73"/>
      <c r="BC172" s="73"/>
      <c r="BD172" s="73"/>
      <c r="BE172" s="73"/>
      <c r="BW172" s="82"/>
      <c r="BX172" s="82"/>
      <c r="BY172" s="20"/>
      <c r="BZ172" s="79"/>
      <c r="CA172" s="2"/>
    </row>
    <row r="173" customFormat="false" ht="12" hidden="false" customHeight="false" outlineLevel="0" collapsed="false">
      <c r="AZ173" s="73"/>
      <c r="BA173" s="73"/>
      <c r="BB173" s="85"/>
      <c r="BC173" s="73"/>
      <c r="BD173" s="73"/>
      <c r="BE173" s="73"/>
      <c r="BF173" s="73"/>
      <c r="BW173" s="82"/>
      <c r="BX173" s="82"/>
      <c r="BY173" s="20"/>
      <c r="BZ173" s="79"/>
      <c r="CA173" s="2"/>
    </row>
    <row r="174" customFormat="false" ht="12" hidden="false" customHeight="false" outlineLevel="0" collapsed="false">
      <c r="AZ174" s="73"/>
      <c r="BA174" s="73"/>
      <c r="BB174" s="73"/>
      <c r="BC174" s="73"/>
      <c r="BD174" s="73"/>
      <c r="BE174" s="73"/>
      <c r="BF174" s="73"/>
    </row>
    <row r="175" customFormat="false" ht="12" hidden="false" customHeight="false" outlineLevel="0" collapsed="false">
      <c r="AM175" s="2"/>
      <c r="AZ175" s="73"/>
      <c r="BA175" s="73"/>
      <c r="BB175" s="73"/>
      <c r="BC175" s="73"/>
      <c r="BD175" s="73"/>
      <c r="BE175" s="73"/>
      <c r="BF175" s="73"/>
    </row>
    <row r="176" customFormat="false" ht="12" hidden="false" customHeight="false" outlineLevel="0" collapsed="false">
      <c r="AN176" s="7"/>
      <c r="AO176" s="7"/>
      <c r="AP176" s="7"/>
      <c r="AQ176" s="7"/>
      <c r="AR176" s="7"/>
      <c r="AS176" s="7"/>
      <c r="AT176" s="7"/>
      <c r="AU176" s="7"/>
      <c r="AW176" s="21"/>
      <c r="AZ176" s="73"/>
      <c r="BA176" s="73"/>
      <c r="BB176" s="73"/>
      <c r="BC176" s="73"/>
      <c r="BD176" s="73"/>
      <c r="BE176" s="73"/>
      <c r="BF176" s="73"/>
      <c r="BK176" s="2"/>
      <c r="BP176" s="2"/>
      <c r="BT176" s="2"/>
      <c r="BY176" s="2"/>
      <c r="CD176" s="2"/>
      <c r="CI176" s="2"/>
      <c r="CM176" s="2"/>
    </row>
    <row r="177" customFormat="false" ht="12" hidden="false" customHeight="false" outlineLevel="0" collapsed="false">
      <c r="AM177" s="7"/>
      <c r="AN177" s="21"/>
      <c r="AO177" s="21"/>
      <c r="AP177" s="21"/>
      <c r="AQ177" s="21"/>
      <c r="AR177" s="42"/>
      <c r="AS177" s="42"/>
      <c r="AT177" s="42"/>
      <c r="AU177" s="42"/>
      <c r="AW177" s="21"/>
      <c r="AY177" s="21"/>
      <c r="AZ177" s="73"/>
      <c r="BA177" s="15"/>
      <c r="BB177" s="73"/>
      <c r="BC177" s="71"/>
      <c r="BD177" s="71"/>
      <c r="BE177" s="73"/>
      <c r="BF177" s="49"/>
      <c r="BK177" s="15"/>
      <c r="BL177" s="70"/>
      <c r="BM177" s="2"/>
      <c r="BP177" s="7"/>
      <c r="BQ177" s="70"/>
      <c r="BR177" s="2"/>
      <c r="BT177" s="7"/>
      <c r="BU177" s="70"/>
      <c r="BV177" s="2"/>
      <c r="BY177" s="7"/>
      <c r="BZ177" s="70"/>
      <c r="CA177" s="2"/>
      <c r="CD177" s="7"/>
      <c r="CE177" s="70"/>
      <c r="CF177" s="2"/>
      <c r="CI177" s="7"/>
      <c r="CJ177" s="70"/>
      <c r="CK177" s="2"/>
      <c r="CM177" s="7"/>
      <c r="CN177" s="70"/>
      <c r="CO177" s="2"/>
    </row>
    <row r="178" customFormat="false" ht="12" hidden="false" customHeight="false" outlineLevel="0" collapsed="false">
      <c r="AM178" s="7"/>
      <c r="AN178" s="21"/>
      <c r="AO178" s="21"/>
      <c r="AP178" s="21"/>
      <c r="AQ178" s="21"/>
      <c r="AR178" s="42"/>
      <c r="AS178" s="42"/>
      <c r="AT178" s="42"/>
      <c r="AU178" s="42"/>
      <c r="AW178" s="21"/>
      <c r="AY178" s="21"/>
      <c r="AZ178" s="73"/>
      <c r="BA178" s="15"/>
      <c r="BB178" s="73"/>
      <c r="BC178" s="71"/>
      <c r="BD178" s="71"/>
      <c r="BE178" s="73"/>
      <c r="BF178" s="49"/>
      <c r="BK178" s="15"/>
      <c r="BL178" s="70"/>
      <c r="BM178" s="2"/>
      <c r="BP178" s="7"/>
      <c r="BQ178" s="70"/>
      <c r="BR178" s="2"/>
      <c r="BT178" s="7"/>
      <c r="BU178" s="70"/>
      <c r="BV178" s="2"/>
      <c r="BY178" s="7"/>
      <c r="BZ178" s="70"/>
      <c r="CA178" s="2"/>
      <c r="CD178" s="7"/>
      <c r="CE178" s="70"/>
      <c r="CF178" s="2"/>
      <c r="CI178" s="7"/>
      <c r="CJ178" s="70"/>
      <c r="CK178" s="2"/>
      <c r="CM178" s="7"/>
      <c r="CN178" s="70"/>
      <c r="CO178" s="2"/>
    </row>
    <row r="179" customFormat="false" ht="12" hidden="false" customHeight="false" outlineLevel="0" collapsed="false">
      <c r="AM179" s="7"/>
      <c r="AN179" s="21"/>
      <c r="AO179" s="21"/>
      <c r="AP179" s="21"/>
      <c r="AQ179" s="21"/>
      <c r="AR179" s="42"/>
      <c r="AS179" s="42"/>
      <c r="AT179" s="42"/>
      <c r="AU179" s="42"/>
      <c r="AV179" s="7"/>
      <c r="AW179" s="21"/>
      <c r="AX179" s="7"/>
      <c r="AY179" s="21"/>
      <c r="AZ179" s="60"/>
      <c r="BA179" s="15"/>
      <c r="BB179" s="60"/>
      <c r="BC179" s="71"/>
      <c r="BD179" s="71"/>
      <c r="BE179" s="60"/>
      <c r="BF179" s="49"/>
      <c r="BK179" s="15"/>
      <c r="BL179" s="70"/>
      <c r="BM179" s="2"/>
      <c r="BP179" s="7"/>
      <c r="BQ179" s="70"/>
      <c r="BR179" s="2"/>
      <c r="BT179" s="7"/>
      <c r="BU179" s="70"/>
      <c r="BV179" s="2"/>
      <c r="BY179" s="7"/>
      <c r="BZ179" s="70"/>
      <c r="CA179" s="2"/>
      <c r="CD179" s="7"/>
      <c r="CE179" s="70"/>
      <c r="CF179" s="2"/>
      <c r="CI179" s="7"/>
      <c r="CJ179" s="70"/>
      <c r="CK179" s="2"/>
      <c r="CM179" s="7"/>
      <c r="CN179" s="70"/>
      <c r="CO179" s="2"/>
    </row>
    <row r="180" customFormat="false" ht="12" hidden="false" customHeight="false" outlineLevel="0" collapsed="false">
      <c r="AM180" s="7"/>
      <c r="AN180" s="7"/>
      <c r="AO180" s="7"/>
      <c r="AP180" s="7"/>
      <c r="AQ180" s="7"/>
      <c r="AR180" s="21"/>
      <c r="AS180" s="21"/>
      <c r="AT180" s="21"/>
      <c r="AU180" s="21"/>
      <c r="AW180" s="21"/>
      <c r="AY180" s="21"/>
      <c r="AZ180" s="73"/>
      <c r="BA180" s="15"/>
      <c r="BB180" s="73"/>
      <c r="BC180" s="71"/>
      <c r="BD180" s="71"/>
      <c r="BE180" s="73"/>
      <c r="BF180" s="49"/>
      <c r="BK180" s="15"/>
      <c r="BL180" s="70"/>
      <c r="BM180" s="2"/>
      <c r="BP180" s="7"/>
      <c r="BQ180" s="70"/>
      <c r="BR180" s="2"/>
      <c r="BT180" s="7"/>
      <c r="BU180" s="70"/>
      <c r="BV180" s="2"/>
      <c r="BY180" s="7"/>
      <c r="BZ180" s="70"/>
      <c r="CA180" s="2"/>
      <c r="CD180" s="7"/>
      <c r="CE180" s="70"/>
      <c r="CF180" s="2"/>
      <c r="CI180" s="7"/>
      <c r="CJ180" s="70"/>
      <c r="CK180" s="2"/>
      <c r="CM180" s="7"/>
      <c r="CN180" s="70"/>
      <c r="CO180" s="2"/>
    </row>
    <row r="181" customFormat="false" ht="12" hidden="false" customHeight="false" outlineLevel="0" collapsed="false">
      <c r="AM181" s="7"/>
      <c r="AN181" s="7"/>
      <c r="AO181" s="7"/>
      <c r="AP181" s="7"/>
      <c r="AQ181" s="7"/>
      <c r="AR181" s="21"/>
      <c r="AS181" s="21"/>
      <c r="AT181" s="21"/>
      <c r="AU181" s="21"/>
      <c r="AW181" s="21"/>
      <c r="AY181" s="21"/>
      <c r="AZ181" s="73"/>
      <c r="BA181" s="15"/>
      <c r="BB181" s="73"/>
      <c r="BC181" s="71"/>
      <c r="BD181" s="71"/>
      <c r="BE181" s="73"/>
      <c r="BF181" s="49"/>
      <c r="BK181" s="15"/>
      <c r="BL181" s="70"/>
      <c r="BM181" s="2"/>
      <c r="BP181" s="7"/>
      <c r="BQ181" s="70"/>
      <c r="BR181" s="2"/>
      <c r="BT181" s="7"/>
      <c r="BU181" s="70"/>
      <c r="BV181" s="2"/>
      <c r="BY181" s="7"/>
      <c r="BZ181" s="70"/>
      <c r="CA181" s="2"/>
      <c r="CD181" s="7"/>
      <c r="CE181" s="70"/>
      <c r="CF181" s="2"/>
      <c r="CI181" s="7"/>
      <c r="CJ181" s="70"/>
      <c r="CK181" s="2"/>
      <c r="CM181" s="7"/>
      <c r="CN181" s="70"/>
      <c r="CO181" s="2"/>
    </row>
    <row r="182" customFormat="false" ht="12" hidden="false" customHeight="false" outlineLevel="0" collapsed="false">
      <c r="AM182" s="7"/>
      <c r="AN182" s="7"/>
      <c r="AO182" s="7"/>
      <c r="AP182" s="7"/>
      <c r="AQ182" s="7"/>
      <c r="AR182" s="21"/>
      <c r="AS182" s="21"/>
      <c r="AT182" s="21"/>
      <c r="AU182" s="21"/>
      <c r="AW182" s="21"/>
      <c r="AY182" s="21"/>
      <c r="AZ182" s="73"/>
      <c r="BA182" s="15"/>
      <c r="BB182" s="73"/>
      <c r="BC182" s="71"/>
      <c r="BD182" s="71"/>
      <c r="BE182" s="73"/>
      <c r="BF182" s="49"/>
      <c r="BK182" s="15"/>
      <c r="BL182" s="70"/>
      <c r="BM182" s="2"/>
      <c r="BP182" s="7"/>
      <c r="BQ182" s="70"/>
      <c r="BR182" s="2"/>
      <c r="BT182" s="7"/>
      <c r="BU182" s="70"/>
      <c r="BV182" s="2"/>
      <c r="BY182" s="7"/>
      <c r="BZ182" s="70"/>
      <c r="CA182" s="2"/>
      <c r="CD182" s="7"/>
      <c r="CE182" s="70"/>
      <c r="CF182" s="2"/>
      <c r="CI182" s="7"/>
      <c r="CJ182" s="70"/>
      <c r="CK182" s="2"/>
      <c r="CM182" s="7"/>
      <c r="CN182" s="70"/>
      <c r="CO182" s="2"/>
    </row>
    <row r="183" customFormat="false" ht="12" hidden="false" customHeight="false" outlineLevel="0" collapsed="false">
      <c r="AW183" s="21"/>
      <c r="AZ183" s="73"/>
      <c r="BA183" s="73"/>
      <c r="BB183" s="73"/>
      <c r="BC183" s="73"/>
      <c r="BD183" s="73"/>
      <c r="BE183" s="73"/>
      <c r="BF183" s="73"/>
      <c r="BT183" s="70"/>
    </row>
    <row r="184" customFormat="false" ht="12" hidden="false" customHeight="false" outlineLevel="0" collapsed="false">
      <c r="AW184" s="21"/>
      <c r="BE184" s="73"/>
      <c r="BF184" s="73"/>
    </row>
    <row r="185" customFormat="false" ht="12" hidden="false" customHeight="false" outlineLevel="0" collapsed="false">
      <c r="AW185" s="21"/>
      <c r="AZ185" s="73"/>
      <c r="BA185" s="73"/>
      <c r="BB185" s="73"/>
      <c r="BC185" s="73"/>
      <c r="BD185" s="73"/>
      <c r="BE185" s="73"/>
      <c r="BF185" s="73"/>
      <c r="BK185" s="2"/>
      <c r="BR185" s="86"/>
    </row>
    <row r="186" customFormat="false" ht="12" hidden="false" customHeight="false" outlineLevel="0" collapsed="false">
      <c r="AW186" s="21"/>
      <c r="BL186" s="79"/>
      <c r="BM186" s="2"/>
    </row>
    <row r="187" customFormat="false" ht="12" hidden="false" customHeight="false" outlineLevel="0" collapsed="false">
      <c r="BL187" s="79"/>
      <c r="BM187" s="2"/>
    </row>
    <row r="190" customFormat="false" ht="12" hidden="false" customHeight="false" outlineLevel="0" collapsed="false">
      <c r="BL190" s="79"/>
      <c r="BM190" s="2"/>
    </row>
    <row r="191" customFormat="false" ht="12" hidden="false" customHeight="false" outlineLevel="0" collapsed="false">
      <c r="BL191" s="79"/>
      <c r="BM191" s="2"/>
    </row>
    <row r="192" customFormat="false" ht="12" hidden="false" customHeight="false" outlineLevel="0" collapsed="false">
      <c r="BL192" s="79"/>
      <c r="BM192" s="2"/>
    </row>
    <row r="193" customFormat="false" ht="12" hidden="false" customHeight="false" outlineLevel="0" collapsed="false">
      <c r="BL193" s="79"/>
      <c r="BM193" s="2"/>
    </row>
    <row r="195" customFormat="false" ht="12" hidden="false" customHeight="false" outlineLevel="0" collapsed="false">
      <c r="BL195" s="79"/>
      <c r="BM195" s="2"/>
    </row>
    <row r="198" customFormat="false" ht="12" hidden="false" customHeight="false" outlineLevel="0" collapsed="false">
      <c r="BL198" s="79"/>
      <c r="BM198" s="2"/>
    </row>
    <row r="199" customFormat="false" ht="12" hidden="false" customHeight="false" outlineLevel="0" collapsed="false">
      <c r="BL199" s="79"/>
      <c r="BM199" s="2"/>
    </row>
    <row r="200" customFormat="false" ht="12" hidden="false" customHeight="false" outlineLevel="0" collapsed="false">
      <c r="BL200" s="79"/>
      <c r="BM200" s="2"/>
    </row>
    <row r="201" customFormat="false" ht="12" hidden="false" customHeight="false" outlineLevel="0" collapsed="false">
      <c r="BL201" s="79"/>
      <c r="BM201" s="2"/>
    </row>
    <row r="203" customFormat="false" ht="12" hidden="false" customHeight="false" outlineLevel="0" collapsed="false">
      <c r="BL203" s="79"/>
      <c r="BM203" s="2"/>
    </row>
    <row r="206" customFormat="false" ht="12" hidden="false" customHeight="false" outlineLevel="0" collapsed="false">
      <c r="BL206" s="79"/>
      <c r="BM206" s="2"/>
    </row>
    <row r="207" customFormat="false" ht="12" hidden="false" customHeight="false" outlineLevel="0" collapsed="false">
      <c r="BL207" s="79"/>
      <c r="BM207" s="2"/>
    </row>
    <row r="208" customFormat="false" ht="12" hidden="false" customHeight="false" outlineLevel="0" collapsed="false">
      <c r="BL208" s="79"/>
      <c r="BM208" s="2"/>
    </row>
    <row r="209" customFormat="false" ht="12" hidden="false" customHeight="false" outlineLevel="0" collapsed="false">
      <c r="BL209" s="79"/>
      <c r="BM209" s="2"/>
    </row>
    <row r="219" customFormat="false" ht="12" hidden="false" customHeight="false" outlineLevel="0" collapsed="false">
      <c r="BF219" s="73"/>
    </row>
    <row r="220" customFormat="false" ht="12" hidden="false" customHeight="false" outlineLevel="0" collapsed="false">
      <c r="BF220" s="73"/>
    </row>
    <row r="221" customFormat="false" ht="12" hidden="false" customHeight="false" outlineLevel="0" collapsed="false">
      <c r="BF221" s="73"/>
    </row>
    <row r="222" customFormat="false" ht="12" hidden="false" customHeight="false" outlineLevel="0" collapsed="false">
      <c r="BF222" s="73"/>
    </row>
    <row r="223" customFormat="false" ht="12" hidden="false" customHeight="false" outlineLevel="0" collapsed="false">
      <c r="BF223" s="73"/>
    </row>
    <row r="224" customFormat="false" ht="12" hidden="false" customHeight="false" outlineLevel="0" collapsed="false">
      <c r="BF224" s="73"/>
    </row>
    <row r="225" customFormat="false" ht="12" hidden="false" customHeight="false" outlineLevel="0" collapsed="false">
      <c r="BF225" s="73"/>
    </row>
    <row r="226" customFormat="false" ht="12" hidden="false" customHeight="false" outlineLevel="0" collapsed="false">
      <c r="BF226" s="73"/>
    </row>
    <row r="227" customFormat="false" ht="12" hidden="false" customHeight="false" outlineLevel="0" collapsed="false">
      <c r="BF227" s="73"/>
    </row>
  </sheetData>
  <mergeCells count="1">
    <mergeCell ref="AT129:AT130"/>
  </mergeCells>
  <conditionalFormatting sqref="AZ43:AZ54 AZ90:AZ101">
    <cfRule type="expression" priority="2" aboveAverage="0" equalAverage="0" bottom="0" percent="0" rank="0" text="" dxfId="0">
      <formula>ABS(AZ43)&lt;0.1</formula>
    </cfRule>
  </conditionalFormatting>
  <conditionalFormatting sqref="AK43:AV54 AK60:AV71 AK75:AV86">
    <cfRule type="expression" priority="3" aboveAverage="0" equalAverage="0" bottom="0" percent="0" rank="0" text="" dxfId="1">
      <formula>ABS(AK43)&lt;0.1</formula>
    </cfRule>
  </conditionalFormatting>
  <conditionalFormatting sqref="BR166:BR168">
    <cfRule type="cellIs" priority="4" operator="equal" aboveAverage="0" equalAverage="0" bottom="0" percent="0" rank="0" text="" dxfId="2">
      <formula>"VIRHE!"</formula>
    </cfRule>
    <cfRule type="cellIs" priority="5" operator="equal" aboveAverage="0" equalAverage="0" bottom="0" percent="0" rank="0" text="" dxfId="3">
      <formula>"OK!"</formula>
    </cfRule>
  </conditionalFormatting>
  <conditionalFormatting sqref="AK90:AV101">
    <cfRule type="expression" priority="6" aboveAverage="0" equalAverage="0" bottom="0" percent="0" rank="0" text="" dxfId="1">
      <formula>ABS(AK90)&lt;0.1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DataMashup xmlns="http://schemas.microsoft.com/DataMashup">AAAAAIkEAABQSwMEFAACAAgAMqxNWvSflwGnAAAA9wAAABIAHABDb25maWcvUGFja2FnZS54bWwgohgAKKAUAAAAAAAAAAAAAAAAAAAAAAAAAAAAhY8xDoIwGIWvQrrTFhgE8lMGExMTSUxMjGtTKjRCMbRY7ubgkbyCGEXdHN/3vuG9+/UG+dg23kX2RnU6QwGmyJNadKXSVYYGe/RjlDPYcnHilfQmWZt0NGWGamvPKSHOOewi3PUVCSkNyKHY7EQtW44+svov+0oby7WQiMH+NYaFOIgSHMSLBFMgM4VC6a8RToOf7Q+E5dDYoZfsqPzVGsgcgbxPsAdQSwMEFAACAAgAMqxNWg/K6aukAAAA6QAAABMAHABbQ29udGVudF9UeXBlc10ueG1sIKIYACigFAAAAAAAAAAAAAAAAAAAAAAAAAAAAG2OSw7CMAxErxJ5n7qwQAg1ZQHcgAtEwf2I5qPGReFsLDgSVyBtd4ilZ+Z55vN6V8dkB/GgMfbeKdgUJQhyxt961yqYuJF7ONbV9Rkoihx1UUHHHA6I0XRkdSx8IJedxo9Wcz7HFoM2d90Sbstyh8Y7JseS5x9QV2dq9DSwuKQsr7UZB3Fac3OVAqbEuMj4l7A/eR3C0BvN2cQkbZR2IXEZXn8BUEsDBBQAAgAIADKsTVq/FywcgAEAAE4IAAATABwARm9ybXVsYXMvU2VjdGlvbjEubSCiGAAooBQAAAAAAAAAAAAAAAAAAAAAAAAAAADtVMtqwzAQvAfyD0K5OGBMlXcpuTTtoaUtlBh6CDkoyZYI25KRVyUm5G/6J/2xqjEkcora3htfzGhWu8MM2gKWKJQk0+rPrpqNZqNYcw0rEnOTmiRRjIxJCthsEPs9fLyvV2BPbjdLSKOJ0RokviidLJRKgvZ29sQzGNPDZTrfzSZKoq2ah1WPFn00BgHRECzLPBfU9ov5IoUo1lwWr0pnE5WaTMZlDkVQzQy3WzrlmifAaGgv5kAQNrjbtQ9t7zknxb6EqEIISUArRJGBJJlJOJfHQdM8FVgNCb7rCYkzal+KoKs7sZ15Xd5AKjJhDwMa2pJnoxCmWNrGk+KtHZKD1Ig5zaKOC7ou6Lmg74KBC4YuGLng0gXsooZqGlhNBKupYDUZrE8dc088Yr+E9pc0nEijeqiugx0v0/UyPS/T9zIDLzP0MiMvc+ll9uF4KL8LzG/DPsM7iYNe9OV9nev9wPVPHlKzIaQ3bnc1tI7vmwSdNj1viPOGOG+If78hPgFQSwECLQAUAAIACAAyrE1a9J+XAacAAAD3AAAAEgAAAAAAAAAAAAAAAAAAAAAAQ29uZmlnL1BhY2thZ2UueG1sUEsBAi0AFAACAAgAMqxNWg/K6aukAAAA6QAAABMAAAAAAAAAAAAAAAAA8wAAAFtDb250ZW50X1R5cGVzXS54bWxQSwECLQAUAAIACAAyrE1avxcsHIABAABOCAAAEwAAAAAAAAAAAAAAAADkAQAARm9ybXVsYXMvU2VjdGlvbjEubVBLBQYAAAAAAwADAMIAAACxAwAAAAAQAQAA77u/PD94bWwgdmVyc2lvbj0iMS4wIiBlbmNvZGluZz0idXRmLTgiPz48UGVybWlzc2lvbkxpc3QgeG1sbnM6eHNkPSJodHRwOi8vd3d3LnczLm9yZy8yMDAxL1hNTFNjaGVtYSIgeG1sbnM6eHNpPSJodHRwOi8vd3d3LnczLm9yZy8yMDAxL1hNTFNjaGVtYS1pbnN0YW5jZSI+PENhbkV2YWx1YXRlRnV0dXJlUGFja2FnZXM+ZmFsc2U8L0NhbkV2YWx1YXRlRnV0dXJlUGFja2FnZXM+PEZpcmV3YWxsRW5hYmxlZD50cnVlPC9GaXJld2FsbEVuYWJsZWQ+PC9QZXJtaXNzaW9uTGlzdD4RIQAAAAAAAO8gAADvu788P3htbCB2ZXJzaW9uPSIxLjAiIGVuY29kaW5nPSJ1dGYtOCI/PjxMb2NhbFBhY2thZ2VNZXRhZGF0YUZpbGUgeG1sbnM6eHNkPSJodHRwOi8vd3d3LnczLm9yZy8yMDAxL1hNTFNjaGVtYSIgeG1sbnM6eHNpPSJodHRwOi8vd3d3LnczLm9yZy8yMDAxL1hNTFNjaGVtYS1pbnN0YW5jZSI+PEl0ZW1zPjxJdGVtPjxJdGVtTG9jYXRpb24+PEl0ZW1UeXBlPkFsbEZvcm11bGFzPC9JdGVtVHlwZT48SXRlbVBhdGggLz48L0l0ZW1Mb2NhdGlvbj48U3RhYmxlRW50cmllcyAvPjwvSXRlbT48SXRlbT48SXRlbUxvY2F0aW9uPjxJdGVtVHlwZT5Gb3JtdWxhPC9JdGVtVHlwZT48SXRlbVBhdGg+U2VjdGlvbjEvVGF1bHVra28xPC9JdGVtUGF0aD48L0l0ZW1Mb2NhdGlvbj48U3RhYmxlRW50cmllcz48RW50cnkgVHlwZT0iSXNQcml2YXRlIiBWYWx1ZT0ibDAiIC8+PEVudHJ5IFR5cGU9IlF1ZXJ5SUQiIFZhbHVlPSJzNjljZjg3MmMtNjYzOS00MjY0LWI5NTgtZTdlYzI4OWYxMDc0IiAvPjxFbnRyeSBUeXBlPSJGaWxsRW5hYmxlZCIgVmFsdWU9ImwwIiAvPjxFbnRyeSBUeXBlPSJGaWxsT2JqZWN0VHlwZSIgVmFsdWU9InNDb25uZWN0aW9uT25seSIgLz48RW50cnkgVHlwZT0iRmlsbFRvRGF0YU1vZGVsRW5hYmxlZCIgVmFsdWU9ImwwIiAvPjxFbnRyeSBUeXBlPSJOYXZpZ2F0aW9uU3RlcE5hbWUiIFZhbHVlPSJzU2lpcnR5bWluZW4iIC8+PEVudHJ5IFR5cGU9Ik5hbWVVcGRhdGVkQWZ0ZXJGaWxsIiBWYWx1ZT0ibDAiIC8+PEVudHJ5IFR5cGU9IlJlc3VsdFR5cGUiIFZhbHVlPSJzRXhjZXB0aW9uIiAvPjxFbnRyeSBUeXBlPSJCdWZmZXJOZXh0UmVmcmVzaCIgVmFsdWU9ImwxIiAvPjxFbnRyeSBUeXBlPSJGaWxsZWRDb21wbGV0ZVJlc3VsdFRvV29ya3NoZWV0IiBWYWx1ZT0ibDEiIC8+PEVudHJ5IFR5cGU9IkFkZGVkVG9EYXRhTW9kZWwiIFZhbHVlPSJsMCIgLz48RW50cnkgVHlwZT0iRmlsbENvdW50IiBWYWx1ZT0ibDE0IiAvPjxFbnRyeSBUeXBlPSJGaWxsRXJyb3JDb2RlIiBWYWx1ZT0ic1Vua25vd24iIC8+PEVudHJ5IFR5cGU9IkZpbGxFcnJvckNvdW50IiBWYWx1ZT0ibDAiIC8+PEVudHJ5IFR5cGU9IkZpbGxMYXN0VXBkYXRlZCIgVmFsdWU9ImQyMDI1LTAxLTMxVDE2OjQ4OjU0LjkxNTcyOTVaIiAvPjxFbnRyeSBUeXBlPSJGaWxsQ29sdW1uVHlwZXMiIFZhbHVlPSJzQmdZR0JnWUdCZ1lHQmdZR0F3TUciIC8+PEVudHJ5IFR5cGU9IkZpbGxDb2x1bW5OYW1lcyIgVmFsdWU9InNbJnF1b3Q7U2FyYWtlMS4xJnF1b3Q7LCZxdW90O1NhcmFrZTEuMiZxdW90OywmcXVvdDtTYXJha2UxLjMmcXVvdDssJnF1b3Q7U2FyYWtlMS40JnF1b3Q7LCZxdW90O1NhcmFrZTEuNSZxdW90OywmcXVvdDtTYXJha2UxLjYmcXVvdDssJnF1b3Q7U2FyYWtlMS43JnF1b3Q7LCZxdW90O1NhcmFrZTEuOCZxdW90OywmcXVvdDtTYXJha2UxLjkmcXVvdDssJnF1b3Q7U2FyYWtlMS4xMCZxdW90OywmcXVvdDtTYXJha2UxLjExJnF1b3Q7LCZxdW90O1NhcmFrZTEuMTImcXVvdDssJnF1b3Q7U2FyYWtlMS4xMyZxdW90OywmcXVvdDtTYXJha2UxLjE0JnF1b3Q7LCZxdW90O1NhcmFrZTEuMTUmcXVvdDtdIiAvPjxFbnRyeSBUeXBlPSJGaWxsU3RhdHVzIiBWYWx1ZT0ic0NvbXBsZXRlIiAvPjxFbnRyeSBUeXBlPSJSZWxhdGlvbnNoaXBJbmZvQ29udGFpbmVyIiBWYWx1ZT0ic3smcXVvdDtjb2x1bW5Db3VudCZxdW90OzoxNSwmcXVvdDtrZXlDb2x1bW5OYW1lcyZxdW90OzpbXSwmcXVvdDtxdWVyeVJlbGF0aW9uc2hpcHMmcXVvdDs6W10sJnF1b3Q7Y29sdW1uSWRlbnRpdGllcyZxdW90OzpbJnF1b3Q7U2VjdGlvbjEvVGF1bHVra28xL0F1dG9SZW1vdmVkQ29sdW1uczEue1NhcmFrZTEuMSwwfSZxdW90OywmcXVvdDtTZWN0aW9uMS9UYXVsdWtrbzEvQXV0b1JlbW92ZWRDb2x1bW5zMS57U2FyYWtlMS4yLDF9JnF1b3Q7LCZxdW90O1NlY3Rpb24xL1RhdWx1a2tvMS9BdXRvUmVtb3ZlZENvbHVtbnMxLntTYXJha2UxLjMsMn0mcXVvdDssJnF1b3Q7U2VjdGlvbjEvVGF1bHVra28xL0F1dG9SZW1vdmVkQ29sdW1uczEue1NhcmFrZTEuNCwzfSZxdW90OywmcXVvdDtTZWN0aW9uMS9UYXVsdWtrbzEvQXV0b1JlbW92ZWRDb2x1bW5zMS57U2FyYWtlMS41LDR9JnF1b3Q7LCZxdW90O1NlY3Rpb24xL1RhdWx1a2tvMS9BdXRvUmVtb3ZlZENvbHVtbnMxLntTYXJha2UxLjYsNX0mcXVvdDssJnF1b3Q7U2VjdGlvbjEvVGF1bHVra28xL0F1dG9SZW1vdmVkQ29sdW1uczEue1NhcmFrZTEuNyw2fSZxdW90OywmcXVvdDtTZWN0aW9uMS9UYXVsdWtrbzEvQXV0b1JlbW92ZWRDb2x1bW5zMS57U2FyYWtlMS44LDd9JnF1b3Q7LCZxdW90O1NlY3Rpb24xL1RhdWx1a2tvMS9BdXRvUmVtb3ZlZENvbHVtbnMxLntTYXJha2UxLjksOH0mcXVvdDssJnF1b3Q7U2VjdGlvbjEvVGF1bHVra28xL0F1dG9SZW1vdmVkQ29sdW1uczEue1NhcmFrZTEuMTAsOX0mcXVvdDssJnF1b3Q7U2VjdGlvbjEvVGF1bHVra28xL0F1dG9SZW1vdmVkQ29sdW1uczEue1NhcmFrZTEuMTEsMTB9JnF1b3Q7LCZxdW90O1NlY3Rpb24xL1RhdWx1a2tvMS9BdXRvUmVtb3ZlZENvbHVtbnMxLntTYXJha2UxLjEyLDExfSZxdW90OywmcXVvdDtTZWN0aW9uMS9UYXVsdWtrbzEvQXV0b1JlbW92ZWRDb2x1bW5zMS57U2FyYWtlMS4xMywxMn0mcXVvdDssJnF1b3Q7U2VjdGlvbjEvVGF1bHVra28xL0F1dG9SZW1vdmVkQ29sdW1uczEue1NhcmFrZTEuMTQsMTN9JnF1b3Q7LCZxdW90O1NlY3Rpb24xL1RhdWx1a2tvMS9BdXRvUmVtb3ZlZENvbHVtbnMxLntTYXJha2UxLjE1LDE0fSZxdW90O10sJnF1b3Q7Q29sdW1uQ291bnQmcXVvdDs6MTUsJnF1b3Q7S2V5Q29sdW1uTmFtZXMmcXVvdDs6W10sJnF1b3Q7Q29sdW1uSWRlbnRpdGllcyZxdW90OzpbJnF1b3Q7U2VjdGlvbjEvVGF1bHVra28xL0F1dG9SZW1vdmVkQ29sdW1uczEue1NhcmFrZTEuMSwwfSZxdW90OywmcXVvdDtTZWN0aW9uMS9UYXVsdWtrbzEvQXV0b1JlbW92ZWRDb2x1bW5zMS57U2FyYWtlMS4yLDF9JnF1b3Q7LCZxdW90O1NlY3Rpb24xL1RhdWx1a2tvMS9BdXRvUmVtb3ZlZENvbHVtbnMxLntTYXJha2UxLjMsMn0mcXVvdDssJnF1b3Q7U2VjdGlvbjEvVGF1bHVra28xL0F1dG9SZW1vdmVkQ29sdW1uczEue1NhcmFrZTEuNCwzfSZxdW90OywmcXVvdDtTZWN0aW9uMS9UYXVsdWtrbzEvQXV0b1JlbW92ZWRDb2x1bW5zMS57U2FyYWtlMS41LDR9JnF1b3Q7LCZxdW90O1NlY3Rpb24xL1RhdWx1a2tvMS9BdXRvUmVtb3ZlZENvbHVtbnMxLntTYXJha2UxLjYsNX0mcXVvdDssJnF1b3Q7U2VjdGlvbjEvVGF1bHVra28xL0F1dG9SZW1vdmVkQ29sdW1uczEue1NhcmFrZTEuNyw2fSZxdW90OywmcXVvdDtTZWN0aW9uMS9UYXVsdWtrbzEvQXV0b1JlbW92ZWRDb2x1bW5zMS57U2FyYWtlMS44LDd9JnF1b3Q7LCZxdW90O1NlY3Rpb24xL1RhdWx1a2tvMS9BdXRvUmVtb3ZlZENvbHVtbnMxLntTYXJha2UxLjksOH0mcXVvdDssJnF1b3Q7U2VjdGlvbjEvVGF1bHVra28xL0F1dG9SZW1vdmVkQ29sdW1uczEue1NhcmFrZTEuMTAsOX0mcXVvdDssJnF1b3Q7U2VjdGlvbjEvVGF1bHVra28xL0F1dG9SZW1vdmVkQ29sdW1uczEue1NhcmFrZTEuMTEsMTB9JnF1b3Q7LCZxdW90O1NlY3Rpb24xL1RhdWx1a2tvMS9BdXRvUmVtb3ZlZENvbHVtbnMxLntTYXJha2UxLjEyLDExfSZxdW90OywmcXVvdDtTZWN0aW9uMS9UYXVsdWtrbzEvQXV0b1JlbW92ZWRDb2x1bW5zMS57U2FyYWtlMS4xMywxMn0mcXVvdDssJnF1b3Q7U2VjdGlvbjEvVGF1bHVra28xL0F1dG9SZW1vdmVkQ29sdW1uczEue1NhcmFrZTEuMTQsMTN9JnF1b3Q7LCZxdW90O1NlY3Rpb24xL1RhdWx1a2tvMS9BdXRvUmVtb3ZlZENvbHVtbnMxLntTYXJha2UxLjE1LDE0fSZxdW90O10sJnF1b3Q7UmVsYXRpb25zaGlwSW5mbyZxdW90OzpbXX0iIC8+PC9TdGFibGVFbnRyaWVzPjwvSXRlbT48SXRlbT48SXRlbUxvY2F0aW9uPjxJdGVtVHlwZT5Gb3JtdWxhPC9JdGVtVHlwZT48SXRlbVBhdGg+U2VjdGlvbjEvVGF1bHVra28xL0wlQzMlQTRoZGU8L0l0ZW1QYXRoPjwvSXRlbUxvY2F0aW9uPjxTdGFibGVFbnRyaWVzIC8+PC9JdGVtPjxJdGVtPjxJdGVtTG9jYXRpb24+PEl0ZW1UeXBlPkZvcm11bGE8L0l0ZW1UeXBlPjxJdGVtUGF0aD5TZWN0aW9uMS9UYXVsdWtrbzEvTXV1dGV0dHUlMjB0eXlwcGk8L0l0ZW1QYXRoPjwvSXRlbUxvY2F0aW9uPjxTdGFibGVFbnRyaWVzIC8+PC9JdGVtPjxJdGVtPjxJdGVtTG9jYXRpb24+PEl0ZW1UeXBlPkZvcm11bGE8L0l0ZW1UeXBlPjxJdGVtUGF0aD5TZWN0aW9uMS9UYXVsdWtrbzEvSmFhJTIwc2FyYWtlJTIwb3NpaW4lMjBlcm90dGltZW4lMjBtdWthYW48L0l0ZW1QYXRoPjwvSXRlbUxvY2F0aW9uPjxTdGFibGVFbnRyaWVzIC8+PC9JdGVtPjxJdGVtPjxJdGVtTG9jYXRpb24+PEl0ZW1UeXBlPkZvcm11bGE8L0l0ZW1UeXBlPjxJdGVtUGF0aD5TZWN0aW9uMS9UYXVsdWtrbzEvTXV1dGV0dHUlMjB0eXlwcGkxPC9JdGVtUGF0aD48L0l0ZW1Mb2NhdGlvbj48U3RhYmxlRW50cmllcyAvPjwvSXRlbT48SXRlbT48SXRlbUxvY2F0aW9uPjxJdGVtVHlwZT5Gb3JtdWxhPC9JdGVtVHlwZT48SXRlbVBhdGg+U2VjdGlvbjEvVGF1bHVra28xJTIwKDIpPC9JdGVtUGF0aD48L0l0ZW1Mb2NhdGlvbj48U3RhYmxlRW50cmllcz48RW50cnkgVHlwZT0iSXNQcml2YXRlIiBWYWx1ZT0ibDAiIC8+PEVudHJ5IFR5cGU9IlF1ZXJ5SUQiIFZhbHVlPSJzZjAwOTYwNGMtZWJiMy00MzUwLTlmM2YtYjM5NDk2M2Y3Y2RkIiAvPjxFbnRyeSBUeXBlPSJGaWxsRW5hYmxlZCIgVmFsdWU9ImwwIiAvPjxFbnRyeSBUeXBlPSJGaWxsT2JqZWN0VHlwZSIgVmFsdWU9InNDb25uZWN0aW9uT25seSIgLz48RW50cnkgVHlwZT0iRmlsbFRvRGF0YU1vZGVsRW5hYmxlZCIgVmFsdWU9ImwwIiAvPjxFbnRyeSBUeXBlPSJOYXZpZ2F0aW9uU3RlcE5hbWUiIFZhbHVlPSJzU2lpcnR5bWluZW4iIC8+PEVudHJ5IFR5cGU9Ik5hbWVVcGRhdGVkQWZ0ZXJGaWxsIiBWYWx1ZT0ibDAiIC8+PEVudHJ5IFR5cGU9IlJlc3VsdFR5cGUiIFZhbHVlPSJzRXhjZXB0aW9uIiAvPjxFbnRyeSBUeXBlPSJCdWZmZXJOZXh0UmVmcmVzaCIgVmFsdWU9ImwxIiAvPjxFbnRyeSBUeXBlPSJGaWxsZWRDb21wbGV0ZVJlc3VsdFRvV29ya3NoZWV0IiBWYWx1ZT0ibDEiIC8+PEVudHJ5IFR5cGU9IkZpbGxTdGF0dXMiIFZhbHVlPSJzV2FpdGluZ0ZvckV4Y2VsUmVmcmVzaCIgLz48RW50cnkgVHlwZT0iRmlsbExhc3RVcGRhdGVkIiBWYWx1ZT0iZDIwMjUtMDItMTNUMTk6MzM6MzMuNTEyNzgxN1oiIC8+PEVudHJ5IFR5cGU9IkZpbGxFcnJvckNvdW50IiBWYWx1ZT0ibDAiIC8+PEVudHJ5IFR5cGU9IkZpbGxFcnJvckNvZGUiIFZhbHVlPSJzVW5rbm93biIgLz48RW50cnkgVHlwZT0iRmlsbENvdW50IiBWYWx1ZT0ibDAiIC8+PEVudHJ5IFR5cGU9IkFkZGVkVG9EYXRhTW9kZWwiIFZhbHVlPSJsMCIgLz48RW50cnkgVHlwZT0iTG9hZGVkVG9BbmFseXNpc1NlcnZpY2VzIiBWYWx1ZT0ibDAiIC8+PEVudHJ5IFR5cGU9IlJlbGF0aW9uc2hpcEluZm9Db250YWluZXIiIFZhbHVlPSJzeyZxdW90O2NvbHVtbkNvdW50JnF1b3Q7OjE1LCZxdW90O2tleUNvbHVtbk5hbWVzJnF1b3Q7OltdLCZxdW90O3F1ZXJ5UmVsYXRpb25zaGlwcyZxdW90OzpbXSwmcXVvdDtjb2x1bW5JZGVudGl0aWVzJnF1b3Q7OlsmcXVvdDtTZWN0aW9uMS9UYXVsdWtrbzEvQXV0b1JlbW92ZWRDb2x1bW5zMS57U2FyYWtlMS4xLDB9JnF1b3Q7LCZxdW90O1NlY3Rpb24xL1RhdWx1a2tvMS9BdXRvUmVtb3ZlZENvbHVtbnMxLntTYXJha2UxLjIsMX0mcXVvdDssJnF1b3Q7U2VjdGlvbjEvVGF1bHVra28xL0F1dG9SZW1vdmVkQ29sdW1uczEue1NhcmFrZTEuMywyfSZxdW90OywmcXVvdDtTZWN0aW9uMS9UYXVsdWtrbzEvQXV0b1JlbW92ZWRDb2x1bW5zMS57U2FyYWtlMS40LDN9JnF1b3Q7LCZxdW90O1NlY3Rpb24xL1RhdWx1a2tvMS9BdXRvUmVtb3ZlZENvbHVtbnMxLntTYXJha2UxLjUsNH0mcXVvdDssJnF1b3Q7U2VjdGlvbjEvVGF1bHVra28xL0F1dG9SZW1vdmVkQ29sdW1uczEue1NhcmFrZTEuNiw1fSZxdW90OywmcXVvdDtTZWN0aW9uMS9UYXVsdWtrbzEvQXV0b1JlbW92ZWRDb2x1bW5zMS57U2FyYWtlMS43LDZ9JnF1b3Q7LCZxdW90O1NlY3Rpb24xL1RhdWx1a2tvMS9BdXRvUmVtb3ZlZENvbHVtbnMxLntTYXJha2UxLjgsN30mcXVvdDssJnF1b3Q7U2VjdGlvbjEvVGF1bHVra28xL0F1dG9SZW1vdmVkQ29sdW1uczEue1NhcmFrZTEuOSw4fSZxdW90OywmcXVvdDtTZWN0aW9uMS9UYXVsdWtrbzEvQXV0b1JlbW92ZWRDb2x1bW5zMS57U2FyYWtlMS4xMCw5fSZxdW90OywmcXVvdDtTZWN0aW9uMS9UYXVsdWtrbzEvQXV0b1JlbW92ZWRDb2x1bW5zMS57U2FyYWtlMS4xMSwxMH0mcXVvdDssJnF1b3Q7U2VjdGlvbjEvVGF1bHVra28xL0F1dG9SZW1vdmVkQ29sdW1uczEue1NhcmFrZTEuMTIsMTF9JnF1b3Q7LCZxdW90O1NlY3Rpb24xL1RhdWx1a2tvMS9BdXRvUmVtb3ZlZENvbHVtbnMxLntTYXJha2UxLjEzLDEyfSZxdW90OywmcXVvdDtTZWN0aW9uMS9UYXVsdWtrbzEvQXV0b1JlbW92ZWRDb2x1bW5zMS57U2FyYWtlMS4xNCwxM30mcXVvdDssJnF1b3Q7U2VjdGlvbjEvVGF1bHVra28xL0F1dG9SZW1vdmVkQ29sdW1uczEue1NhcmFrZTEuMTUsMTR9JnF1b3Q7XSwmcXVvdDtDb2x1bW5Db3VudCZxdW90OzoxNSwmcXVvdDtLZXlDb2x1bW5OYW1lcyZxdW90OzpbXSwmcXVvdDtDb2x1bW5JZGVudGl0aWVzJnF1b3Q7OlsmcXVvdDtTZWN0aW9uMS9UYXVsdWtrbzEvQXV0b1JlbW92ZWRDb2x1bW5zMS57U2FyYWtlMS4xLDB9JnF1b3Q7LCZxdW90O1NlY3Rpb24xL1RhdWx1a2tvMS9BdXRvUmVtb3ZlZENvbHVtbnMxLntTYXJha2UxLjIsMX0mcXVvdDssJnF1b3Q7U2VjdGlvbjEvVGF1bHVra28xL0F1dG9SZW1vdmVkQ29sdW1uczEue1NhcmFrZTEuMywyfSZxdW90OywmcXVvdDtTZWN0aW9uMS9UYXVsdWtrbzEvQXV0b1JlbW92ZWRDb2x1bW5zMS57U2FyYWtlMS40LDN9JnF1b3Q7LCZxdW90O1NlY3Rpb24xL1RhdWx1a2tvMS9BdXRvUmVtb3ZlZENvbHVtbnMxLntTYXJha2UxLjUsNH0mcXVvdDssJnF1b3Q7U2VjdGlvbjEvVGF1bHVra28xL0F1dG9SZW1vdmVkQ29sdW1uczEue1NhcmFrZTEuNiw1fSZxdW90OywmcXVvdDtTZWN0aW9uMS9UYXVsdWtrbzEvQXV0b1JlbW92ZWRDb2x1bW5zMS57U2FyYWtlMS43LDZ9JnF1b3Q7LCZxdW90O1NlY3Rpb24xL1RhdWx1a2tvMS9BdXRvUmVtb3ZlZENvbHVtbnMxLntTYXJha2UxLjgsN30mcXVvdDssJnF1b3Q7U2VjdGlvbjEvVGF1bHVra28xL0F1dG9SZW1vdmVkQ29sdW1uczEue1NhcmFrZTEuOSw4fSZxdW90OywmcXVvdDtTZWN0aW9uMS9UYXVsdWtrbzEvQXV0b1JlbW92ZWRDb2x1bW5zMS57U2FyYWtlMS4xMCw5fSZxdW90OywmcXVvdDtTZWN0aW9uMS9UYXVsdWtrbzEvQXV0b1JlbW92ZWRDb2x1bW5zMS57U2FyYWtlMS4xMSwxMH0mcXVvdDssJnF1b3Q7U2VjdGlvbjEvVGF1bHVra28xL0F1dG9SZW1vdmVkQ29sdW1uczEue1NhcmFrZTEuMTIsMTF9JnF1b3Q7LCZxdW90O1NlY3Rpb24xL1RhdWx1a2tvMS9BdXRvUmVtb3ZlZENvbHVtbnMxLntTYXJha2UxLjEzLDEyfSZxdW90OywmcXVvdDtTZWN0aW9uMS9UYXVsdWtrbzEvQXV0b1JlbW92ZWRDb2x1bW5zMS57U2FyYWtlMS4xNCwxM30mcXVvdDssJnF1b3Q7U2VjdGlvbjEvVGF1bHVra28xL0F1dG9SZW1vdmVkQ29sdW1uczEue1NhcmFrZTEuMTUsMTR9JnF1b3Q7XSwmcXVvdDtSZWxhdGlvbnNoaXBJbmZvJnF1b3Q7OltdfSIgLz48L1N0YWJsZUVudHJpZXM+PC9JdGVtPjxJdGVtPjxJdGVtTG9jYXRpb24+PEl0ZW1UeXBlPkZvcm11bGE8L0l0ZW1UeXBlPjxJdGVtUGF0aD5TZWN0aW9uMS9UYXVsdWtrbzElMjAoMikvTCVDMyVBNGhkZTwvSXRlbVBhdGg+PC9JdGVtTG9jYXRpb24+PFN0YWJsZUVudHJpZXMgLz48L0l0ZW0+PEl0ZW0+PEl0ZW1Mb2NhdGlvbj48SXRlbVR5cGU+Rm9ybXVsYTwvSXRlbVR5cGU+PEl0ZW1QYXRoPlNlY3Rpb24xL1RhdWx1a2tvMSUyMCgyKS9NdXV0ZXR0dSUyMHR5eXBwaTwvSXRlbVBhdGg+PC9JdGVtTG9jYXRpb24+PFN0YWJsZUVudHJpZXMgLz48L0l0ZW0+PEl0ZW0+PEl0ZW1Mb2NhdGlvbj48SXRlbVR5cGU+Rm9ybXVsYTwvSXRlbVR5cGU+PEl0ZW1QYXRoPlNlY3Rpb24xL1RhdWx1a2tvMSUyMCgyKS9KYWElMjBzYXJha2UlMjBvc2lpbiUyMGVyb3R0aW1lbiUyMG11a2FhbjwvSXRlbVBhdGg+PC9JdGVtTG9jYXRpb24+PFN0YWJsZUVudHJpZXMgLz48L0l0ZW0+PEl0ZW0+PEl0ZW1Mb2NhdGlvbj48SXRlbVR5cGU+Rm9ybXVsYTwvSXRlbVR5cGU+PEl0ZW1QYXRoPlNlY3Rpb24xL1RhdWx1a2tvMSUyMCgyKS9NdXV0ZXR0dSUyMHR5eXBwaTE8L0l0ZW1QYXRoPjwvSXRlbUxvY2F0aW9uPjxTdGFibGVFbnRyaWVzIC8+PC9JdGVtPjwvSXRlbXM+PC9Mb2NhbFBhY2thZ2VNZXRhZGF0YUZpbGU+FgAAAFBLBQYAAAAAAAAAAAAAAAAAAAAAAAAmAQAAAQAAANCMnd8BFdERjHoAwE/Cl+sBAAAA3isFY0T9ZEihTLs1ywgznwAAAAACAAAAAAAQZgAAAAEAACAAAAAT/vGvzU2ybxcmQS6d9aFlwXnim6wAUvaswKp6RDM8cwAAAAAOgAAAAAIAACAAAADIrgymr75yadXAqkpeUMzpgr7YJmB+kC0Ed2TZqejE71AAAABGsJYu5n1PsN7aqUuuvRKr2rfRk1YJQI9bXh+oh3pPlC+iYtGGfseFk+o6bVdQaSWdedb5IUqd1POMqs0FVvLD4rGofRJg2pw40hVrOtwa8kAAAAA7GETSZfHDtLQqwo68cV18zT41MeAGUyRFaYqtSIj1p/26vgZgbcPC4h6ydOqzP2PZzSskvpwfRNB8hs5P0NjC</DataMashup>
</file>

<file path=customXml/itemProps1.xml><?xml version="1.0" encoding="utf-8"?>
<ds:datastoreItem xmlns:ds="http://schemas.openxmlformats.org/officeDocument/2006/customXml" ds:itemID="{DB5E1932-1D98-459A-AC7C-8A782B53B61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113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2025-01-30T16:28:35Z</dcterms:created>
  <dc:creator>Ville Pekkala</dc:creator>
  <dc:description/>
  <dc:language>en-US</dc:language>
  <cp:lastModifiedBy/>
  <dcterms:modified xsi:type="dcterms:W3CDTF">2026-03-23T20:07:03Z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