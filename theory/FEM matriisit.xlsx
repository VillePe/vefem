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Ilman vapautuksia" sheetId="1" state="visible" r:id="rId3"/>
    <sheet name="Vapautuksilla" sheetId="2" state="visible" r:id="rId4"/>
    <sheet name="Jousituet" sheetId="3" state="visible" r:id="rId5"/>
    <sheet name="Lukkovoimat" sheetId="4" state="visible" r:id="rId6"/>
    <sheet name="Tuki kierretty x" sheetId="5" state="visible" r:id="rId7"/>
    <sheet name="Tuki kierretty y" sheetId="6" state="visible" r:id="rId8"/>
    <sheet name="Kehä tuki kierretty" sheetId="7" state="visible" r:id="rId9"/>
    <sheet name="Vapautus sauvan X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interval="0" name="Kysely – Taulukko1" description="Yhteys kyselyyn Taulukko1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aulukko1;Extended Properties=&quot;&quot;" command="SELECT * FROM [Taulukko1]"/>
  </connection>
  <connection id="2" xr16:uid="{781A6465-37A3-4021-84D4-27DFF6749064}" keepAlive="1" interval="0" name="Kysely – Taulukko1 (2)" description="Yhteys kyselyyn Taulukko1 (2)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<sst xmlns="http://schemas.openxmlformats.org/spreadsheetml/2006/main" count="935" uniqueCount="155">
  <si>
    <t xml:space="preserve">Laskenta perustuu Savonia AMK opintoihin, Ville Pekkalan opinnäytetyöhön ja netistä löytyneeseen (ei tällä hetkellä löydettävissä) Matti Lähteenmäki, Elementtimenetelmän perusteet opukseen</t>
  </si>
  <si>
    <t xml:space="preserve">Elementti 1</t>
  </si>
  <si>
    <t xml:space="preserve">Elementti 2</t>
  </si>
  <si>
    <t xml:space="preserve">Elementti 3</t>
  </si>
  <si>
    <t xml:space="preserve">Elementin kiertokulma</t>
  </si>
  <si>
    <t xml:space="preserve">°</t>
  </si>
  <si>
    <t xml:space="preserve">Elementin 1 globaali jäykkyysmatriisi - sijoitus yhdistettyyn jäykkyysmatriisiin</t>
  </si>
  <si>
    <t xml:space="preserve">Elementin 2 globaali jäykkyysmatriisi - sijoitus yhdistettyyn jäykkyysmatriisiin</t>
  </si>
  <si>
    <t xml:space="preserve">cos</t>
  </si>
  <si>
    <t xml:space="preserve">sin</t>
  </si>
  <si>
    <t xml:space="preserve">Voimat</t>
  </si>
  <si>
    <t xml:space="preserve">Elementin pituus</t>
  </si>
  <si>
    <t xml:space="preserve">mm</t>
  </si>
  <si>
    <t xml:space="preserve">Profiilin pinta-ala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</si>
  <si>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</si>
  <si>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Jäyhyysmomentti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</si>
  <si>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4</t>
    </r>
  </si>
  <si>
    <t xml:space="preserve">Kimmokerroin</t>
  </si>
  <si>
    <t xml:space="preserve">N/mm² (MPa)</t>
  </si>
  <si>
    <r>
      <rPr>
        <sz val="9"/>
        <color theme="1"/>
        <rFont val="Aptos Narrow"/>
        <family val="2"/>
        <charset val="1"/>
      </rPr>
      <t xml:space="preserve">N/m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</si>
  <si>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r>
      <rPr>
        <sz val="9"/>
        <color theme="1"/>
        <rFont val="Aptos Narrow"/>
        <family val="2"/>
        <charset val="1"/>
      </rPr>
      <t xml:space="preserve">N/mm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</si>
  <si>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EA</t>
  </si>
  <si>
    <t xml:space="preserve">N</t>
  </si>
  <si>
    <t xml:space="preserve">EI</t>
  </si>
  <si>
    <t xml:space="preserve">N/mm²</t>
  </si>
  <si>
    <r>
      <rPr>
        <sz val="9"/>
        <color theme="1"/>
        <rFont val="Aptos Narrow"/>
        <family val="2"/>
        <charset val="1"/>
      </rPr>
      <t xml:space="preserve">Nmm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</si>
  <si>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Kuormat</t>
  </si>
  <si>
    <t xml:space="preserve">Omapaino</t>
  </si>
  <si>
    <t xml:space="preserve">N/mm</t>
  </si>
  <si>
    <t xml:space="preserve">Jatkuva kuorma</t>
  </si>
  <si>
    <t xml:space="preserve">Globaali jäykkyysmatriisi</t>
  </si>
  <si>
    <t xml:space="preserve">Lukkovoimat (Gkoord)</t>
  </si>
  <si>
    <t xml:space="preserve">Elementin 3 globaali jäykkyysmatriisi - sijoitus yhdistettyyn jäykkyysmatriisiin</t>
  </si>
  <si>
    <t xml:space="preserve">Elementin jäykkyysmatriisi lokaalissa koordinaatistossa</t>
  </si>
  <si>
    <t xml:space="preserve">Lukkovoimat (Lkoord)</t>
  </si>
  <si>
    <t xml:space="preserve">Elementin lokaali jäykkyysmatriisi kerrottuna transponoidulla kiertomatriisilla</t>
  </si>
  <si>
    <t xml:space="preserve">Yhdistetty jäykkyysmatriisi</t>
  </si>
  <si>
    <t xml:space="preserve">*</t>
  </si>
  <si>
    <t xml:space="preserve">Siirtymät</t>
  </si>
  <si>
    <t xml:space="preserve">=</t>
  </si>
  <si>
    <t xml:space="preserve">Reaktiot</t>
  </si>
  <si>
    <t xml:space="preserve">+Q11</t>
  </si>
  <si>
    <t xml:space="preserve">Elementin kiertomatriisi</t>
  </si>
  <si>
    <t xml:space="preserve">+Q12</t>
  </si>
  <si>
    <t xml:space="preserve">r13</t>
  </si>
  <si>
    <t xml:space="preserve">r21</t>
  </si>
  <si>
    <t xml:space="preserve">r22</t>
  </si>
  <si>
    <t xml:space="preserve">r23</t>
  </si>
  <si>
    <t xml:space="preserve">+Q31</t>
  </si>
  <si>
    <t xml:space="preserve">+Q32</t>
  </si>
  <si>
    <t xml:space="preserve">r33</t>
  </si>
  <si>
    <t xml:space="preserve">r41</t>
  </si>
  <si>
    <t xml:space="preserve">Elementin kiertomatriisi transponoituna</t>
  </si>
  <si>
    <t xml:space="preserve">r42</t>
  </si>
  <si>
    <t xml:space="preserve">r43</t>
  </si>
  <si>
    <t xml:space="preserve">Tuntemattomat siirtymät</t>
  </si>
  <si>
    <t xml:space="preserve">Lokaali</t>
  </si>
  <si>
    <t xml:space="preserve">Matriisi</t>
  </si>
  <si>
    <t xml:space="preserve">Globaalit arvot</t>
  </si>
  <si>
    <t xml:space="preserve">Lokaalit arvot</t>
  </si>
  <si>
    <t xml:space="preserve">suunta</t>
  </si>
  <si>
    <t xml:space="preserve">Alkupää</t>
  </si>
  <si>
    <t xml:space="preserve">Loppupää</t>
  </si>
  <si>
    <t xml:space="preserve">Kuorma</t>
  </si>
  <si>
    <t xml:space="preserve">N (/Nmm)</t>
  </si>
  <si>
    <t xml:space="preserve">Vaaka</t>
  </si>
  <si>
    <t xml:space="preserve">⮕</t>
  </si>
  <si>
    <t xml:space="preserve">Lukkovoimaesimerkissä kuorma osoittaa alaspäin positiivisena</t>
  </si>
  <si>
    <t xml:space="preserve">Suunta</t>
  </si>
  <si>
    <t xml:space="preserve">Pysty</t>
  </si>
  <si>
    <t xml:space="preserve">⬆</t>
  </si>
  <si>
    <t xml:space="preserve">mutta SIN(kulma) antaa negatiivisen arvon alaspäin osoittaville voimille</t>
  </si>
  <si>
    <t xml:space="preserve">etäisyys (a)</t>
  </si>
  <si>
    <t xml:space="preserve">⟲</t>
  </si>
  <si>
    <t xml:space="preserve">(Huomaa -1* alussa)</t>
  </si>
  <si>
    <t xml:space="preserve">b</t>
  </si>
  <si>
    <t xml:space="preserve">Momenttikuorma</t>
  </si>
  <si>
    <t xml:space="preserve">Positiivinen vastapäivään</t>
  </si>
  <si>
    <t xml:space="preserve">rad</t>
  </si>
  <si>
    <t xml:space="preserve">mrad</t>
  </si>
  <si>
    <t xml:space="preserve">Siirtymä (pituussuunnassa)</t>
  </si>
  <si>
    <t xml:space="preserve">Positiivinen venymää</t>
  </si>
  <si>
    <t xml:space="preserve">Muut kuormat muunnetaan pistekuormiksi ekvivalenttien kuormituskaavioiden mukaan ajatellen, että 'elementin' alku ja loppupiste on samassa kohtaa, kuin voiman alku ja loppupiste</t>
  </si>
  <si>
    <t xml:space="preserve">Elementin 1 lokaalit solmupisteiden voimasuureet</t>
  </si>
  <si>
    <t xml:space="preserve">Jäykkyysmatriisi * lokaalit siirtymät - lokaalit lukkovoimat</t>
  </si>
  <si>
    <t xml:space="preserve">lukkovoimat (lok, kierretyt)</t>
  </si>
  <si>
    <t xml:space="preserve">siirtymät (lok)</t>
  </si>
  <si>
    <t xml:space="preserve">-</t>
  </si>
  <si>
    <t xml:space="preserve">solmupisteiden voimavektorit</t>
  </si>
  <si>
    <t xml:space="preserve">kN/m</t>
  </si>
  <si>
    <t xml:space="preserve">=&gt;</t>
  </si>
  <si>
    <t xml:space="preserve">+Q13</t>
  </si>
  <si>
    <t xml:space="preserve">+Q33</t>
  </si>
  <si>
    <t xml:space="preserve">r24</t>
  </si>
  <si>
    <t xml:space="preserve">r44</t>
  </si>
  <si>
    <t xml:space="preserve">Elem 1 glob</t>
  </si>
  <si>
    <t xml:space="preserve">Elem 1 lok</t>
  </si>
  <si>
    <t xml:space="preserve">Nmm/rad</t>
  </si>
  <si>
    <t xml:space="preserve">kNm/rad</t>
  </si>
  <si>
    <t xml:space="preserve">Yleinen jousivakio</t>
  </si>
  <si>
    <t xml:space="preserve">Jousivakio</t>
  </si>
  <si>
    <t xml:space="preserve">Yhdistetty jäykkyysmatriisi (tuen jousivakion kanssa. Huom! Tällä lasketaan vain siirtymät. Tukireaktiot lasketaan ilman jousivakioita)</t>
  </si>
  <si>
    <t xml:space="preserve">r14</t>
  </si>
  <si>
    <t xml:space="preserve">Yhdistetty jäykkyysmatriisi (ilman tuen jousivakiota, tällä lasketaan tukireaktiot)</t>
  </si>
  <si>
    <t xml:space="preserve">q</t>
  </si>
  <si>
    <t xml:space="preserve">L</t>
  </si>
  <si>
    <t xml:space="preserve">a</t>
  </si>
  <si>
    <t xml:space="preserve">d</t>
  </si>
  <si>
    <t xml:space="preserve">d/2</t>
  </si>
  <si>
    <t xml:space="preserve">Tukien kiertomatriisi</t>
  </si>
  <si>
    <t xml:space="preserve">1. Tuen kierto</t>
  </si>
  <si>
    <t xml:space="preserve">2.Tuen kierto</t>
  </si>
  <si>
    <t xml:space="preserve">Tukien kiertomatriisin transpoosi</t>
  </si>
  <si>
    <t xml:space="preserve">+Q14</t>
  </si>
  <si>
    <t xml:space="preserve">+Q15</t>
  </si>
  <si>
    <t xml:space="preserve">r16</t>
  </si>
  <si>
    <t xml:space="preserve">Yhdistetty jäykkyysmatriisi kerrottuna tukien transponoidulla kiertomatriisilla</t>
  </si>
  <si>
    <t xml:space="preserve">KIERRETYT</t>
  </si>
  <si>
    <t xml:space="preserve">Lukkovoimien kierto</t>
  </si>
  <si>
    <t xml:space="preserve">Kiertokulma</t>
  </si>
  <si>
    <t xml:space="preserve">Yhdistetty jäykkyysmatriisi tuet kierrettynä</t>
  </si>
  <si>
    <t xml:space="preserve">Siirtymä tuen lokaalin X-akselin suuntaan</t>
  </si>
  <si>
    <t xml:space="preserve">GLOBAALIT</t>
  </si>
  <si>
    <t xml:space="preserve">r15</t>
  </si>
  <si>
    <t xml:space="preserve">Alku</t>
  </si>
  <si>
    <t xml:space="preserve">Loppu</t>
  </si>
  <si>
    <t xml:space="preserve">Siirtymä tuen lokaalin Y-akselin suuntaan</t>
  </si>
  <si>
    <t xml:space="preserve">r21 (0)</t>
  </si>
  <si>
    <t xml:space="preserve">r42 (0)</t>
  </si>
  <si>
    <t xml:space="preserve">Solmu </t>
  </si>
  <si>
    <t xml:space="preserve">Kierto</t>
  </si>
  <si>
    <t xml:space="preserve">Cos</t>
  </si>
  <si>
    <t xml:space="preserve">Sin</t>
  </si>
  <si>
    <t xml:space="preserve">Yhdistetty tukien kiertomatriisi</t>
  </si>
  <si>
    <t xml:space="preserve">Yhdistetty tukien kiertomatriisin transpoosi</t>
  </si>
  <si>
    <r>
      <rPr>
        <b val="true"/>
        <sz val="9"/>
        <color theme="1"/>
        <rFont val="Aptos Narrow"/>
        <family val="2"/>
        <charset val="1"/>
      </rPr>
      <t xml:space="preserve">Yhdistetty jäykkyysmatriisi tukien kiertomatriisin transpoosilla kerrottuna (KT</t>
    </r>
    <r>
      <rPr>
        <b val="true"/>
        <vertAlign val="superscript"/>
        <sz val="9"/>
        <color theme="1"/>
        <rFont val="Aptos Narrow"/>
        <family val="2"/>
        <charset val="1"/>
      </rPr>
      <t xml:space="preserve">T</t>
    </r>
    <r>
      <rPr>
        <b val="true"/>
        <sz val="9"/>
        <color theme="1"/>
        <rFont val="Aptos Narrow"/>
        <family val="2"/>
        <charset val="1"/>
      </rPr>
      <t xml:space="preserve">)</t>
    </r>
  </si>
  <si>
    <t xml:space="preserve">Yhdistetty jäykkyysmatriisi tukien kierto huomioituna</t>
  </si>
  <si>
    <t xml:space="preserve">Kierretyt siirtymät</t>
  </si>
  <si>
    <t xml:space="preserve">Kierretyt voimat</t>
  </si>
  <si>
    <t xml:space="preserve">Kierretyt tukireaktiot</t>
  </si>
  <si>
    <t xml:space="preserve">r22’</t>
  </si>
  <si>
    <t xml:space="preserve">r41’</t>
  </si>
  <si>
    <t xml:space="preserve">Globaalit</t>
  </si>
  <si>
    <t xml:space="preserve">siirtymät</t>
  </si>
  <si>
    <t xml:space="preserve">sx</t>
  </si>
  <si>
    <t xml:space="preserve">sy</t>
  </si>
  <si>
    <t xml:space="preserve">sr</t>
  </si>
  <si>
    <t xml:space="preserve">ey</t>
  </si>
  <si>
    <t xml:space="preserve">er</t>
  </si>
  <si>
    <t xml:space="preserve">ex</t>
  </si>
  <si>
    <t xml:space="preserve">Tukien ja vapautusten kiertomatriisi</t>
  </si>
  <si>
    <t xml:space="preserve">Tukien ja vapautusten kiertomatriisin transpoosi</t>
  </si>
  <si>
    <t xml:space="preserve">-sin</t>
  </si>
  <si>
    <t xml:space="preserve">r17</t>
  </si>
  <si>
    <t xml:space="preserve">Sauvan lokaalin X-akselin suuunnassa</t>
  </si>
</sst>
</file>

<file path=xl/styles.xml><?xml version="1.0" encoding="utf-8"?>
<styleSheet xmlns="http://schemas.openxmlformats.org/spreadsheetml/2006/main">
  <numFmts count="11">
    <numFmt numFmtId="164" formatCode="0"/>
    <numFmt numFmtId="165" formatCode="General"/>
    <numFmt numFmtId="166" formatCode="0.0"/>
    <numFmt numFmtId="167" formatCode="0.000"/>
    <numFmt numFmtId="168" formatCode="0.00E+00"/>
    <numFmt numFmtId="169" formatCode="0.000E+00"/>
    <numFmt numFmtId="170" formatCode="0.0000E+00"/>
    <numFmt numFmtId="171" formatCode="0.0000"/>
    <numFmt numFmtId="172" formatCode="0.00000"/>
    <numFmt numFmtId="173" formatCode="0.000000"/>
    <numFmt numFmtId="174" formatCode="0.00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b val="true"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 val="true"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 val="true"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 val="true"/>
      <sz val="9"/>
      <color theme="6" tint="-0.25"/>
      <name val="Aptos Narrow"/>
      <family val="2"/>
      <charset val="1"/>
    </font>
    <font>
      <sz val="9"/>
      <color theme="6" tint="-0.25"/>
      <name val="Aptos Narrow"/>
      <family val="2"/>
      <charset val="1"/>
    </font>
    <font>
      <b val="true"/>
      <vertAlign val="superscript"/>
      <sz val="9"/>
      <color theme="1"/>
      <name val="Aptos Narrow"/>
      <family val="2"/>
      <charset val="1"/>
    </font>
    <font>
      <sz val="9"/>
      <color rgb="FF000000"/>
      <name val="Aptos Narrow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6" tint="0.5998"/>
        <bgColor rgb="FF92D05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81D41A"/>
      </patternFill>
    </fill>
    <fill>
      <patternFill patternType="solid">
        <fgColor theme="0" tint="-0.15"/>
        <bgColor rgb="FFBFBFBF"/>
      </patternFill>
    </fill>
    <fill>
      <patternFill patternType="solid">
        <fgColor theme="0" tint="-0.25"/>
        <bgColor rgb="FFD9D9D9"/>
      </patternFill>
    </fill>
    <fill>
      <patternFill patternType="solid">
        <fgColor rgb="FF81D41A"/>
        <bgColor rgb="FF92D050"/>
      </patternFill>
    </fill>
    <fill>
      <patternFill patternType="solid">
        <fgColor rgb="FF999999"/>
        <bgColor rgb="FF9999FF"/>
      </patternFill>
    </fill>
    <fill>
      <patternFill patternType="solid">
        <fgColor rgb="FF2A6099"/>
        <bgColor rgb="FF666699"/>
      </patternFill>
    </fill>
    <fill>
      <patternFill patternType="solid">
        <fgColor rgb="FFD4EA6B"/>
        <bgColor rgb="FFFFEB9C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 style="dashed"/>
      <diagonal/>
    </border>
    <border diagonalUp="false" diagonalDown="false">
      <left style="dashed"/>
      <right style="dashed"/>
      <top/>
      <bottom style="dashed"/>
      <diagonal/>
    </border>
    <border diagonalUp="false" diagonalDown="false">
      <left style="dashed"/>
      <right style="dotted"/>
      <top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dotted"/>
      <top style="dashed"/>
      <bottom style="dashed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77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5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1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8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22"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92D050"/>
      <rgbColor rgb="FF9999FF"/>
      <rgbColor rgb="FF993366"/>
      <rgbColor rgb="FFFFFFCC"/>
      <rgbColor rgb="FFCCFFFF"/>
      <rgbColor rgb="FF660066"/>
      <rgbColor rgb="FFFF8080"/>
      <rgbColor rgb="FF2A60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FFEB9C"/>
      <rgbColor rgb="FF84E291"/>
      <rgbColor rgb="FFFF99CC"/>
      <rgbColor rgb="FFCC99FF"/>
      <rgbColor rgb="FFFFCC99"/>
      <rgbColor rgb="FF3366FF"/>
      <rgbColor rgb="FF33CCCC"/>
      <rgbColor rgb="FF81D41A"/>
      <rgbColor rgb="FFFFC000"/>
      <rgbColor rgb="FFFF9900"/>
      <rgbColor rgb="FFFF6600"/>
      <rgbColor rgb="FF666699"/>
      <rgbColor rgb="FF999999"/>
      <rgbColor rgb="FF003366"/>
      <rgbColor rgb="FF339966"/>
      <rgbColor rgb="FF13501B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connections" Target="connections.xml"/><Relationship Id="rId13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486000</xdr:colOff>
      <xdr:row>22</xdr:row>
      <xdr:rowOff>138600</xdr:rowOff>
    </xdr:from>
    <xdr:to>
      <xdr:col>61</xdr:col>
      <xdr:colOff>271080</xdr:colOff>
      <xdr:row>41</xdr:row>
      <xdr:rowOff>30600</xdr:rowOff>
    </xdr:to>
    <xdr:pic>
      <xdr:nvPicPr>
        <xdr:cNvPr id="1" name="Kuva 3"/>
        <xdr:cNvPicPr/>
      </xdr:nvPicPr>
      <xdr:blipFill>
        <a:blip r:embed="rId1"/>
        <a:stretch/>
      </xdr:blipFill>
      <xdr:spPr>
        <a:xfrm>
          <a:off x="30748680" y="3491280"/>
          <a:ext cx="4562280" cy="2787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270360</xdr:colOff>
      <xdr:row>17</xdr:row>
      <xdr:rowOff>73080</xdr:rowOff>
    </xdr:to>
    <xdr:pic>
      <xdr:nvPicPr>
        <xdr:cNvPr id="2" name="Kuva 1"/>
        <xdr:cNvPicPr/>
      </xdr:nvPicPr>
      <xdr:blipFill>
        <a:blip r:embed="rId2"/>
        <a:stretch/>
      </xdr:blipFill>
      <xdr:spPr>
        <a:xfrm>
          <a:off x="3843720" y="293760"/>
          <a:ext cx="1478160" cy="2370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78</xdr:row>
      <xdr:rowOff>-360</xdr:rowOff>
    </xdr:from>
    <xdr:to>
      <xdr:col>10</xdr:col>
      <xdr:colOff>550800</xdr:colOff>
      <xdr:row>99</xdr:row>
      <xdr:rowOff>64440</xdr:rowOff>
    </xdr:to>
    <xdr:pic>
      <xdr:nvPicPr>
        <xdr:cNvPr id="3" name="Kuva 2"/>
        <xdr:cNvPicPr/>
      </xdr:nvPicPr>
      <xdr:blipFill>
        <a:blip r:embed="rId3"/>
        <a:stretch/>
      </xdr:blipFill>
      <xdr:spPr>
        <a:xfrm>
          <a:off x="2842920" y="11925000"/>
          <a:ext cx="3310560" cy="3265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77</xdr:row>
      <xdr:rowOff>50040</xdr:rowOff>
    </xdr:from>
    <xdr:to>
      <xdr:col>18</xdr:col>
      <xdr:colOff>220320</xdr:colOff>
      <xdr:row>92</xdr:row>
      <xdr:rowOff>70920</xdr:rowOff>
    </xdr:to>
    <xdr:pic>
      <xdr:nvPicPr>
        <xdr:cNvPr id="4" name="Kuva 4"/>
        <xdr:cNvPicPr/>
      </xdr:nvPicPr>
      <xdr:blipFill>
        <a:blip r:embed="rId4"/>
        <a:stretch/>
      </xdr:blipFill>
      <xdr:spPr>
        <a:xfrm>
          <a:off x="6642360" y="11823120"/>
          <a:ext cx="3680280" cy="2306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52</xdr:col>
      <xdr:colOff>405720</xdr:colOff>
      <xdr:row>21</xdr:row>
      <xdr:rowOff>63360</xdr:rowOff>
    </xdr:from>
    <xdr:to>
      <xdr:col>63</xdr:col>
      <xdr:colOff>165240</xdr:colOff>
      <xdr:row>44</xdr:row>
      <xdr:rowOff>27000</xdr:rowOff>
    </xdr:to>
    <xdr:pic>
      <xdr:nvPicPr>
        <xdr:cNvPr id="5" name="Kuva 2"/>
        <xdr:cNvPicPr/>
      </xdr:nvPicPr>
      <xdr:blipFill>
        <a:blip r:embed="rId1"/>
        <a:stretch/>
      </xdr:blipFill>
      <xdr:spPr>
        <a:xfrm>
          <a:off x="30974760" y="3263760"/>
          <a:ext cx="6158880" cy="346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97920</xdr:colOff>
      <xdr:row>17</xdr:row>
      <xdr:rowOff>132840</xdr:rowOff>
    </xdr:to>
    <xdr:pic>
      <xdr:nvPicPr>
        <xdr:cNvPr id="6" name="Kuva 1"/>
        <xdr:cNvPicPr/>
      </xdr:nvPicPr>
      <xdr:blipFill>
        <a:blip r:embed="rId2"/>
        <a:stretch/>
      </xdr:blipFill>
      <xdr:spPr>
        <a:xfrm>
          <a:off x="3556080" y="276480"/>
          <a:ext cx="1502640" cy="2447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4680</xdr:colOff>
      <xdr:row>21</xdr:row>
      <xdr:rowOff>63360</xdr:rowOff>
    </xdr:from>
    <xdr:to>
      <xdr:col>63</xdr:col>
      <xdr:colOff>15120</xdr:colOff>
      <xdr:row>44</xdr:row>
      <xdr:rowOff>27000</xdr:rowOff>
    </xdr:to>
    <xdr:pic>
      <xdr:nvPicPr>
        <xdr:cNvPr id="7" name="Kuva 1"/>
        <xdr:cNvPicPr/>
      </xdr:nvPicPr>
      <xdr:blipFill>
        <a:blip r:embed="rId1"/>
        <a:stretch/>
      </xdr:blipFill>
      <xdr:spPr>
        <a:xfrm>
          <a:off x="32661360" y="3263760"/>
          <a:ext cx="5859000" cy="346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97920</xdr:colOff>
      <xdr:row>17</xdr:row>
      <xdr:rowOff>132840</xdr:rowOff>
    </xdr:to>
    <xdr:pic>
      <xdr:nvPicPr>
        <xdr:cNvPr id="8" name="Kuva 2"/>
        <xdr:cNvPicPr/>
      </xdr:nvPicPr>
      <xdr:blipFill>
        <a:blip r:embed="rId2"/>
        <a:stretch/>
      </xdr:blipFill>
      <xdr:spPr>
        <a:xfrm>
          <a:off x="3556080" y="276480"/>
          <a:ext cx="1502640" cy="2447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457920</xdr:colOff>
      <xdr:row>47</xdr:row>
      <xdr:rowOff>150840</xdr:rowOff>
    </xdr:to>
    <xdr:pic>
      <xdr:nvPicPr>
        <xdr:cNvPr id="9" name="Kuva 1"/>
        <xdr:cNvPicPr/>
      </xdr:nvPicPr>
      <xdr:blipFill>
        <a:blip r:embed="rId1"/>
        <a:stretch/>
      </xdr:blipFill>
      <xdr:spPr>
        <a:xfrm>
          <a:off x="0" y="0"/>
          <a:ext cx="5798160" cy="9104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270360</xdr:colOff>
      <xdr:row>17</xdr:row>
      <xdr:rowOff>34560</xdr:rowOff>
    </xdr:to>
    <xdr:pic>
      <xdr:nvPicPr>
        <xdr:cNvPr id="10" name="Kuva 2"/>
        <xdr:cNvPicPr/>
      </xdr:nvPicPr>
      <xdr:blipFill>
        <a:blip r:embed="rId1"/>
        <a:stretch/>
      </xdr:blipFill>
      <xdr:spPr>
        <a:xfrm>
          <a:off x="3843720" y="293760"/>
          <a:ext cx="1478160" cy="233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>
      <xdr:nvCxnSpPr>
        <xdr:cNvPr id="11" name="Suora yhdysviiva 5"/>
        <xdr:cNvCxnSpPr/>
      </xdr:nvCxnSpPr>
      <xdr:spPr>
        <a:xfrm flipV="1">
          <a:off x="16210080" y="2990520"/>
          <a:ext cx="291708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485640</xdr:colOff>
      <xdr:row>28</xdr:row>
      <xdr:rowOff>19080</xdr:rowOff>
    </xdr:from>
    <xdr:to>
      <xdr:col>28</xdr:col>
      <xdr:colOff>323640</xdr:colOff>
      <xdr:row>29</xdr:row>
      <xdr:rowOff>85680</xdr:rowOff>
    </xdr:to>
    <xdr:cxnSp>
      <xdr:nvCxnSpPr>
        <xdr:cNvPr id="12" name="Suora nuoliyhdysviiva 7"/>
        <xdr:cNvCxnSpPr/>
      </xdr:nvCxnSpPr>
      <xdr:spPr>
        <a:xfrm flipH="1">
          <a:off x="16248240" y="428616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428400</xdr:colOff>
      <xdr:row>25</xdr:row>
      <xdr:rowOff>133200</xdr:rowOff>
    </xdr:from>
    <xdr:to>
      <xdr:col>29</xdr:col>
      <xdr:colOff>266400</xdr:colOff>
      <xdr:row>27</xdr:row>
      <xdr:rowOff>85680</xdr:rowOff>
    </xdr:to>
    <xdr:cxnSp>
      <xdr:nvCxnSpPr>
        <xdr:cNvPr id="13" name="Suora nuoliyhdysviiva 15"/>
        <xdr:cNvCxnSpPr/>
      </xdr:nvCxnSpPr>
      <xdr:spPr>
        <a:xfrm flipH="1">
          <a:off x="16742160" y="3943080"/>
          <a:ext cx="399240" cy="257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352080</xdr:colOff>
      <xdr:row>24</xdr:row>
      <xdr:rowOff>38160</xdr:rowOff>
    </xdr:from>
    <xdr:to>
      <xdr:col>30</xdr:col>
      <xdr:colOff>190440</xdr:colOff>
      <xdr:row>25</xdr:row>
      <xdr:rowOff>123840</xdr:rowOff>
    </xdr:to>
    <xdr:cxnSp>
      <xdr:nvCxnSpPr>
        <xdr:cNvPr id="14" name="Suora nuoliyhdysviiva 16"/>
        <xdr:cNvCxnSpPr/>
      </xdr:nvCxnSpPr>
      <xdr:spPr>
        <a:xfrm flipH="1">
          <a:off x="17226720" y="369576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314280</xdr:colOff>
      <xdr:row>22</xdr:row>
      <xdr:rowOff>57240</xdr:rowOff>
    </xdr:from>
    <xdr:to>
      <xdr:col>31</xdr:col>
      <xdr:colOff>95040</xdr:colOff>
      <xdr:row>23</xdr:row>
      <xdr:rowOff>114120</xdr:rowOff>
    </xdr:to>
    <xdr:cxnSp>
      <xdr:nvCxnSpPr>
        <xdr:cNvPr id="15" name="Suora nuoliyhdysviiva 17"/>
        <xdr:cNvCxnSpPr/>
      </xdr:nvCxnSpPr>
      <xdr:spPr>
        <a:xfrm flipH="1">
          <a:off x="17740080" y="3409920"/>
          <a:ext cx="33228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218880</xdr:colOff>
      <xdr:row>20</xdr:row>
      <xdr:rowOff>114120</xdr:rowOff>
    </xdr:from>
    <xdr:to>
      <xdr:col>32</xdr:col>
      <xdr:colOff>29520</xdr:colOff>
      <xdr:row>22</xdr:row>
      <xdr:rowOff>19080</xdr:rowOff>
    </xdr:to>
    <xdr:cxnSp>
      <xdr:nvCxnSpPr>
        <xdr:cNvPr id="16" name="Suora nuoliyhdysviiva 18"/>
        <xdr:cNvCxnSpPr/>
      </xdr:nvCxnSpPr>
      <xdr:spPr>
        <a:xfrm flipH="1">
          <a:off x="18195840" y="316224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95040</xdr:colOff>
      <xdr:row>19</xdr:row>
      <xdr:rowOff>9720</xdr:rowOff>
    </xdr:from>
    <xdr:to>
      <xdr:col>32</xdr:col>
      <xdr:colOff>485640</xdr:colOff>
      <xdr:row>20</xdr:row>
      <xdr:rowOff>76320</xdr:rowOff>
    </xdr:to>
    <xdr:cxnSp>
      <xdr:nvCxnSpPr>
        <xdr:cNvPr id="17" name="Suora nuoliyhdysviiva 19"/>
        <xdr:cNvCxnSpPr/>
      </xdr:nvCxnSpPr>
      <xdr:spPr>
        <a:xfrm flipH="1">
          <a:off x="18623160" y="290520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37800</xdr:colOff>
      <xdr:row>16</xdr:row>
      <xdr:rowOff>95040</xdr:rowOff>
    </xdr:from>
    <xdr:to>
      <xdr:col>33</xdr:col>
      <xdr:colOff>457200</xdr:colOff>
      <xdr:row>18</xdr:row>
      <xdr:rowOff>57240</xdr:rowOff>
    </xdr:to>
    <xdr:cxnSp>
      <xdr:nvCxnSpPr>
        <xdr:cNvPr id="18" name="Suora nuoliyhdysviiva 20"/>
        <xdr:cNvCxnSpPr/>
      </xdr:nvCxnSpPr>
      <xdr:spPr>
        <a:xfrm flipH="1">
          <a:off x="19117080" y="253332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409680</xdr:colOff>
      <xdr:row>31</xdr:row>
      <xdr:rowOff>19080</xdr:rowOff>
    </xdr:from>
    <xdr:to>
      <xdr:col>28</xdr:col>
      <xdr:colOff>55800</xdr:colOff>
      <xdr:row>33</xdr:row>
      <xdr:rowOff>27000</xdr:rowOff>
    </xdr:to>
    <xdr:sp>
      <xdr:nvSpPr>
        <xdr:cNvPr id="19" name="Vapaamuotoinen: Muoto 21"/>
        <xdr:cNvSpPr/>
      </xdr:nvSpPr>
      <xdr:spPr>
        <a:xfrm rot="1143000">
          <a:off x="16172280" y="4743000"/>
          <a:ext cx="197280" cy="312840"/>
        </a:xfrm>
        <a:custGeom>
          <a:avLst/>
          <a:gdLst>
            <a:gd name="textAreaLeft" fmla="*/ 0 w 197280"/>
            <a:gd name="textAreaRight" fmla="*/ 198720 w 197280"/>
            <a:gd name="textAreaTop" fmla="*/ 0 h 312840"/>
            <a:gd name="textAreaBottom" fmla="*/ 314280 h 3128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49320</xdr:colOff>
      <xdr:row>20</xdr:row>
      <xdr:rowOff>0</xdr:rowOff>
    </xdr:from>
    <xdr:to>
      <xdr:col>33</xdr:col>
      <xdr:colOff>246600</xdr:colOff>
      <xdr:row>22</xdr:row>
      <xdr:rowOff>8280</xdr:rowOff>
    </xdr:to>
    <xdr:sp>
      <xdr:nvSpPr>
        <xdr:cNvPr id="20" name="Vapaamuotoinen: Muoto 22"/>
        <xdr:cNvSpPr/>
      </xdr:nvSpPr>
      <xdr:spPr>
        <a:xfrm rot="775800">
          <a:off x="19128240" y="3047760"/>
          <a:ext cx="197280" cy="312840"/>
        </a:xfrm>
        <a:custGeom>
          <a:avLst/>
          <a:gdLst>
            <a:gd name="textAreaLeft" fmla="*/ 0 w 197280"/>
            <a:gd name="textAreaRight" fmla="*/ 198720 w 197280"/>
            <a:gd name="textAreaTop" fmla="*/ 0 h 312840"/>
            <a:gd name="textAreaBottom" fmla="*/ 314280 h 3128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48960</xdr:colOff>
      <xdr:row>21</xdr:row>
      <xdr:rowOff>104760</xdr:rowOff>
    </xdr:from>
    <xdr:to>
      <xdr:col>33</xdr:col>
      <xdr:colOff>113040</xdr:colOff>
      <xdr:row>22</xdr:row>
      <xdr:rowOff>65520</xdr:rowOff>
    </xdr:to>
    <xdr:sp>
      <xdr:nvSpPr>
        <xdr:cNvPr id="21" name="Ellipsi 23"/>
        <xdr:cNvSpPr/>
      </xdr:nvSpPr>
      <xdr:spPr>
        <a:xfrm>
          <a:off x="19128240" y="3305160"/>
          <a:ext cx="64080" cy="11304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200160</xdr:colOff>
      <xdr:row>20</xdr:row>
      <xdr:rowOff>104760</xdr:rowOff>
    </xdr:from>
    <xdr:to>
      <xdr:col>33</xdr:col>
      <xdr:colOff>322560</xdr:colOff>
      <xdr:row>21</xdr:row>
      <xdr:rowOff>65520</xdr:rowOff>
    </xdr:to>
    <xdr:sp>
      <xdr:nvSpPr>
        <xdr:cNvPr id="22" name="Ellipsi 24"/>
        <xdr:cNvSpPr/>
      </xdr:nvSpPr>
      <xdr:spPr>
        <a:xfrm>
          <a:off x="19279440" y="3152880"/>
          <a:ext cx="122400" cy="11304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270360</xdr:colOff>
      <xdr:row>17</xdr:row>
      <xdr:rowOff>34560</xdr:rowOff>
    </xdr:to>
    <xdr:pic>
      <xdr:nvPicPr>
        <xdr:cNvPr id="23" name="Kuva 1"/>
        <xdr:cNvPicPr/>
      </xdr:nvPicPr>
      <xdr:blipFill>
        <a:blip r:embed="rId1"/>
        <a:stretch/>
      </xdr:blipFill>
      <xdr:spPr>
        <a:xfrm>
          <a:off x="3843720" y="293760"/>
          <a:ext cx="1478160" cy="233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>
      <xdr:nvCxnSpPr>
        <xdr:cNvPr id="24" name="Suora yhdysviiva 2"/>
        <xdr:cNvCxnSpPr/>
      </xdr:nvCxnSpPr>
      <xdr:spPr>
        <a:xfrm flipV="1">
          <a:off x="16759440" y="2990520"/>
          <a:ext cx="291708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85680</xdr:colOff>
      <xdr:row>26</xdr:row>
      <xdr:rowOff>37800</xdr:rowOff>
    </xdr:from>
    <xdr:to>
      <xdr:col>27</xdr:col>
      <xdr:colOff>485640</xdr:colOff>
      <xdr:row>29</xdr:row>
      <xdr:rowOff>85680</xdr:rowOff>
    </xdr:to>
    <xdr:cxnSp>
      <xdr:nvCxnSpPr>
        <xdr:cNvPr id="25" name="Suora nuoliyhdysviiva 3"/>
        <xdr:cNvCxnSpPr/>
      </xdr:nvCxnSpPr>
      <xdr:spPr>
        <a:xfrm>
          <a:off x="16397640" y="400032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37800</xdr:colOff>
      <xdr:row>15</xdr:row>
      <xdr:rowOff>19080</xdr:rowOff>
    </xdr:from>
    <xdr:to>
      <xdr:col>32</xdr:col>
      <xdr:colOff>247320</xdr:colOff>
      <xdr:row>26</xdr:row>
      <xdr:rowOff>47160</xdr:rowOff>
    </xdr:to>
    <xdr:cxnSp>
      <xdr:nvCxnSpPr>
        <xdr:cNvPr id="26" name="Suora yhdysviiva 4"/>
        <xdr:cNvCxnSpPr/>
      </xdr:nvCxnSpPr>
      <xdr:spPr>
        <a:xfrm flipV="1">
          <a:off x="16349760" y="2305080"/>
          <a:ext cx="297540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32</xdr:col>
      <xdr:colOff>237960</xdr:colOff>
      <xdr:row>15</xdr:row>
      <xdr:rowOff>19080</xdr:rowOff>
    </xdr:from>
    <xdr:to>
      <xdr:col>33</xdr:col>
      <xdr:colOff>10800</xdr:colOff>
      <xdr:row>18</xdr:row>
      <xdr:rowOff>76320</xdr:rowOff>
    </xdr:to>
    <xdr:cxnSp>
      <xdr:nvCxnSpPr>
        <xdr:cNvPr id="27" name="Suora nuoliyhdysviiva 10"/>
        <xdr:cNvCxnSpPr/>
      </xdr:nvCxnSpPr>
      <xdr:spPr>
        <a:xfrm>
          <a:off x="19315440" y="230508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325440</xdr:colOff>
      <xdr:row>19</xdr:row>
      <xdr:rowOff>86760</xdr:rowOff>
    </xdr:from>
    <xdr:to>
      <xdr:col>33</xdr:col>
      <xdr:colOff>28800</xdr:colOff>
      <xdr:row>21</xdr:row>
      <xdr:rowOff>37800</xdr:rowOff>
    </xdr:to>
    <xdr:sp>
      <xdr:nvSpPr>
        <xdr:cNvPr id="28" name="Vapaamuotoinen: Muoto 12"/>
        <xdr:cNvSpPr/>
      </xdr:nvSpPr>
      <xdr:spPr>
        <a:xfrm rot="5810400">
          <a:off x="19402200" y="2982600"/>
          <a:ext cx="255960" cy="254520"/>
        </a:xfrm>
        <a:custGeom>
          <a:avLst/>
          <a:gdLst>
            <a:gd name="textAreaLeft" fmla="*/ 0 w 255960"/>
            <a:gd name="textAreaRight" fmla="*/ 257400 w 255960"/>
            <a:gd name="textAreaTop" fmla="*/ 0 h 254520"/>
            <a:gd name="textAreaBottom" fmla="*/ 255960 h 2545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428760</xdr:colOff>
      <xdr:row>20</xdr:row>
      <xdr:rowOff>133560</xdr:rowOff>
    </xdr:from>
    <xdr:to>
      <xdr:col>32</xdr:col>
      <xdr:colOff>551160</xdr:colOff>
      <xdr:row>21</xdr:row>
      <xdr:rowOff>93960</xdr:rowOff>
    </xdr:to>
    <xdr:sp>
      <xdr:nvSpPr>
        <xdr:cNvPr id="29" name="Ellipsi 13"/>
        <xdr:cNvSpPr/>
      </xdr:nvSpPr>
      <xdr:spPr>
        <a:xfrm>
          <a:off x="19506240" y="3181680"/>
          <a:ext cx="122400" cy="11268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209520</xdr:colOff>
      <xdr:row>19</xdr:row>
      <xdr:rowOff>76320</xdr:rowOff>
    </xdr:from>
    <xdr:to>
      <xdr:col>32</xdr:col>
      <xdr:colOff>331920</xdr:colOff>
      <xdr:row>20</xdr:row>
      <xdr:rowOff>36720</xdr:rowOff>
    </xdr:to>
    <xdr:sp>
      <xdr:nvSpPr>
        <xdr:cNvPr id="30" name="Ellipsi 14"/>
        <xdr:cNvSpPr/>
      </xdr:nvSpPr>
      <xdr:spPr>
        <a:xfrm>
          <a:off x="19287000" y="2971800"/>
          <a:ext cx="122400" cy="11304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28</xdr:col>
      <xdr:colOff>37800</xdr:colOff>
      <xdr:row>24</xdr:row>
      <xdr:rowOff>38160</xdr:rowOff>
    </xdr:from>
    <xdr:to>
      <xdr:col>28</xdr:col>
      <xdr:colOff>438120</xdr:colOff>
      <xdr:row>27</xdr:row>
      <xdr:rowOff>85680</xdr:rowOff>
    </xdr:to>
    <xdr:cxnSp>
      <xdr:nvCxnSpPr>
        <xdr:cNvPr id="31" name="Suora nuoliyhdysviiva 19"/>
        <xdr:cNvCxnSpPr/>
      </xdr:nvCxnSpPr>
      <xdr:spPr>
        <a:xfrm>
          <a:off x="16900920" y="369576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9360</xdr:colOff>
      <xdr:row>22</xdr:row>
      <xdr:rowOff>19080</xdr:rowOff>
    </xdr:from>
    <xdr:to>
      <xdr:col>29</xdr:col>
      <xdr:colOff>409320</xdr:colOff>
      <xdr:row>25</xdr:row>
      <xdr:rowOff>66600</xdr:rowOff>
    </xdr:to>
    <xdr:cxnSp>
      <xdr:nvCxnSpPr>
        <xdr:cNvPr id="32" name="Suora nuoliyhdysviiva 20"/>
        <xdr:cNvCxnSpPr/>
      </xdr:nvCxnSpPr>
      <xdr:spPr>
        <a:xfrm>
          <a:off x="17433000" y="337176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18720</xdr:colOff>
      <xdr:row>19</xdr:row>
      <xdr:rowOff>133200</xdr:rowOff>
    </xdr:from>
    <xdr:to>
      <xdr:col>30</xdr:col>
      <xdr:colOff>419040</xdr:colOff>
      <xdr:row>23</xdr:row>
      <xdr:rowOff>28440</xdr:rowOff>
    </xdr:to>
    <xdr:cxnSp>
      <xdr:nvCxnSpPr>
        <xdr:cNvPr id="33" name="Suora nuoliyhdysviiva 21"/>
        <xdr:cNvCxnSpPr/>
      </xdr:nvCxnSpPr>
      <xdr:spPr>
        <a:xfrm>
          <a:off x="17993520" y="302868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66600</xdr:colOff>
      <xdr:row>17</xdr:row>
      <xdr:rowOff>114120</xdr:rowOff>
    </xdr:from>
    <xdr:to>
      <xdr:col>31</xdr:col>
      <xdr:colOff>466560</xdr:colOff>
      <xdr:row>21</xdr:row>
      <xdr:rowOff>9720</xdr:rowOff>
    </xdr:to>
    <xdr:cxnSp>
      <xdr:nvCxnSpPr>
        <xdr:cNvPr id="34" name="Suora nuoliyhdysviiva 22"/>
        <xdr:cNvCxnSpPr/>
      </xdr:nvCxnSpPr>
      <xdr:spPr>
        <a:xfrm>
          <a:off x="18592560" y="270504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237960</xdr:colOff>
      <xdr:row>30</xdr:row>
      <xdr:rowOff>114480</xdr:rowOff>
    </xdr:from>
    <xdr:to>
      <xdr:col>28</xdr:col>
      <xdr:colOff>36360</xdr:colOff>
      <xdr:row>33</xdr:row>
      <xdr:rowOff>8280</xdr:rowOff>
    </xdr:to>
    <xdr:sp>
      <xdr:nvSpPr>
        <xdr:cNvPr id="35" name="Suorakulmio 23"/>
        <xdr:cNvSpPr/>
      </xdr:nvSpPr>
      <xdr:spPr>
        <a:xfrm>
          <a:off x="16549920" y="4686480"/>
          <a:ext cx="349560" cy="35100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270360</xdr:colOff>
      <xdr:row>16</xdr:row>
      <xdr:rowOff>149400</xdr:rowOff>
    </xdr:to>
    <xdr:pic>
      <xdr:nvPicPr>
        <xdr:cNvPr id="36" name="Kuva 6"/>
        <xdr:cNvPicPr/>
      </xdr:nvPicPr>
      <xdr:blipFill>
        <a:blip r:embed="rId1"/>
        <a:stretch/>
      </xdr:blipFill>
      <xdr:spPr>
        <a:xfrm>
          <a:off x="3843720" y="331920"/>
          <a:ext cx="1478160" cy="2865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10</xdr:col>
      <xdr:colOff>550800</xdr:colOff>
      <xdr:row>96</xdr:row>
      <xdr:rowOff>34200</xdr:rowOff>
    </xdr:to>
    <xdr:pic>
      <xdr:nvPicPr>
        <xdr:cNvPr id="37" name="Kuva 7"/>
        <xdr:cNvPicPr/>
      </xdr:nvPicPr>
      <xdr:blipFill>
        <a:blip r:embed="rId2"/>
        <a:stretch/>
      </xdr:blipFill>
      <xdr:spPr>
        <a:xfrm>
          <a:off x="2842920" y="14668200"/>
          <a:ext cx="3310560" cy="353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220320</xdr:colOff>
      <xdr:row>90</xdr:row>
      <xdr:rowOff>2520</xdr:rowOff>
    </xdr:to>
    <xdr:pic>
      <xdr:nvPicPr>
        <xdr:cNvPr id="38" name="Kuva 8"/>
        <xdr:cNvPicPr/>
      </xdr:nvPicPr>
      <xdr:blipFill>
        <a:blip r:embed="rId3"/>
        <a:stretch/>
      </xdr:blipFill>
      <xdr:spPr>
        <a:xfrm>
          <a:off x="6642360" y="14528160"/>
          <a:ext cx="3680280" cy="2505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364680</xdr:colOff>
      <xdr:row>38</xdr:row>
      <xdr:rowOff>94320</xdr:rowOff>
    </xdr:to>
    <xdr:pic>
      <xdr:nvPicPr>
        <xdr:cNvPr id="39" name="Image 1"/>
        <xdr:cNvPicPr/>
      </xdr:nvPicPr>
      <xdr:blipFill>
        <a:blip r:embed="rId4"/>
        <a:stretch/>
      </xdr:blipFill>
      <xdr:spPr>
        <a:xfrm>
          <a:off x="29358360" y="3476880"/>
          <a:ext cx="6046200" cy="3856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270360</xdr:colOff>
      <xdr:row>15</xdr:row>
      <xdr:rowOff>110880</xdr:rowOff>
    </xdr:to>
    <xdr:pic>
      <xdr:nvPicPr>
        <xdr:cNvPr id="40" name="Kuva 5"/>
        <xdr:cNvPicPr/>
      </xdr:nvPicPr>
      <xdr:blipFill>
        <a:blip r:embed="rId1"/>
        <a:stretch/>
      </xdr:blipFill>
      <xdr:spPr>
        <a:xfrm>
          <a:off x="3843720" y="293760"/>
          <a:ext cx="1478160" cy="233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41" name="Suora yhdysviiva 1"/>
        <xdr:cNvCxnSpPr/>
      </xdr:nvCxnSpPr>
      <xdr:spPr>
        <a:xfrm flipV="1">
          <a:off x="16768080" y="3337560"/>
          <a:ext cx="2910240" cy="1759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493200</xdr:colOff>
      <xdr:row>27</xdr:row>
      <xdr:rowOff>99000</xdr:rowOff>
    </xdr:from>
    <xdr:to>
      <xdr:col>29</xdr:col>
      <xdr:colOff>318600</xdr:colOff>
      <xdr:row>28</xdr:row>
      <xdr:rowOff>149760</xdr:rowOff>
    </xdr:to>
    <xdr:cxnSp>
      <xdr:nvCxnSpPr>
        <xdr:cNvPr id="42" name="Suora nuoliyhdysviiva 1"/>
        <xdr:cNvCxnSpPr/>
      </xdr:nvCxnSpPr>
      <xdr:spPr>
        <a:xfrm flipH="1">
          <a:off x="16806960" y="4648320"/>
          <a:ext cx="386640" cy="226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421560</xdr:colOff>
      <xdr:row>25</xdr:row>
      <xdr:rowOff>78480</xdr:rowOff>
    </xdr:from>
    <xdr:to>
      <xdr:col>30</xdr:col>
      <xdr:colOff>266400</xdr:colOff>
      <xdr:row>27</xdr:row>
      <xdr:rowOff>1080</xdr:rowOff>
    </xdr:to>
    <xdr:cxnSp>
      <xdr:nvCxnSpPr>
        <xdr:cNvPr id="43" name="Suora nuoliyhdysviiva 2"/>
        <xdr:cNvCxnSpPr/>
      </xdr:nvCxnSpPr>
      <xdr:spPr>
        <a:xfrm flipH="1">
          <a:off x="17296200" y="4277160"/>
          <a:ext cx="396360" cy="273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352080</xdr:colOff>
      <xdr:row>23</xdr:row>
      <xdr:rowOff>121320</xdr:rowOff>
    </xdr:from>
    <xdr:to>
      <xdr:col>31</xdr:col>
      <xdr:colOff>190080</xdr:colOff>
      <xdr:row>24</xdr:row>
      <xdr:rowOff>151200</xdr:rowOff>
    </xdr:to>
    <xdr:cxnSp>
      <xdr:nvCxnSpPr>
        <xdr:cNvPr id="44" name="Suora nuoliyhdysviiva 4"/>
        <xdr:cNvCxnSpPr/>
      </xdr:nvCxnSpPr>
      <xdr:spPr>
        <a:xfrm flipH="1">
          <a:off x="17777880" y="3969360"/>
          <a:ext cx="389520" cy="2055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313920</xdr:colOff>
      <xdr:row>22</xdr:row>
      <xdr:rowOff>105120</xdr:rowOff>
    </xdr:from>
    <xdr:to>
      <xdr:col>32</xdr:col>
      <xdr:colOff>95040</xdr:colOff>
      <xdr:row>23</xdr:row>
      <xdr:rowOff>79200</xdr:rowOff>
    </xdr:to>
    <xdr:cxnSp>
      <xdr:nvCxnSpPr>
        <xdr:cNvPr id="45" name="Suora nuoliyhdysviiva 5"/>
        <xdr:cNvCxnSpPr/>
      </xdr:nvCxnSpPr>
      <xdr:spPr>
        <a:xfrm flipH="1">
          <a:off x="18290880" y="3777840"/>
          <a:ext cx="332640" cy="149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218880</xdr:colOff>
      <xdr:row>21</xdr:row>
      <xdr:rowOff>18720</xdr:rowOff>
    </xdr:from>
    <xdr:to>
      <xdr:col>33</xdr:col>
      <xdr:colOff>29520</xdr:colOff>
      <xdr:row>22</xdr:row>
      <xdr:rowOff>83160</xdr:rowOff>
    </xdr:to>
    <xdr:cxnSp>
      <xdr:nvCxnSpPr>
        <xdr:cNvPr id="46" name="Suora nuoliyhdysviiva 6"/>
        <xdr:cNvCxnSpPr/>
      </xdr:nvCxnSpPr>
      <xdr:spPr>
        <a:xfrm flipH="1">
          <a:off x="18747000" y="3516480"/>
          <a:ext cx="362160" cy="239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95040</xdr:colOff>
      <xdr:row>19</xdr:row>
      <xdr:rowOff>142200</xdr:rowOff>
    </xdr:from>
    <xdr:to>
      <xdr:col>33</xdr:col>
      <xdr:colOff>485640</xdr:colOff>
      <xdr:row>20</xdr:row>
      <xdr:rowOff>150840</xdr:rowOff>
    </xdr:to>
    <xdr:cxnSp>
      <xdr:nvCxnSpPr>
        <xdr:cNvPr id="47" name="Suora nuoliyhdysviiva 8"/>
        <xdr:cNvCxnSpPr/>
      </xdr:nvCxnSpPr>
      <xdr:spPr>
        <a:xfrm flipH="1">
          <a:off x="19174320" y="3289320"/>
          <a:ext cx="390960" cy="184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>
      <xdr:nvCxnSpPr>
        <xdr:cNvPr id="48" name="Suora nuoliyhdysviiva 9"/>
        <xdr:cNvCxnSpPr/>
      </xdr:nvCxnSpPr>
      <xdr:spPr>
        <a:xfrm flipH="1">
          <a:off x="19668240" y="2884680"/>
          <a:ext cx="419760" cy="2844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415800</xdr:colOff>
      <xdr:row>30</xdr:row>
      <xdr:rowOff>119520</xdr:rowOff>
    </xdr:from>
    <xdr:to>
      <xdr:col>29</xdr:col>
      <xdr:colOff>54720</xdr:colOff>
      <xdr:row>32</xdr:row>
      <xdr:rowOff>87840</xdr:rowOff>
    </xdr:to>
    <xdr:sp>
      <xdr:nvSpPr>
        <xdr:cNvPr id="49" name="Vapaamuotoinen: Muoto 1"/>
        <xdr:cNvSpPr/>
      </xdr:nvSpPr>
      <xdr:spPr>
        <a:xfrm rot="1157400">
          <a:off x="16738560" y="5151600"/>
          <a:ext cx="199800" cy="318960"/>
        </a:xfrm>
        <a:custGeom>
          <a:avLst/>
          <a:gdLst>
            <a:gd name="textAreaLeft" fmla="*/ 0 w 199800"/>
            <a:gd name="textAreaRight" fmla="*/ 200880 w 199800"/>
            <a:gd name="textAreaTop" fmla="*/ 0 h 318960"/>
            <a:gd name="textAreaBottom" fmla="*/ 320040 h 3189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34</xdr:col>
      <xdr:colOff>48960</xdr:colOff>
      <xdr:row>20</xdr:row>
      <xdr:rowOff>56880</xdr:rowOff>
    </xdr:from>
    <xdr:to>
      <xdr:col>34</xdr:col>
      <xdr:colOff>247320</xdr:colOff>
      <xdr:row>22</xdr:row>
      <xdr:rowOff>64080</xdr:rowOff>
    </xdr:to>
    <xdr:sp>
      <xdr:nvSpPr>
        <xdr:cNvPr id="50" name="Vapaamuotoinen: Muoto 2"/>
        <xdr:cNvSpPr/>
      </xdr:nvSpPr>
      <xdr:spPr>
        <a:xfrm rot="896400">
          <a:off x="19680120" y="3379320"/>
          <a:ext cx="198360" cy="357480"/>
        </a:xfrm>
        <a:custGeom>
          <a:avLst/>
          <a:gdLst>
            <a:gd name="textAreaLeft" fmla="*/ 0 w 198360"/>
            <a:gd name="textAreaRight" fmla="*/ 199440 w 198360"/>
            <a:gd name="textAreaTop" fmla="*/ 0 h 357480"/>
            <a:gd name="textAreaBottom" fmla="*/ 358560 h 357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344520</xdr:colOff>
      <xdr:row>20</xdr:row>
      <xdr:rowOff>172800</xdr:rowOff>
    </xdr:from>
    <xdr:to>
      <xdr:col>33</xdr:col>
      <xdr:colOff>502920</xdr:colOff>
      <xdr:row>21</xdr:row>
      <xdr:rowOff>95760</xdr:rowOff>
    </xdr:to>
    <xdr:cxnSp>
      <xdr:nvCxnSpPr>
        <xdr:cNvPr id="51" name="Suora yhdysviiva 3"/>
        <xdr:cNvCxnSpPr/>
      </xdr:nvCxnSpPr>
      <xdr:spPr>
        <a:xfrm flipV="1">
          <a:off x="19423800" y="3495240"/>
          <a:ext cx="158760" cy="986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F28" colorId="64" zoomScale="100" zoomScaleNormal="100" zoomScalePageLayoutView="100" workbookViewId="0">
      <selection pane="topLeft" activeCell="BB57" activeCellId="0" sqref="BB57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f aca="false" t="array" ref="BB43:BB44">AX43:AX44</f>
        <v>0</v>
      </c>
      <c r="BC43" s="7"/>
      <c r="BD43" s="7" t="n">
        <f aca="false" t="array" ref="BD43:BD54">MMULT(AK43:AV54,BB43:BB54)-AZ43:AZ54</f>
        <v>-20427.7243418746</v>
      </c>
    </row>
    <row r="44" customFormat="false" ht="12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20" t="n">
        <v>23333.3333333319</v>
      </c>
    </row>
    <row r="45" customFormat="false" ht="12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 t="array" ref="BB45:BB48">AV71:AV74</f>
        <v>-0.0363737839934568</v>
      </c>
      <c r="BC45" s="37"/>
      <c r="BD45" s="20" t="n">
        <v>0</v>
      </c>
    </row>
    <row r="46" customFormat="false" ht="12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20000</v>
      </c>
      <c r="BB46" s="36" t="n">
        <v>81.9356733185917</v>
      </c>
      <c r="BC46" s="37"/>
      <c r="BD46" s="20" t="n">
        <v>4.8275978770107E-009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v>-0.0444444444444467</v>
      </c>
      <c r="BC47" s="34"/>
      <c r="BD47" s="34" t="n">
        <v>1.44427758641541E-009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v>-0.00394228224012535</v>
      </c>
      <c r="BC48" s="37"/>
      <c r="BD48" s="20" t="n">
        <v>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f aca="false" t="array" ref="BB49:BB50">AX49:AX50</f>
        <v>0</v>
      </c>
      <c r="BC49" s="37"/>
      <c r="BD49" s="20" t="n">
        <v>427.724341874613</v>
      </c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7" t="n">
        <v>36666.6666666667</v>
      </c>
      <c r="BK50" s="2"/>
      <c r="CW50" s="2"/>
    </row>
    <row r="51" customFormat="false" ht="12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 t="array" ref="BB51:BB54">AV75:AV78</f>
        <v>-0.0274442054245325</v>
      </c>
      <c r="BC51" s="37"/>
      <c r="BD51" s="20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v>81.9077129247944</v>
      </c>
      <c r="BC52" s="41"/>
      <c r="BD52" s="7" t="n">
        <v>-3.97085386794061E-009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n">
        <v>-0.0698412698412748</v>
      </c>
      <c r="BC53" s="41"/>
      <c r="BD53" s="7" t="n">
        <v>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v>0.00107667377451688</v>
      </c>
      <c r="BC54" s="41"/>
      <c r="BD54" s="7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J59" s="10"/>
      <c r="AK59" s="10" t="n">
        <v>3</v>
      </c>
      <c r="AL59" s="10" t="n">
        <v>4</v>
      </c>
      <c r="AM59" s="10" t="n">
        <v>5</v>
      </c>
      <c r="AN59" s="10" t="n">
        <v>6</v>
      </c>
      <c r="AO59" s="10" t="n">
        <v>9</v>
      </c>
      <c r="AP59" s="10" t="n">
        <v>10</v>
      </c>
      <c r="AQ59" s="10" t="n">
        <v>11</v>
      </c>
      <c r="AR59" s="10" t="n">
        <v>12</v>
      </c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J60" s="10" t="n">
        <v>3</v>
      </c>
      <c r="AK60" s="13" t="n">
        <f aca="false" t="array" ref="AK60:AN63">AM45:AP48</f>
        <v>1750000000</v>
      </c>
      <c r="AL60" s="13" t="n">
        <v>656250</v>
      </c>
      <c r="AM60" s="13" t="n">
        <v>-4.01837230970225E-011</v>
      </c>
      <c r="AN60" s="13" t="n">
        <v>875000000</v>
      </c>
      <c r="AO60" s="13" t="n">
        <f aca="false" t="array" ref="AO60:AR63">AS45:AV48</f>
        <v>0</v>
      </c>
      <c r="AP60" s="13" t="n">
        <v>0</v>
      </c>
      <c r="AQ60" s="13" t="n">
        <v>0</v>
      </c>
      <c r="AR60" s="13" t="n">
        <v>0</v>
      </c>
      <c r="AS60" s="13"/>
      <c r="AT60" s="21" t="str">
        <f aca="false">AX45</f>
        <v>r13</v>
      </c>
      <c r="AV60" s="50" t="n">
        <f aca="false" t="array" ref="AV60:AV63">AZ45:AZ48</f>
        <v>-13333333.3333333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V61" s="7"/>
      <c r="AC61" s="7"/>
      <c r="AJ61" s="10" t="n">
        <v>4</v>
      </c>
      <c r="AK61" s="13" t="n">
        <v>656250</v>
      </c>
      <c r="AL61" s="13" t="n">
        <v>700328.125</v>
      </c>
      <c r="AM61" s="13" t="n">
        <v>3.21268866160695E-011</v>
      </c>
      <c r="AN61" s="13" t="n">
        <v>656250</v>
      </c>
      <c r="AO61" s="13" t="n">
        <v>0</v>
      </c>
      <c r="AP61" s="13" t="n">
        <v>-700000</v>
      </c>
      <c r="AQ61" s="13" t="n">
        <v>0</v>
      </c>
      <c r="AR61" s="13" t="n">
        <v>0</v>
      </c>
      <c r="AS61" s="13"/>
      <c r="AT61" s="21" t="str">
        <f aca="false">AX46</f>
        <v>r21</v>
      </c>
      <c r="AV61" s="51" t="n">
        <v>20000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J62" s="10" t="n">
        <v>5</v>
      </c>
      <c r="AK62" s="13" t="n">
        <v>-4.01837230970225E-011</v>
      </c>
      <c r="AL62" s="13" t="n">
        <v>3.21268866160695E-011</v>
      </c>
      <c r="AM62" s="13" t="n">
        <v>525777.777777778</v>
      </c>
      <c r="AN62" s="13" t="n">
        <v>2333333.33333333</v>
      </c>
      <c r="AO62" s="13" t="n">
        <v>0</v>
      </c>
      <c r="AP62" s="13" t="n">
        <v>0</v>
      </c>
      <c r="AQ62" s="13" t="n">
        <v>-777.777777777778</v>
      </c>
      <c r="AR62" s="13" t="n">
        <v>2333333.33333333</v>
      </c>
      <c r="AS62" s="13"/>
      <c r="AT62" s="21" t="str">
        <f aca="false">AX47</f>
        <v>r22</v>
      </c>
      <c r="AV62" s="51" t="n">
        <v>-30000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0" t="n">
        <v>6</v>
      </c>
      <c r="AK63" s="13" t="n">
        <v>875000000</v>
      </c>
      <c r="AL63" s="13" t="n">
        <v>656250</v>
      </c>
      <c r="AM63" s="13" t="n">
        <v>2333333.33333333</v>
      </c>
      <c r="AN63" s="13" t="n">
        <v>11083333333.3333</v>
      </c>
      <c r="AO63" s="13" t="n">
        <v>0</v>
      </c>
      <c r="AP63" s="13" t="n">
        <v>0</v>
      </c>
      <c r="AQ63" s="13" t="n">
        <v>-2333333.33333333</v>
      </c>
      <c r="AR63" s="13" t="n">
        <v>4666666666.66667</v>
      </c>
      <c r="AS63" s="13"/>
      <c r="AT63" s="21" t="str">
        <f aca="false">AX48</f>
        <v>r23</v>
      </c>
      <c r="AV63" s="51" t="n">
        <v>-16666666.6666667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9</v>
      </c>
      <c r="AK64" s="13" t="n">
        <f aca="false" t="array" ref="AK64:AN67">AM51:AP54</f>
        <v>0</v>
      </c>
      <c r="AL64" s="1" t="n">
        <v>0</v>
      </c>
      <c r="AM64" s="1" t="n">
        <v>0</v>
      </c>
      <c r="AN64" s="1" t="n">
        <v>0</v>
      </c>
      <c r="AO64" s="13" t="n">
        <f aca="false" t="array" ref="AO64:AR67">AS51:AV54</f>
        <v>1750000000</v>
      </c>
      <c r="AP64" s="1" t="n">
        <v>656250</v>
      </c>
      <c r="AQ64" s="1" t="n">
        <v>-4.01837230970225E-011</v>
      </c>
      <c r="AR64" s="1" t="n">
        <v>875000000</v>
      </c>
      <c r="AS64" s="1" t="s">
        <v>37</v>
      </c>
      <c r="AT64" s="7" t="s">
        <v>50</v>
      </c>
      <c r="AV64" s="13" t="n">
        <f aca="false" t="array" ref="AV64:AV67">AZ51:AZ54</f>
        <v>6666666.66666667</v>
      </c>
      <c r="BR64" s="54"/>
    </row>
    <row r="65" customFormat="false" ht="12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10</v>
      </c>
      <c r="AK65" s="1" t="n">
        <v>0</v>
      </c>
      <c r="AL65" s="1" t="n">
        <v>-700000</v>
      </c>
      <c r="AM65" s="1" t="n">
        <v>0</v>
      </c>
      <c r="AN65" s="1" t="n">
        <v>0</v>
      </c>
      <c r="AO65" s="1" t="n">
        <v>656250</v>
      </c>
      <c r="AP65" s="1" t="n">
        <v>700328.125</v>
      </c>
      <c r="AQ65" s="1" t="n">
        <v>3.21268866160695E-011</v>
      </c>
      <c r="AR65" s="1" t="n">
        <v>656250</v>
      </c>
      <c r="AT65" s="7" t="s">
        <v>51</v>
      </c>
      <c r="AV65" s="1" t="n">
        <v>-10000</v>
      </c>
      <c r="BR65" s="54"/>
    </row>
    <row r="66" customFormat="false" ht="12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11</v>
      </c>
      <c r="AK66" s="1" t="n">
        <v>0</v>
      </c>
      <c r="AL66" s="1" t="n">
        <v>0</v>
      </c>
      <c r="AM66" s="1" t="n">
        <v>-777.777777777778</v>
      </c>
      <c r="AN66" s="1" t="n">
        <v>-2333333.33333333</v>
      </c>
      <c r="AO66" s="1" t="n">
        <v>-4.01837230970225E-011</v>
      </c>
      <c r="AP66" s="1" t="n">
        <v>3.21268866160695E-011</v>
      </c>
      <c r="AQ66" s="1" t="n">
        <v>525777.777777778</v>
      </c>
      <c r="AR66" s="1" t="n">
        <v>-2333333.33333333</v>
      </c>
      <c r="AT66" s="7" t="s">
        <v>53</v>
      </c>
      <c r="AV66" s="1" t="n">
        <v>-30000</v>
      </c>
      <c r="BC66" s="56"/>
      <c r="BD66" s="56"/>
      <c r="BR66" s="54"/>
    </row>
    <row r="67" customFormat="false" ht="12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12</v>
      </c>
      <c r="AK67" s="1" t="n">
        <v>0</v>
      </c>
      <c r="AL67" s="1" t="n">
        <v>0</v>
      </c>
      <c r="AM67" s="1" t="n">
        <v>2333333.33333333</v>
      </c>
      <c r="AN67" s="1" t="n">
        <v>4666666666.66667</v>
      </c>
      <c r="AO67" s="1" t="n">
        <v>875000000</v>
      </c>
      <c r="AP67" s="1" t="n">
        <v>656250</v>
      </c>
      <c r="AQ67" s="1" t="n">
        <v>-2333333.33333333</v>
      </c>
      <c r="AR67" s="1" t="n">
        <v>11083333333.3333</v>
      </c>
      <c r="AT67" s="7" t="s">
        <v>54</v>
      </c>
      <c r="AV67" s="1" t="n">
        <v>23333333.3333333</v>
      </c>
      <c r="BR67" s="54"/>
    </row>
    <row r="68" customFormat="false" ht="12" hidden="false" customHeight="false" outlineLevel="0" collapsed="false">
      <c r="H68" s="1" t="s">
        <v>76</v>
      </c>
      <c r="M68" s="8" t="s">
        <v>66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BR69" s="54"/>
    </row>
    <row r="70" customFormat="false" ht="12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2"/>
      <c r="AJ70" s="10"/>
      <c r="AK70" s="10" t="n">
        <v>3</v>
      </c>
      <c r="AL70" s="10" t="n">
        <v>4</v>
      </c>
      <c r="AM70" s="10" t="n">
        <v>5</v>
      </c>
      <c r="AN70" s="10" t="n">
        <v>6</v>
      </c>
      <c r="AO70" s="10" t="n">
        <v>9</v>
      </c>
      <c r="AP70" s="10" t="n">
        <v>10</v>
      </c>
      <c r="AQ70" s="10" t="n">
        <v>11</v>
      </c>
      <c r="AR70" s="10" t="n">
        <v>12</v>
      </c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AG71" s="2"/>
      <c r="AH71" s="2"/>
      <c r="AI71" s="2"/>
      <c r="AJ71" s="10" t="n">
        <v>3</v>
      </c>
      <c r="AK71" s="1" t="n">
        <f aca="false" t="array" ref="AK71:AR78">MINVERSE(AK60:AR67)</f>
        <v>1.48534059813209E-009</v>
      </c>
      <c r="AL71" s="1" t="n">
        <v>-2.4291188322382E-006</v>
      </c>
      <c r="AM71" s="1" t="n">
        <v>-3.17460317460169E-010</v>
      </c>
      <c r="AN71" s="1" t="n">
        <v>-5.98492922837857E-012</v>
      </c>
      <c r="AO71" s="1" t="n">
        <v>8.72013899222411E-010</v>
      </c>
      <c r="AP71" s="1" t="n">
        <v>-2.42887058575122E-006</v>
      </c>
      <c r="AQ71" s="1" t="n">
        <v>3.17460317460466E-010</v>
      </c>
      <c r="AR71" s="1" t="n">
        <v>7.76251408685902E-011</v>
      </c>
      <c r="AT71" s="13" t="n">
        <f aca="false" t="array" ref="AT71:AT74">AV60:AV63</f>
        <v>-13333333.3333333</v>
      </c>
      <c r="AV71" s="36" t="n">
        <f aca="false" t="array" ref="AV71:AV78">MMULT(AK71:AR78,AT71:AT78)</f>
        <v>-0.0363737839934568</v>
      </c>
      <c r="AW71" s="1" t="s">
        <v>78</v>
      </c>
      <c r="AX71" s="1" t="n">
        <f aca="false">1000*AV71</f>
        <v>-36.3737839934568</v>
      </c>
      <c r="AY71" s="1" t="s">
        <v>79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10" t="n">
        <v>4</v>
      </c>
      <c r="AK72" s="1" t="n">
        <v>-2.4291188322382E-006</v>
      </c>
      <c r="AL72" s="13" t="n">
        <v>0.00666871691488493</v>
      </c>
      <c r="AM72" s="13" t="n">
        <v>1.26984126984086E-006</v>
      </c>
      <c r="AN72" s="1" t="n">
        <v>-1.43300021687291E-007</v>
      </c>
      <c r="AO72" s="1" t="n">
        <v>-2.42887058575122E-006</v>
      </c>
      <c r="AP72" s="1" t="n">
        <v>0.00666800266183465</v>
      </c>
      <c r="AQ72" s="1" t="n">
        <v>-1.26984126984168E-006</v>
      </c>
      <c r="AR72" s="1" t="n">
        <v>-1.43260824873556E-007</v>
      </c>
      <c r="AT72" s="1" t="n">
        <v>20000</v>
      </c>
      <c r="AV72" s="36" t="n">
        <v>81.9356733185917</v>
      </c>
      <c r="AW72" s="1" t="s">
        <v>12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10" t="n">
        <v>5</v>
      </c>
      <c r="AK73" s="1" t="n">
        <v>-3.17460317460142E-010</v>
      </c>
      <c r="AL73" s="13" t="n">
        <v>1.26984126984081E-006</v>
      </c>
      <c r="AM73" s="13" t="n">
        <v>1.9047619047619E-006</v>
      </c>
      <c r="AN73" s="1" t="n">
        <v>-3.17460317460371E-010</v>
      </c>
      <c r="AO73" s="1" t="n">
        <v>-3.17460317460218E-010</v>
      </c>
      <c r="AP73" s="1" t="n">
        <v>1.26984126984079E-006</v>
      </c>
      <c r="AQ73" s="1" t="n">
        <v>0</v>
      </c>
      <c r="AR73" s="1" t="n">
        <v>-3.1746031746019E-010</v>
      </c>
      <c r="AT73" s="1" t="n">
        <v>-30000</v>
      </c>
      <c r="AV73" s="36" t="n">
        <v>-0.0444444444444467</v>
      </c>
      <c r="AW73" s="1" t="s">
        <v>12</v>
      </c>
      <c r="BB73" s="7"/>
      <c r="BK73" s="2"/>
    </row>
    <row r="74" customFormat="false" ht="12" hidden="false" customHeight="false" outlineLevel="0" collapsed="false">
      <c r="M74" s="55" t="s">
        <v>73</v>
      </c>
      <c r="AJ74" s="10" t="n">
        <v>6</v>
      </c>
      <c r="AK74" s="1" t="n">
        <v>-5.98492922837866E-012</v>
      </c>
      <c r="AL74" s="1" t="n">
        <v>-1.43300021687291E-007</v>
      </c>
      <c r="AM74" s="1" t="n">
        <v>-3.17460317460309E-010</v>
      </c>
      <c r="AN74" s="1" t="n">
        <v>1.19444874722225E-010</v>
      </c>
      <c r="AO74" s="1" t="n">
        <v>7.76251408685904E-011</v>
      </c>
      <c r="AP74" s="1" t="n">
        <v>-1.43260824873556E-007</v>
      </c>
      <c r="AQ74" s="1" t="n">
        <v>3.17460317460326E-010</v>
      </c>
      <c r="AR74" s="1" t="n">
        <v>-4.78046630820137E-011</v>
      </c>
      <c r="AT74" s="1" t="n">
        <v>-16666666.6666667</v>
      </c>
      <c r="AV74" s="36" t="n">
        <v>-0.00394228224012535</v>
      </c>
      <c r="AW74" s="1" t="s">
        <v>78</v>
      </c>
      <c r="AX74" s="1" t="n">
        <f aca="false">1000*AV74</f>
        <v>-3.94228224012535</v>
      </c>
      <c r="AY74" s="1" t="s">
        <v>79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M75" s="8"/>
      <c r="AJ75" s="10" t="n">
        <v>9</v>
      </c>
      <c r="AK75" s="1" t="n">
        <v>8.72013899222411E-010</v>
      </c>
      <c r="AL75" s="1" t="n">
        <v>-2.42887058575122E-006</v>
      </c>
      <c r="AM75" s="1" t="n">
        <v>-3.17460317460169E-010</v>
      </c>
      <c r="AN75" s="1" t="n">
        <v>7.76251408685905E-011</v>
      </c>
      <c r="AO75" s="1" t="n">
        <v>1.48534059813209E-009</v>
      </c>
      <c r="AP75" s="1" t="n">
        <v>-2.4291188322382E-006</v>
      </c>
      <c r="AQ75" s="1" t="n">
        <v>3.17460317460466E-010</v>
      </c>
      <c r="AR75" s="1" t="n">
        <v>-5.98492922837884E-012</v>
      </c>
      <c r="AT75" s="13" t="n">
        <f aca="false">AV64</f>
        <v>6666666.66666667</v>
      </c>
      <c r="AV75" s="36" t="n">
        <v>-0.0274442054245325</v>
      </c>
      <c r="AW75" s="1" t="s">
        <v>78</v>
      </c>
      <c r="AX75" s="1" t="n">
        <f aca="false">1000*AV75</f>
        <v>-27.4442054245325</v>
      </c>
      <c r="AY75" s="1" t="s">
        <v>79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F76" s="1" t="s">
        <v>82</v>
      </c>
      <c r="M76" s="8"/>
      <c r="AJ76" s="10" t="n">
        <v>10</v>
      </c>
      <c r="AK76" s="1" t="n">
        <v>-2.42887058575122E-006</v>
      </c>
      <c r="AL76" s="1" t="n">
        <v>0.00666800266183465</v>
      </c>
      <c r="AM76" s="1" t="n">
        <v>1.26984126984086E-006</v>
      </c>
      <c r="AN76" s="1" t="n">
        <v>-1.43260824873557E-007</v>
      </c>
      <c r="AO76" s="13" t="n">
        <v>-2.4291188322382E-006</v>
      </c>
      <c r="AP76" s="1" t="n">
        <v>0.00666871691488493</v>
      </c>
      <c r="AQ76" s="1" t="n">
        <v>-1.26984126984168E-006</v>
      </c>
      <c r="AR76" s="1" t="n">
        <v>-1.4330002168729E-007</v>
      </c>
      <c r="AT76" s="13" t="n">
        <f aca="false">AV65</f>
        <v>-10000</v>
      </c>
      <c r="AV76" s="36" t="n">
        <v>81.9077129247944</v>
      </c>
      <c r="AW76" s="1" t="s">
        <v>12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M77" s="55"/>
      <c r="AJ77" s="10" t="n">
        <v>11</v>
      </c>
      <c r="AK77" s="1" t="n">
        <v>3.17460317460466E-010</v>
      </c>
      <c r="AL77" s="1" t="n">
        <v>-1.26984126984168E-006</v>
      </c>
      <c r="AM77" s="1" t="n">
        <v>0</v>
      </c>
      <c r="AN77" s="1" t="n">
        <v>3.17460317460326E-010</v>
      </c>
      <c r="AO77" s="13" t="n">
        <v>3.17460317460467E-010</v>
      </c>
      <c r="AP77" s="1" t="n">
        <v>-1.26984126984168E-006</v>
      </c>
      <c r="AQ77" s="1" t="n">
        <v>1.9047619047619E-006</v>
      </c>
      <c r="AR77" s="1" t="n">
        <v>3.17460317460326E-010</v>
      </c>
      <c r="AT77" s="13" t="n">
        <f aca="false">AV66</f>
        <v>-30000</v>
      </c>
      <c r="AV77" s="36" t="n">
        <v>-0.0698412698412748</v>
      </c>
      <c r="AW77" s="1" t="s">
        <v>12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AJ78" s="10" t="n">
        <v>12</v>
      </c>
      <c r="AK78" s="1" t="n">
        <v>7.76251408685904E-011</v>
      </c>
      <c r="AL78" s="1" t="n">
        <v>-1.43260824873556E-007</v>
      </c>
      <c r="AM78" s="1" t="n">
        <v>-3.17460317460309E-010</v>
      </c>
      <c r="AN78" s="1" t="n">
        <v>-4.78046630820136E-011</v>
      </c>
      <c r="AO78" s="1" t="n">
        <v>-5.98492922837864E-012</v>
      </c>
      <c r="AP78" s="1" t="n">
        <v>-1.43300021687291E-007</v>
      </c>
      <c r="AQ78" s="1" t="n">
        <v>3.17460317460326E-010</v>
      </c>
      <c r="AR78" s="1" t="n">
        <v>1.19444874722225E-010</v>
      </c>
      <c r="AT78" s="13" t="n">
        <f aca="false">AV67</f>
        <v>23333333.3333333</v>
      </c>
      <c r="AV78" s="36" t="n">
        <v>0.00107667377451688</v>
      </c>
      <c r="AW78" s="1" t="s">
        <v>78</v>
      </c>
      <c r="AX78" s="1" t="n">
        <f aca="false">1000*AV78</f>
        <v>1.07667377451688</v>
      </c>
      <c r="AY78" s="1" t="s">
        <v>79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n">
        <f aca="false" t="array" ref="AR86:AR91">MMULT(B45:G50,BB43:BB48)</f>
        <v>0</v>
      </c>
      <c r="AT86" s="13" t="n">
        <f aca="false">I28</f>
        <v>-0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n">
        <v>0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n">
        <v>-0.0363737839934568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n">
        <v>-0.0444444444444417</v>
      </c>
      <c r="AT89" s="13" t="n">
        <f aca="false">I31</f>
        <v>-0</v>
      </c>
      <c r="AV89" s="1" t="e">
        <v>#NAME?</v>
      </c>
    </row>
    <row r="90" customFormat="false" ht="12" hidden="false" customHeight="false" outlineLevel="0" collapsed="false"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n">
        <v>-81.9356733185917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n">
        <v>-0.00394228224012535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0">
      <formula>ABS(AZ43)&lt;0.1</formula>
    </cfRule>
  </conditionalFormatting>
  <conditionalFormatting sqref="AK43:AV54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J1" colorId="64" zoomScale="100" zoomScaleNormal="100" zoomScalePageLayoutView="100" workbookViewId="0">
      <selection pane="topLeft" activeCell="AT14" activeCellId="0" sqref="AT14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9.57"/>
    <col collapsed="false" customWidth="true" hidden="false" outlineLevel="0" max="38" min="38" style="34" width="12.57"/>
    <col collapsed="false" customWidth="true" hidden="false" outlineLevel="0" max="39" min="39" style="34" width="10.57"/>
    <col collapsed="false" customWidth="true" hidden="false" outlineLevel="0" max="40" min="40" style="34" width="9.3"/>
    <col collapsed="false" customWidth="true" hidden="false" outlineLevel="0" max="41" min="41" style="34" width="13.13"/>
    <col collapsed="false" customWidth="true" hidden="false" outlineLevel="0" max="43" min="42" style="34" width="9.3"/>
    <col collapsed="false" customWidth="true" hidden="false" outlineLevel="0" max="44" min="44" style="34" width="12.57"/>
    <col collapsed="false" customWidth="true" hidden="false" outlineLevel="0" max="45" min="45" style="34" width="10.57"/>
    <col collapsed="false" customWidth="true" hidden="false" outlineLevel="0" max="46" min="46" style="34" width="12.42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50" min="49" style="34" width="11.57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36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 t="s">
        <v>90</v>
      </c>
      <c r="BD45" s="10" t="s">
        <v>38</v>
      </c>
      <c r="BF45" s="34" t="s">
        <v>40</v>
      </c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D46" s="63" t="n">
        <f aca="false" t="array" ref="BD46:BD48">AZ46:AZ48</f>
        <v>0</v>
      </c>
      <c r="BE46" s="7"/>
      <c r="BF46" s="7" t="n">
        <f aca="false" t="array" ref="BF46:BF59">MMULT(AK46:AX59,BD46:BD59)-BB46:BB59</f>
        <v>-28750.659141066</v>
      </c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D47" s="63" t="n">
        <v>0</v>
      </c>
      <c r="BE47" s="37"/>
      <c r="BF47" s="37" t="n">
        <v>29999.9999999989</v>
      </c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</f>
        <v>1750000000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n">
        <v>0</v>
      </c>
      <c r="BA48" s="1"/>
      <c r="BB48" s="13" t="n">
        <f aca="false">AY8+BO8+AY27</f>
        <v>-13333333.3333333</v>
      </c>
      <c r="BC48" s="1" t="s">
        <v>91</v>
      </c>
      <c r="BD48" s="63" t="n">
        <v>0</v>
      </c>
      <c r="BE48" s="37"/>
      <c r="BF48" s="37" t="n">
        <v>35002636.5642638</v>
      </c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D49" s="36" t="n">
        <f aca="false" t="array" ref="BD49:BD51">AV77:AV79</f>
        <v>45.7223209577565</v>
      </c>
      <c r="BE49" s="37"/>
      <c r="BF49" s="37" t="n">
        <v>-3.09591996483505E-009</v>
      </c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D50" s="36" t="n">
        <v>-0.0571428571428578</v>
      </c>
      <c r="BF50" s="34" t="n">
        <v>1.13141140900552E-009</v>
      </c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D51" s="40" t="n">
        <v>-0.00642857142857144</v>
      </c>
      <c r="BE51" s="37"/>
      <c r="BF51" s="37" t="n">
        <v>0</v>
      </c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D52" s="63" t="n">
        <f aca="false" t="array" ref="BD52:BD54">AZ52:AZ54</f>
        <v>0</v>
      </c>
      <c r="BE52" s="37"/>
      <c r="BF52" s="37" t="n">
        <v>8750.65914106595</v>
      </c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D53" s="63" t="n">
        <v>0</v>
      </c>
      <c r="BE53" s="41"/>
      <c r="BF53" s="41" t="n">
        <v>30000</v>
      </c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</f>
        <v>1750000000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n">
        <v>0</v>
      </c>
      <c r="BA54" s="1"/>
      <c r="BB54" s="13" t="n">
        <f aca="false">AY14+BO14+AY33</f>
        <v>6666666.66666667</v>
      </c>
      <c r="BC54" s="1" t="s">
        <v>92</v>
      </c>
      <c r="BD54" s="63" t="n">
        <v>0</v>
      </c>
      <c r="BE54" s="37"/>
      <c r="BF54" s="37" t="n">
        <v>4997363.43573622</v>
      </c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D55" s="36" t="n">
        <f aca="false" t="array" ref="BD55:BD59">AV80:AV84</f>
        <v>45.7062504708151</v>
      </c>
      <c r="BE55" s="41"/>
      <c r="BF55" s="41" t="n">
        <v>-6.85759005136788E-010</v>
      </c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D56" s="36" t="n">
        <v>-0.0571428571428599</v>
      </c>
      <c r="BE56" s="41"/>
      <c r="BF56" s="41" t="n">
        <v>0</v>
      </c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D57" s="40" t="n">
        <v>0.00642857142857144</v>
      </c>
      <c r="BE57" s="41"/>
      <c r="BF57" s="41" t="n">
        <v>0</v>
      </c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D58" s="40" t="n">
        <v>-0.00952682274011107</v>
      </c>
      <c r="BE58" s="41"/>
      <c r="BF58" s="41" t="n">
        <v>0</v>
      </c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D59" s="40" t="n">
        <v>-0.0209493677360795</v>
      </c>
      <c r="BF59" s="34" t="n">
        <v>0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n">
        <f aca="false" t="array" ref="BB64:BB68">BF46:BF50</f>
        <v>-28750.659141066</v>
      </c>
      <c r="BC64" s="34" t="n">
        <f aca="false" t="array" ref="BC64:BC69">MMULT(B45:G50,BB64:BB69)</f>
        <v>29999.9999999989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4</v>
      </c>
      <c r="AL65" s="10" t="n">
        <v>5</v>
      </c>
      <c r="AM65" s="10" t="n">
        <v>6</v>
      </c>
      <c r="AN65" s="10" t="n">
        <v>10</v>
      </c>
      <c r="AO65" s="10" t="n">
        <v>11</v>
      </c>
      <c r="AP65" s="10" t="n">
        <v>12</v>
      </c>
      <c r="AQ65" s="10" t="n">
        <v>13</v>
      </c>
      <c r="AR65" s="10" t="n">
        <v>14</v>
      </c>
      <c r="AS65" s="7" t="s">
        <v>37</v>
      </c>
      <c r="AT65" s="10" t="s">
        <v>38</v>
      </c>
      <c r="AU65" s="7" t="s">
        <v>39</v>
      </c>
      <c r="AV65" s="47" t="s">
        <v>10</v>
      </c>
      <c r="AW65" s="1"/>
      <c r="AX65" s="1"/>
      <c r="BB65" s="132" t="n">
        <v>29999.9999999989</v>
      </c>
      <c r="BC65" s="34" t="n">
        <v>28750.659141066</v>
      </c>
      <c r="BE65" s="132"/>
    </row>
    <row r="66" customFormat="false" ht="12" hidden="false" customHeight="false" outlineLevel="0" collapsed="false">
      <c r="AJ66" s="11" t="n">
        <v>4</v>
      </c>
      <c r="AK66" s="13" t="n">
        <f aca="false" t="array" ref="AK66:AM68">AN49:AP51</f>
        <v>700328.125</v>
      </c>
      <c r="AL66" s="13" t="n">
        <v>3.21268866160695E-011</v>
      </c>
      <c r="AM66" s="13" t="n">
        <v>0</v>
      </c>
      <c r="AN66" s="13" t="n">
        <f aca="false" t="array" ref="AN66:AR68">AT49:AX51</f>
        <v>-700000</v>
      </c>
      <c r="AO66" s="13" t="n">
        <v>0</v>
      </c>
      <c r="AP66" s="13" t="n">
        <v>0</v>
      </c>
      <c r="AQ66" s="13" t="n">
        <v>656250</v>
      </c>
      <c r="AR66" s="13" t="n">
        <v>0</v>
      </c>
      <c r="AS66" s="13"/>
      <c r="AT66" s="21" t="str">
        <f aca="false" t="array" ref="AT66:AT68">AZ49:AZ51</f>
        <v>r21</v>
      </c>
      <c r="AU66" s="1"/>
      <c r="AV66" s="50" t="n">
        <f aca="false" t="array" ref="AV66:AV68">BB49:BB51</f>
        <v>20000</v>
      </c>
      <c r="AW66" s="1"/>
      <c r="AX66" s="1"/>
      <c r="BB66" s="34" t="n">
        <v>35002636.5642638</v>
      </c>
      <c r="BC66" s="34" t="n">
        <v>35002636.5642638</v>
      </c>
    </row>
    <row r="67" customFormat="false" ht="12" hidden="false" customHeight="false" outlineLevel="0" collapsed="false">
      <c r="AJ67" s="11" t="n">
        <v>5</v>
      </c>
      <c r="AK67" s="13" t="n">
        <v>3.21268866160695E-011</v>
      </c>
      <c r="AL67" s="13" t="n">
        <v>525777.777777778</v>
      </c>
      <c r="AM67" s="13" t="n">
        <v>2333333.33333333</v>
      </c>
      <c r="AN67" s="13" t="n">
        <v>0</v>
      </c>
      <c r="AO67" s="13" t="n">
        <v>-777.777777777778</v>
      </c>
      <c r="AP67" s="13" t="n">
        <v>2333333.33333333</v>
      </c>
      <c r="AQ67" s="13" t="n">
        <v>-4.01837230970225E-011</v>
      </c>
      <c r="AR67" s="13" t="n">
        <v>0</v>
      </c>
      <c r="AS67" s="13"/>
      <c r="AT67" s="21" t="str">
        <v>r22</v>
      </c>
      <c r="AU67" s="1"/>
      <c r="AV67" s="51" t="n">
        <v>-30000</v>
      </c>
      <c r="AW67" s="1"/>
      <c r="AX67" s="1"/>
      <c r="BB67" s="34" t="n">
        <v>-3.09591996483505E-009</v>
      </c>
      <c r="BC67" s="34" t="n">
        <v>1.13141140900552E-009</v>
      </c>
    </row>
    <row r="68" customFormat="false" ht="12" hidden="false" customHeight="false" outlineLevel="0" collapsed="false">
      <c r="AJ68" s="11" t="n">
        <v>6</v>
      </c>
      <c r="AK68" s="13" t="n">
        <v>0</v>
      </c>
      <c r="AL68" s="13" t="n">
        <v>2333333.33333333</v>
      </c>
      <c r="AM68" s="13" t="n">
        <v>9333333333.33333</v>
      </c>
      <c r="AN68" s="13" t="n">
        <v>0</v>
      </c>
      <c r="AO68" s="13" t="n">
        <v>-2333333.33333333</v>
      </c>
      <c r="AP68" s="13" t="n">
        <v>4666666666.66667</v>
      </c>
      <c r="AQ68" s="13" t="n">
        <v>0</v>
      </c>
      <c r="AR68" s="13" t="n">
        <v>0</v>
      </c>
      <c r="AS68" s="13"/>
      <c r="AT68" s="21" t="str">
        <v>r23</v>
      </c>
      <c r="AU68" s="1"/>
      <c r="AV68" s="51" t="n">
        <v>-30000000</v>
      </c>
      <c r="AW68" s="1"/>
      <c r="AX68" s="1"/>
      <c r="BB68" s="34" t="n">
        <v>1.13141140900552E-009</v>
      </c>
      <c r="BC68" s="34" t="n">
        <v>3.09591996483505E-009</v>
      </c>
      <c r="BO68" s="100"/>
      <c r="BR68" s="133"/>
    </row>
    <row r="69" customFormat="false" ht="12" hidden="false" customHeight="false" outlineLevel="0" collapsed="false">
      <c r="AJ69" s="11" t="n">
        <v>10</v>
      </c>
      <c r="AK69" s="13" t="n">
        <f aca="false" t="array" ref="AK69:AM73">AN55:AP59</f>
        <v>-700000</v>
      </c>
      <c r="AL69" s="13" t="n">
        <v>0</v>
      </c>
      <c r="AM69" s="13" t="n">
        <v>0</v>
      </c>
      <c r="AN69" s="13" t="n">
        <f aca="false" t="array" ref="AN69:AR73">AT55:AX59</f>
        <v>700328.125</v>
      </c>
      <c r="AO69" s="13" t="n">
        <v>3.21268866160695E-011</v>
      </c>
      <c r="AP69" s="13" t="n">
        <v>0</v>
      </c>
      <c r="AQ69" s="13" t="n">
        <v>0</v>
      </c>
      <c r="AR69" s="13" t="n">
        <v>656250</v>
      </c>
      <c r="AS69" s="13"/>
      <c r="AT69" s="21" t="str">
        <f aca="false" t="array" ref="AT69:AT73">AZ55:AZ59</f>
        <v>r41</v>
      </c>
      <c r="AU69" s="1"/>
      <c r="AV69" s="50" t="n">
        <f aca="false" t="array" ref="AV69:AV73">BB55:BB59</f>
        <v>-10000</v>
      </c>
      <c r="AW69" s="1"/>
      <c r="AX69" s="1"/>
      <c r="BB69" s="34" t="n">
        <f aca="false">BF59</f>
        <v>0</v>
      </c>
      <c r="BC69" s="34" t="n">
        <v>0</v>
      </c>
      <c r="BR69" s="133"/>
    </row>
    <row r="70" customFormat="false" ht="12" hidden="false" customHeight="false" outlineLevel="0" collapsed="false">
      <c r="AJ70" s="11" t="n">
        <v>11</v>
      </c>
      <c r="AK70" s="13" t="n">
        <v>0</v>
      </c>
      <c r="AL70" s="1" t="n">
        <v>-777.777777777778</v>
      </c>
      <c r="AM70" s="1" t="n">
        <v>-2333333.33333333</v>
      </c>
      <c r="AN70" s="1" t="n">
        <v>3.21268866160695E-011</v>
      </c>
      <c r="AO70" s="13" t="n">
        <v>525777.777777778</v>
      </c>
      <c r="AP70" s="1" t="n">
        <v>-2333333.33333333</v>
      </c>
      <c r="AQ70" s="1" t="n">
        <v>0</v>
      </c>
      <c r="AR70" s="1" t="n">
        <v>-4.01837230970225E-011</v>
      </c>
      <c r="AS70" s="1" t="s">
        <v>37</v>
      </c>
      <c r="AT70" s="7" t="str">
        <v>r42</v>
      </c>
      <c r="AU70" s="1"/>
      <c r="AV70" s="13" t="n">
        <v>-30000</v>
      </c>
      <c r="AW70" s="1"/>
      <c r="AX70" s="1"/>
      <c r="BR70" s="133"/>
    </row>
    <row r="71" customFormat="false" ht="12" hidden="false" customHeight="false" outlineLevel="0" collapsed="false">
      <c r="AJ71" s="11" t="n">
        <v>12</v>
      </c>
      <c r="AK71" s="1" t="n">
        <v>0</v>
      </c>
      <c r="AL71" s="1" t="n">
        <v>2333333.33333333</v>
      </c>
      <c r="AM71" s="1" t="n">
        <v>4666666666.66667</v>
      </c>
      <c r="AN71" s="1" t="n">
        <v>0</v>
      </c>
      <c r="AO71" s="1" t="n">
        <v>-2333333.33333333</v>
      </c>
      <c r="AP71" s="1" t="n">
        <v>9333333333.33333</v>
      </c>
      <c r="AQ71" s="1" t="n">
        <v>0</v>
      </c>
      <c r="AR71" s="1" t="n">
        <v>0</v>
      </c>
      <c r="AS71" s="1"/>
      <c r="AT71" s="7" t="str">
        <v>r43</v>
      </c>
      <c r="AU71" s="1"/>
      <c r="AV71" s="1" t="n">
        <v>30000000</v>
      </c>
      <c r="AW71" s="1"/>
      <c r="AX71" s="1"/>
      <c r="BR71" s="133"/>
    </row>
    <row r="72" customFormat="false" ht="12" hidden="false" customHeight="false" outlineLevel="0" collapsed="false">
      <c r="AJ72" s="11" t="n">
        <v>13</v>
      </c>
      <c r="AK72" s="1" t="n">
        <v>656250</v>
      </c>
      <c r="AL72" s="1" t="n">
        <v>-4.01837230970225E-011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1750000000</v>
      </c>
      <c r="AR72" s="1" t="n">
        <v>0</v>
      </c>
      <c r="AS72" s="1"/>
      <c r="AT72" s="7" t="str">
        <v>r24</v>
      </c>
      <c r="AU72" s="1"/>
      <c r="AV72" s="1" t="n">
        <v>13333333.3333333</v>
      </c>
      <c r="AW72" s="1"/>
      <c r="AX72" s="1"/>
      <c r="BC72" s="123"/>
      <c r="BD72" s="123"/>
      <c r="BR72" s="133"/>
    </row>
    <row r="73" customFormat="false" ht="12" hidden="false" customHeight="false" outlineLevel="0" collapsed="false">
      <c r="AJ73" s="11" t="n">
        <v>14</v>
      </c>
      <c r="AK73" s="1" t="n">
        <v>0</v>
      </c>
      <c r="AL73" s="1" t="n">
        <v>0</v>
      </c>
      <c r="AM73" s="1" t="n">
        <v>0</v>
      </c>
      <c r="AN73" s="1" t="n">
        <v>656250</v>
      </c>
      <c r="AO73" s="1" t="n">
        <v>-4.01837230970225E-011</v>
      </c>
      <c r="AP73" s="1" t="n">
        <v>0</v>
      </c>
      <c r="AQ73" s="1" t="n">
        <v>0</v>
      </c>
      <c r="AR73" s="1" t="n">
        <v>1750000000</v>
      </c>
      <c r="AS73" s="1"/>
      <c r="AT73" s="7" t="str">
        <v>r44</v>
      </c>
      <c r="AU73" s="1"/>
      <c r="AV73" s="1" t="n">
        <v>-6666666.66666667</v>
      </c>
      <c r="AW73" s="1"/>
      <c r="AX73" s="1"/>
      <c r="BR73" s="133"/>
    </row>
    <row r="74" customFormat="false" ht="12" hidden="false" customHeight="false" outlineLevel="0" collapsed="false">
      <c r="AJ74" s="10"/>
      <c r="AK74" s="10"/>
      <c r="AL74" s="10"/>
      <c r="AM74" s="10"/>
      <c r="AN74" s="10"/>
      <c r="AO74" s="10"/>
      <c r="AP74" s="10"/>
      <c r="AQ74" s="10"/>
      <c r="AR74" s="10"/>
      <c r="AS74" s="1"/>
      <c r="AT74" s="1"/>
      <c r="AU74" s="1"/>
      <c r="AV74" s="1"/>
      <c r="AW74" s="1"/>
      <c r="AX74" s="1"/>
      <c r="BR74" s="133"/>
    </row>
    <row r="75" customFormat="false" ht="12" hidden="false" customHeight="false" outlineLevel="0" collapsed="false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 t="n">
        <v>4</v>
      </c>
      <c r="AL76" s="10" t="n">
        <v>5</v>
      </c>
      <c r="AM76" s="10" t="n">
        <v>6</v>
      </c>
      <c r="AN76" s="10" t="n">
        <v>10</v>
      </c>
      <c r="AO76" s="10" t="n">
        <v>11</v>
      </c>
      <c r="AP76" s="10" t="n">
        <v>12</v>
      </c>
      <c r="AQ76" s="10" t="n">
        <v>13</v>
      </c>
      <c r="AR76" s="10" t="n">
        <v>14</v>
      </c>
      <c r="AS76" s="7" t="s">
        <v>37</v>
      </c>
      <c r="AT76" s="47" t="s">
        <v>10</v>
      </c>
      <c r="AU76" s="7" t="s">
        <v>39</v>
      </c>
      <c r="AV76" s="10" t="s">
        <v>38</v>
      </c>
      <c r="AW76" s="1"/>
      <c r="AX76" s="1"/>
      <c r="AY76" s="7"/>
    </row>
    <row r="77" customFormat="false" ht="12" hidden="false" customHeight="false" outlineLevel="0" collapsed="false">
      <c r="AG77" s="100"/>
      <c r="AH77" s="100"/>
      <c r="AI77" s="100"/>
      <c r="AJ77" s="10" t="n">
        <v>3</v>
      </c>
      <c r="AK77" s="1" t="n">
        <f aca="false" t="array" ref="AK77:AR84">MINVERSE(AK66:AR73)</f>
        <v>0.00609559521717012</v>
      </c>
      <c r="AL77" s="1" t="n">
        <v>-3.73189238649237E-019</v>
      </c>
      <c r="AM77" s="1" t="n">
        <v>7.2879982636969E-027</v>
      </c>
      <c r="AN77" s="1" t="n">
        <v>0.00609488097330606</v>
      </c>
      <c r="AO77" s="1" t="n">
        <v>-3.73145510659706E-019</v>
      </c>
      <c r="AP77" s="1" t="n">
        <v>7.28799822359393E-027</v>
      </c>
      <c r="AQ77" s="1" t="n">
        <v>-2.2858482064388E-006</v>
      </c>
      <c r="AR77" s="1" t="n">
        <v>-2.28558036498977E-006</v>
      </c>
      <c r="AS77" s="1"/>
      <c r="AT77" s="13" t="n">
        <f aca="false" t="array" ref="AT77:AT84">AV66:AV73</f>
        <v>20000</v>
      </c>
      <c r="AU77" s="1"/>
      <c r="AV77" s="36" t="n">
        <f aca="false" t="array" ref="AV77:AV84">MMULT(AK77:AR84,AT77:AT84)</f>
        <v>45.7223209577565</v>
      </c>
      <c r="AW77" s="1" t="s">
        <v>12</v>
      </c>
      <c r="AX77" s="1"/>
      <c r="AY77" s="7"/>
    </row>
    <row r="78" customFormat="false" ht="12" hidden="false" customHeight="false" outlineLevel="0" collapsed="false">
      <c r="AJ78" s="10" t="n">
        <v>4</v>
      </c>
      <c r="AK78" s="1" t="n">
        <v>-3.73189238649237E-019</v>
      </c>
      <c r="AL78" s="13" t="n">
        <v>1.9047619047619E-006</v>
      </c>
      <c r="AM78" s="13" t="n">
        <v>-3.1746031746041E-010</v>
      </c>
      <c r="AN78" s="1" t="n">
        <v>-3.73145510659706E-019</v>
      </c>
      <c r="AO78" s="1" t="n">
        <v>0</v>
      </c>
      <c r="AP78" s="1" t="n">
        <v>-3.17460317460339E-010</v>
      </c>
      <c r="AQ78" s="1" t="n">
        <v>1.39989701879148E-022</v>
      </c>
      <c r="AR78" s="1" t="n">
        <v>1.3992956649739E-022</v>
      </c>
      <c r="AS78" s="1"/>
      <c r="AT78" s="34" t="n">
        <v>-30000</v>
      </c>
      <c r="AU78" s="1"/>
      <c r="AV78" s="36" t="n">
        <v>-0.0571428571428578</v>
      </c>
      <c r="AW78" s="1" t="s">
        <v>12</v>
      </c>
      <c r="AX78" s="1"/>
      <c r="AY78" s="7"/>
    </row>
    <row r="79" customFormat="false" ht="12" hidden="false" customHeight="false" outlineLevel="0" collapsed="false">
      <c r="AJ79" s="10" t="n">
        <v>5</v>
      </c>
      <c r="AK79" s="1" t="n">
        <v>7.28799825507051E-027</v>
      </c>
      <c r="AL79" s="13" t="n">
        <v>-3.17460317460317E-010</v>
      </c>
      <c r="AM79" s="13" t="n">
        <v>1.42962962962963E-010</v>
      </c>
      <c r="AN79" s="1" t="n">
        <v>-7.28799825507425E-027</v>
      </c>
      <c r="AO79" s="1" t="n">
        <v>3.17460317460317E-010</v>
      </c>
      <c r="AP79" s="1" t="n">
        <v>-7.13227513227515E-011</v>
      </c>
      <c r="AQ79" s="1" t="n">
        <v>-1.00225636262904E-029</v>
      </c>
      <c r="AR79" s="1" t="n">
        <v>1.00225636262931E-029</v>
      </c>
      <c r="AS79" s="1"/>
      <c r="AT79" s="1" t="n">
        <v>-30000000</v>
      </c>
      <c r="AU79" s="1"/>
      <c r="AV79" s="36" t="n">
        <v>-0.00642857142857144</v>
      </c>
      <c r="AW79" s="1" t="s">
        <v>78</v>
      </c>
      <c r="AX79" s="1" t="n">
        <f aca="false">1000*AV79</f>
        <v>-6.42857142857144</v>
      </c>
      <c r="AY79" s="7"/>
      <c r="BK79" s="100"/>
    </row>
    <row r="80" customFormat="false" ht="12" hidden="false" customHeight="false" outlineLevel="0" collapsed="false">
      <c r="AJ80" s="10" t="n">
        <v>6</v>
      </c>
      <c r="AK80" s="1" t="n">
        <v>0.00609488097330606</v>
      </c>
      <c r="AL80" s="1" t="n">
        <v>-3.73145510659706E-019</v>
      </c>
      <c r="AM80" s="1" t="n">
        <v>-7.28799824645115E-027</v>
      </c>
      <c r="AN80" s="1" t="n">
        <v>0.00609559521717012</v>
      </c>
      <c r="AO80" s="1" t="n">
        <v>-3.73189238649237E-019</v>
      </c>
      <c r="AP80" s="1" t="n">
        <v>-7.28799828655552E-027</v>
      </c>
      <c r="AQ80" s="1" t="n">
        <v>-2.28558036498977E-006</v>
      </c>
      <c r="AR80" s="1" t="n">
        <v>-2.2858482064388E-006</v>
      </c>
      <c r="AS80" s="1"/>
      <c r="AT80" s="1" t="n">
        <v>-10000</v>
      </c>
      <c r="AU80" s="1"/>
      <c r="AV80" s="36" t="n">
        <v>45.7062504708151</v>
      </c>
      <c r="AW80" s="1" t="s">
        <v>12</v>
      </c>
      <c r="AX80" s="1"/>
      <c r="AY80" s="7"/>
      <c r="AZ80" s="13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0" t="n">
        <v>9</v>
      </c>
      <c r="AK81" s="1" t="n">
        <v>-3.73145510659706E-019</v>
      </c>
      <c r="AL81" s="1" t="n">
        <v>9.19987042438306E-024</v>
      </c>
      <c r="AM81" s="1" t="n">
        <v>3.17460317460317E-010</v>
      </c>
      <c r="AN81" s="1" t="n">
        <v>-3.73189238649237E-019</v>
      </c>
      <c r="AO81" s="1" t="n">
        <v>1.9047619047619E-006</v>
      </c>
      <c r="AP81" s="1" t="n">
        <v>3.17460317460317E-010</v>
      </c>
      <c r="AQ81" s="1" t="n">
        <v>1.3992956649739E-022</v>
      </c>
      <c r="AR81" s="1" t="n">
        <v>1.39989701879148E-022</v>
      </c>
      <c r="AS81" s="1"/>
      <c r="AT81" s="13" t="n">
        <v>-30000</v>
      </c>
      <c r="AU81" s="1"/>
      <c r="AV81" s="36" t="n">
        <v>-0.0571428571428599</v>
      </c>
      <c r="AW81" s="1" t="s">
        <v>12</v>
      </c>
      <c r="AX81" s="1"/>
      <c r="AY81" s="7"/>
      <c r="AZ81" s="13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0" t="n">
        <v>10</v>
      </c>
      <c r="AK82" s="1" t="n">
        <v>7.28799825507051E-027</v>
      </c>
      <c r="AL82" s="1" t="n">
        <v>-3.17460317460317E-010</v>
      </c>
      <c r="AM82" s="1" t="n">
        <v>-7.13227513227515E-011</v>
      </c>
      <c r="AN82" s="1" t="n">
        <v>-7.28799825507425E-027</v>
      </c>
      <c r="AO82" s="13" t="n">
        <v>3.17460317460317E-010</v>
      </c>
      <c r="AP82" s="1" t="n">
        <v>1.42962962962963E-010</v>
      </c>
      <c r="AQ82" s="1" t="n">
        <v>-1.00225636262904E-029</v>
      </c>
      <c r="AR82" s="1" t="n">
        <v>1.00225636262931E-029</v>
      </c>
      <c r="AS82" s="1"/>
      <c r="AT82" s="1" t="n">
        <v>30000000</v>
      </c>
      <c r="AU82" s="1"/>
      <c r="AV82" s="36" t="n">
        <v>0.00642857142857144</v>
      </c>
      <c r="AW82" s="1" t="s">
        <v>78</v>
      </c>
      <c r="AX82" s="1" t="n">
        <f aca="false">1000*AV82</f>
        <v>6.42857142857144</v>
      </c>
      <c r="AY82" s="7"/>
      <c r="AZ82" s="132"/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0" t="n">
        <v>11</v>
      </c>
      <c r="AK83" s="1" t="n">
        <v>-2.28584820643879E-006</v>
      </c>
      <c r="AL83" s="1" t="n">
        <v>1.39989701879148E-022</v>
      </c>
      <c r="AM83" s="1" t="n">
        <v>-1.00225636295276E-029</v>
      </c>
      <c r="AN83" s="1" t="n">
        <v>-2.28558036498977E-006</v>
      </c>
      <c r="AO83" s="13" t="n">
        <v>1.3992956649739E-022</v>
      </c>
      <c r="AP83" s="1" t="n">
        <v>-1.00225636144795E-029</v>
      </c>
      <c r="AQ83" s="1" t="n">
        <v>1.42862164884312E-009</v>
      </c>
      <c r="AR83" s="1" t="n">
        <v>8.57092636871165E-010</v>
      </c>
      <c r="AS83" s="1"/>
      <c r="AT83" s="1" t="n">
        <v>13333333.3333333</v>
      </c>
      <c r="AU83" s="1"/>
      <c r="AV83" s="36" t="n">
        <v>-0.00952682274011107</v>
      </c>
      <c r="AW83" s="1" t="s">
        <v>78</v>
      </c>
      <c r="AX83" s="1" t="n">
        <f aca="false">1000*AV83</f>
        <v>-9.52682274011107</v>
      </c>
      <c r="AY83" s="7"/>
      <c r="AZ83" s="137"/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0" t="n">
        <v>12</v>
      </c>
      <c r="AK84" s="1" t="n">
        <v>-2.28558036498977E-006</v>
      </c>
      <c r="AL84" s="1" t="n">
        <v>1.3992956649739E-022</v>
      </c>
      <c r="AM84" s="1" t="n">
        <v>1.00225636230582E-029</v>
      </c>
      <c r="AN84" s="1" t="n">
        <v>-2.2858482064388E-006</v>
      </c>
      <c r="AO84" s="1" t="n">
        <v>1.39989701879148E-022</v>
      </c>
      <c r="AP84" s="1" t="n">
        <v>1.00225636380973E-029</v>
      </c>
      <c r="AQ84" s="1" t="n">
        <v>8.57092636871165E-010</v>
      </c>
      <c r="AR84" s="1" t="n">
        <v>1.42862164884312E-009</v>
      </c>
      <c r="AS84" s="1"/>
      <c r="AT84" s="1" t="n">
        <v>-6666666.66666667</v>
      </c>
      <c r="AU84" s="1"/>
      <c r="AV84" s="36" t="n">
        <v>-0.0209493677360795</v>
      </c>
      <c r="AW84" s="1" t="s">
        <v>78</v>
      </c>
      <c r="AX84" s="1" t="n">
        <f aca="false">1000*AV84</f>
        <v>-20.9493677360795</v>
      </c>
      <c r="AY84" s="7"/>
      <c r="AZ84" s="7"/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0"/>
      <c r="AK85" s="10"/>
      <c r="AL85" s="10"/>
      <c r="AM85" s="10"/>
      <c r="AN85" s="10"/>
      <c r="AO85" s="10"/>
      <c r="AP85" s="10"/>
      <c r="AQ85" s="10"/>
      <c r="AR85" s="10"/>
      <c r="AS85" s="1"/>
      <c r="AT85" s="1"/>
      <c r="AU85" s="1"/>
      <c r="AV85" s="1"/>
      <c r="AW85" s="1"/>
      <c r="AX85" s="1"/>
      <c r="AZ85" s="137"/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Z86" s="137"/>
      <c r="BC86" s="138"/>
      <c r="BD86" s="138"/>
      <c r="BE86" s="132"/>
    </row>
    <row r="87" customFormat="false" ht="12" hidden="false" customHeight="false" outlineLevel="0" collapsed="false">
      <c r="BB87" s="132"/>
      <c r="BE87" s="132"/>
      <c r="BK87" s="100"/>
    </row>
    <row r="88" customFormat="false" ht="12" hidden="false" customHeight="false" outlineLevel="0" collapsed="false"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K91" s="17"/>
      <c r="AL91" s="17"/>
      <c r="AM91" s="17"/>
      <c r="AN91" s="17"/>
      <c r="AO91" s="17"/>
      <c r="AP91" s="17"/>
      <c r="AQ91" s="21"/>
      <c r="AR91" s="21"/>
      <c r="AS91" s="21"/>
      <c r="AT91" s="21"/>
      <c r="AU91" s="21"/>
      <c r="AV91" s="21"/>
      <c r="AW91" s="21"/>
      <c r="AX91" s="21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K92" s="17"/>
      <c r="AL92" s="17"/>
      <c r="AM92" s="17"/>
      <c r="AN92" s="17"/>
      <c r="AO92" s="17"/>
      <c r="AP92" s="17"/>
      <c r="AQ92" s="21"/>
      <c r="AR92" s="21"/>
      <c r="AS92" s="21"/>
      <c r="AT92" s="21"/>
      <c r="AU92" s="21"/>
      <c r="AV92" s="21"/>
      <c r="AW92" s="21"/>
      <c r="AX92" s="21"/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K93" s="17"/>
      <c r="AL93" s="17"/>
      <c r="AM93" s="17"/>
      <c r="AN93" s="17"/>
      <c r="AO93" s="17"/>
      <c r="AP93" s="17"/>
      <c r="AQ93" s="17"/>
      <c r="AR93" s="21"/>
      <c r="AS93" s="21"/>
      <c r="AT93" s="21"/>
      <c r="AU93" s="17"/>
      <c r="AV93" s="17"/>
      <c r="AW93" s="21"/>
      <c r="AX93" s="21"/>
      <c r="AZ93" s="95"/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K94" s="17"/>
      <c r="AL94" s="17"/>
      <c r="AM94" s="17"/>
      <c r="AN94" s="17"/>
      <c r="AO94" s="17"/>
      <c r="AP94" s="17"/>
      <c r="AQ94" s="17"/>
      <c r="AR94" s="21"/>
      <c r="AS94" s="21"/>
      <c r="AT94" s="21"/>
      <c r="AU94" s="17"/>
      <c r="AV94" s="17"/>
      <c r="AW94" s="21"/>
      <c r="AX94" s="21"/>
    </row>
    <row r="95" customFormat="false" ht="12" hidden="false" customHeight="false" outlineLevel="0" collapsed="false">
      <c r="AK95" s="17"/>
      <c r="AL95" s="17"/>
      <c r="AM95" s="17"/>
      <c r="AN95" s="17"/>
      <c r="AO95" s="17"/>
      <c r="AP95" s="17"/>
      <c r="AQ95" s="21"/>
      <c r="AR95" s="21"/>
      <c r="AS95" s="21"/>
      <c r="AT95" s="21"/>
      <c r="AU95" s="21"/>
      <c r="AV95" s="21"/>
      <c r="AW95" s="21"/>
      <c r="AX95" s="21"/>
    </row>
    <row r="96" customFormat="false" ht="12" hidden="false" customHeight="false" outlineLevel="0" collapsed="false">
      <c r="AK96" s="21"/>
      <c r="AL96" s="21"/>
      <c r="AM96" s="21"/>
      <c r="AN96" s="17"/>
      <c r="AO96" s="17"/>
      <c r="AP96" s="21"/>
      <c r="AQ96" s="17"/>
      <c r="AR96" s="21"/>
      <c r="AS96" s="21"/>
      <c r="AT96" s="21"/>
      <c r="AU96" s="17"/>
      <c r="AV96" s="17"/>
      <c r="AW96" s="21"/>
      <c r="AX96" s="21"/>
    </row>
    <row r="97" customFormat="false" ht="12" hidden="false" customHeight="false" outlineLevel="0" collapsed="false">
      <c r="AK97" s="21"/>
      <c r="AL97" s="21"/>
      <c r="AM97" s="21"/>
      <c r="AN97" s="21"/>
      <c r="AO97" s="21"/>
      <c r="AP97" s="21"/>
      <c r="AQ97" s="21"/>
      <c r="AR97" s="17"/>
      <c r="AS97" s="17"/>
      <c r="AT97" s="17"/>
      <c r="AU97" s="17"/>
      <c r="AV97" s="17"/>
      <c r="AW97" s="21"/>
      <c r="AX97" s="21"/>
    </row>
    <row r="98" customFormat="false" ht="12" hidden="false" customHeight="false" outlineLevel="0" collapsed="false">
      <c r="AK98" s="21"/>
      <c r="AL98" s="21"/>
      <c r="AM98" s="21"/>
      <c r="AN98" s="21"/>
      <c r="AO98" s="21"/>
      <c r="AP98" s="21"/>
      <c r="AQ98" s="21"/>
      <c r="AR98" s="17"/>
      <c r="AS98" s="17"/>
      <c r="AT98" s="17"/>
      <c r="AU98" s="17"/>
      <c r="AV98" s="17"/>
      <c r="AW98" s="21"/>
      <c r="AX98" s="21"/>
    </row>
    <row r="99" customFormat="false" ht="12" hidden="false" customHeight="false" outlineLevel="0" collapsed="false">
      <c r="AK99" s="21"/>
      <c r="AL99" s="21"/>
      <c r="AM99" s="21"/>
      <c r="AN99" s="21"/>
      <c r="AO99" s="21"/>
      <c r="AP99" s="21"/>
      <c r="AQ99" s="21"/>
      <c r="AR99" s="17"/>
      <c r="AS99" s="17"/>
      <c r="AT99" s="17"/>
      <c r="AU99" s="17"/>
      <c r="AV99" s="17"/>
      <c r="AW99" s="21"/>
      <c r="AX99" s="21"/>
      <c r="AZ99" s="95"/>
    </row>
    <row r="100" customFormat="false" ht="12" hidden="false" customHeight="false" outlineLevel="0" collapsed="false">
      <c r="AK100" s="21"/>
      <c r="AL100" s="21"/>
      <c r="AM100" s="21"/>
      <c r="AN100" s="17"/>
      <c r="AO100" s="17"/>
      <c r="AP100" s="21"/>
      <c r="AQ100" s="17"/>
      <c r="AR100" s="17"/>
      <c r="AS100" s="17"/>
      <c r="AT100" s="17"/>
      <c r="AU100" s="17"/>
      <c r="AV100" s="17"/>
      <c r="AW100" s="21"/>
      <c r="AX100" s="21"/>
      <c r="BC100" s="123"/>
      <c r="BD100" s="123"/>
    </row>
    <row r="101" customFormat="false" ht="12" hidden="false" customHeight="false" outlineLevel="0" collapsed="false">
      <c r="AK101" s="21"/>
      <c r="AL101" s="21"/>
      <c r="AM101" s="21"/>
      <c r="AN101" s="17"/>
      <c r="AO101" s="17"/>
      <c r="AP101" s="21"/>
      <c r="AQ101" s="17"/>
      <c r="AR101" s="17"/>
      <c r="AS101" s="17"/>
      <c r="AT101" s="17"/>
      <c r="AU101" s="17"/>
      <c r="AV101" s="17"/>
      <c r="AW101" s="21"/>
      <c r="AX101" s="21"/>
    </row>
    <row r="102" customFormat="false" ht="12" hidden="false" customHeight="false" outlineLevel="0" collapsed="false"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customFormat="false" ht="12" hidden="false" customHeight="false" outlineLevel="0" collapsed="false"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60 BB46:BB59 AK66:AV73 AK90:AX103">
    <cfRule type="expression" priority="2" aboveAverage="0" equalAverage="0" bottom="0" percent="0" rank="0" text="" dxfId="4">
      <formula>ABS(AK6)&lt;0.1</formula>
    </cfRule>
  </conditionalFormatting>
  <conditionalFormatting sqref="BR172:BR174">
    <cfRule type="cellIs" priority="3" operator="equal" aboveAverage="0" equalAverage="0" bottom="0" percent="0" rank="0" text="" dxfId="5">
      <formula>"VIRHE!"</formula>
    </cfRule>
    <cfRule type="cellIs" priority="4" operator="equal" aboveAverage="0" equalAverage="0" bottom="0" percent="0" rank="0" text="" dxfId="6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B9" colorId="64" zoomScale="100" zoomScaleNormal="100" zoomScalePageLayoutView="100" workbookViewId="0">
      <selection pane="topLeft" activeCell="AT45" activeCellId="0" sqref="AT4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12.28"/>
    <col collapsed="false" customWidth="true" hidden="false" outlineLevel="0" max="40" min="38" style="34" width="13.13"/>
    <col collapsed="false" customWidth="true" hidden="false" outlineLevel="0" max="41" min="41" style="34" width="13.28"/>
    <col collapsed="false" customWidth="true" hidden="false" outlineLevel="0" max="44" min="42" style="34" width="13.13"/>
    <col collapsed="false" customWidth="true" hidden="false" outlineLevel="0" max="45" min="45" style="34" width="12.28"/>
    <col collapsed="false" customWidth="true" hidden="false" outlineLevel="0" max="46" min="46" style="34" width="12.57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49" min="49" style="34" width="11.57"/>
    <col collapsed="false" customWidth="true" hidden="false" outlineLevel="0" max="50" min="50" style="34" width="17.14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6.12323399573677E-017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4.01837230970225E-011</v>
      </c>
      <c r="AX7" s="92"/>
      <c r="AY7" s="21" t="n">
        <f aca="false">I21</f>
        <v>-1.22464679914735E-012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-4.01837230970225E-011</v>
      </c>
      <c r="AX10" s="92"/>
      <c r="AY10" s="21" t="n">
        <f aca="false">I24</f>
        <v>-1.22464679914735E-012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4.01837230970225E-011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-4.01837230970225E-011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H21" s="7"/>
      <c r="I21" s="25" t="n">
        <f aca="false">B55*I28+C55*I29+D55*I30+E55*I31+F55*I32+G55*I33</f>
        <v>-1.22464679914735E-012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B21" s="7"/>
      <c r="AC21" s="25" t="n">
        <f aca="false">V56*AC28+W56*AC29+X56*AC30+Y56*AC31+Z56*AC32+AA56*AC33</f>
        <v>6.12323399573677E-013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H24" s="7"/>
      <c r="I24" s="25" t="n">
        <f aca="false">B58*I28+C58*I29+D58*I30+E58*I31+F58*I32+G58*I33</f>
        <v>-1.22464679914735E-012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B24" s="7"/>
      <c r="AC24" s="25" t="n">
        <f aca="false">V59*AC28+W59*AC29+X59*AC30+Y59*AC31+Z59*AC32+AA59*AC33</f>
        <v>6.12323399573677E-013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-0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-0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3.21268866160695E-011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-3.21268866160695E-011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3.21268866160695E-011</v>
      </c>
      <c r="AR32" s="31" t="n">
        <f aca="false">W21</f>
        <v>525000</v>
      </c>
      <c r="AS32" s="31" t="n">
        <f aca="false">X21</f>
        <v>4.01837230970225E-011</v>
      </c>
      <c r="AT32" s="31" t="n">
        <f aca="false">Y21</f>
        <v>-3.21268866160695E-011</v>
      </c>
      <c r="AU32" s="31" t="n">
        <f aca="false">Z21</f>
        <v>-525000</v>
      </c>
      <c r="AV32" s="7"/>
      <c r="AW32" s="7"/>
      <c r="AX32" s="101" t="n">
        <f aca="false">AA21</f>
        <v>4.01837230970225E-011</v>
      </c>
      <c r="AY32" s="33" t="n">
        <v>6.12323399573677E-013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4.01837230970225E-011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-4.01837230970225E-011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-3.21268866160695E-011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3.21268866160695E-011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-3.21268866160695E-011</v>
      </c>
      <c r="AR35" s="31" t="n">
        <f aca="false">W24</f>
        <v>-525000</v>
      </c>
      <c r="AS35" s="31" t="n">
        <f aca="false">X24</f>
        <v>-4.01837230970225E-011</v>
      </c>
      <c r="AT35" s="31" t="n">
        <f aca="false">Y24</f>
        <v>3.21268866160695E-011</v>
      </c>
      <c r="AU35" s="31" t="n">
        <f aca="false">Z24</f>
        <v>525000</v>
      </c>
      <c r="AV35" s="7"/>
      <c r="AW35" s="7"/>
      <c r="AX35" s="101" t="n">
        <f aca="false">AA24</f>
        <v>-4.01837230970225E-011</v>
      </c>
      <c r="AY35" s="33" t="n">
        <v>6.12323399573677E-013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4.01837230970225E-011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-4.01837230970225E-011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P40" s="7"/>
      <c r="AQ40" s="7"/>
      <c r="AR40" s="7"/>
      <c r="AS40" s="7"/>
      <c r="AT40" s="7"/>
      <c r="AU40" s="7" t="s">
        <v>97</v>
      </c>
      <c r="AV40" s="7" t="s">
        <v>98</v>
      </c>
      <c r="AW40" s="7"/>
      <c r="AX40" s="34" t="s">
        <v>99</v>
      </c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B41" s="7"/>
      <c r="AC41" s="7"/>
      <c r="AD41" s="7"/>
      <c r="AJ41" s="7"/>
      <c r="AK41" s="7"/>
      <c r="AL41" s="7"/>
      <c r="AM41" s="7" t="s">
        <v>100</v>
      </c>
      <c r="AN41" s="7"/>
      <c r="AO41" s="7"/>
      <c r="AP41" s="7"/>
      <c r="AQ41" s="7"/>
      <c r="AR41" s="7"/>
      <c r="AS41" s="7" t="s">
        <v>100</v>
      </c>
      <c r="AT41" s="7"/>
      <c r="AU41" s="21" t="n">
        <v>1000000000000</v>
      </c>
      <c r="AV41" s="21" t="n">
        <v>1000000</v>
      </c>
      <c r="AW41" s="7"/>
      <c r="AX41" s="21" t="n">
        <v>1000000000</v>
      </c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21" t="n">
        <f aca="false">AX41</f>
        <v>1000000000</v>
      </c>
      <c r="AN42" s="7"/>
      <c r="AO42" s="7"/>
      <c r="AP42" s="7"/>
      <c r="AQ42" s="7"/>
      <c r="AR42" s="7"/>
      <c r="AS42" s="21" t="n">
        <f aca="false">AX41</f>
        <v>1000000000</v>
      </c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101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6.12323399573677E-017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/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6.12323399573677E-017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6.12323399573677E-017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3.21268866160695E-011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-3.21268866160695E-011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E46" s="7"/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-0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6.12323399573677E-017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3.21268866160695E-011</v>
      </c>
      <c r="AL47" s="114" t="n">
        <f aca="false">AL7+BB7+AL26</f>
        <v>525000</v>
      </c>
      <c r="AM47" s="114" t="n">
        <f aca="false">AM7+BC7+AM26</f>
        <v>4.01837230970225E-011</v>
      </c>
      <c r="AN47" s="114" t="n">
        <f aca="false">AN7+BD7+AN26</f>
        <v>-3.21268866160695E-011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4.01837230970225E-011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-1.22464679914735E-012</v>
      </c>
      <c r="BC47" s="1" t="s">
        <v>43</v>
      </c>
      <c r="BE47" s="37"/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6.12323399573677E-017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4.01837230970225E-011</v>
      </c>
      <c r="AM48" s="114" t="n">
        <f aca="false">AM8+BC8+AM27+AM42</f>
        <v>2750000000</v>
      </c>
      <c r="AN48" s="114" t="n">
        <f aca="false">AN8+BD8+AN27</f>
        <v>656250</v>
      </c>
      <c r="AO48" s="114" t="n">
        <f aca="false">AO8+BE8+AO27</f>
        <v>-4.01837230970225E-011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s">
        <v>44</v>
      </c>
      <c r="BA48" s="1"/>
      <c r="BB48" s="13" t="n">
        <f aca="false">AY8+BO8+AY27</f>
        <v>-13333333.3333333</v>
      </c>
      <c r="BC48" s="1" t="s">
        <v>91</v>
      </c>
      <c r="BE48" s="37"/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6.12323399573677E-017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6.12323399573677E-017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-3.21268866160695E-011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3.21268866160695E-011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E49" s="37"/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-0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6.12323399573677E-017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-3.21268866160695E-011</v>
      </c>
      <c r="AL50" s="114" t="n">
        <f aca="false">AL10+BB10+AL29</f>
        <v>-525000</v>
      </c>
      <c r="AM50" s="114" t="n">
        <f aca="false">AM10+BC10+AM29</f>
        <v>-4.01837230970225E-011</v>
      </c>
      <c r="AN50" s="119" t="n">
        <f aca="false">AN10+BD10+AN29</f>
        <v>3.21268866160695E-011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-4.01837230970225E-011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E51" s="37"/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3.21268866160695E-011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-3.21268866160695E-011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E52" s="37"/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3.21268866160695E-011</v>
      </c>
      <c r="AR53" s="125" t="n">
        <f aca="false">AR13+BH13+AR32</f>
        <v>525000</v>
      </c>
      <c r="AS53" s="125" t="n">
        <f aca="false">AS13+BI13+AS32</f>
        <v>4.01837230970225E-011</v>
      </c>
      <c r="AT53" s="125" t="n">
        <f aca="false">AT13+BJ13+AT32</f>
        <v>-3.21268866160695E-011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4.01837230970225E-011</v>
      </c>
      <c r="AY53" s="1"/>
      <c r="AZ53" s="7" t="n">
        <v>0</v>
      </c>
      <c r="BA53" s="1"/>
      <c r="BB53" s="13" t="n">
        <f aca="false">AY13+BO13+AY32</f>
        <v>6.12323399573677E-013</v>
      </c>
      <c r="BC53" s="1" t="s">
        <v>49</v>
      </c>
      <c r="BE53" s="41"/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6.12323399573677E-017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4.01837230970225E-011</v>
      </c>
      <c r="AS54" s="125" t="n">
        <f aca="false">AS14+BI14+AS33+AS42</f>
        <v>2750000000</v>
      </c>
      <c r="AT54" s="125" t="n">
        <f aca="false">AT14+BJ14+AT33</f>
        <v>656250</v>
      </c>
      <c r="AU54" s="125" t="n">
        <f aca="false">AU14+BK14+AU33</f>
        <v>-4.01837230970225E-011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s">
        <v>102</v>
      </c>
      <c r="BA54" s="1"/>
      <c r="BB54" s="13" t="n">
        <f aca="false">AY14+BO14+AY33</f>
        <v>6666666.66666667</v>
      </c>
      <c r="BC54" s="1" t="s">
        <v>92</v>
      </c>
      <c r="BE54" s="37"/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6.12323399573677E-017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-0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6.12323399573677E-017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-3.21268866160695E-011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3.21268866160695E-011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E55" s="41"/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6.12323399573677E-017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-3.21268866160695E-011</v>
      </c>
      <c r="AR56" s="125" t="n">
        <f aca="false">AR16+BH16+AR35</f>
        <v>-525000</v>
      </c>
      <c r="AS56" s="125" t="n">
        <f aca="false">AS16+BI16+AS35</f>
        <v>-4.01837230970225E-011</v>
      </c>
      <c r="AT56" s="119" t="n">
        <f aca="false">AT16+BJ16+AT35</f>
        <v>3.21268866160695E-011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-4.01837230970225E-011</v>
      </c>
      <c r="AY56" s="1"/>
      <c r="AZ56" s="7" t="s">
        <v>53</v>
      </c>
      <c r="BA56" s="1"/>
      <c r="BB56" s="13" t="n">
        <f aca="false">AY16+BO16+AY35</f>
        <v>-30000</v>
      </c>
      <c r="BC56" s="1"/>
      <c r="BE56" s="41"/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6.12323399573677E-017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E57" s="41"/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6.12323399573677E-017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-0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6.12323399573677E-017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4.01837230970225E-011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-4.01837230970225E-011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E58" s="41"/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6.12323399573677E-017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4.01837230970225E-011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-4.01837230970225E-011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e">
        <f aca="false" t="array" ref="BB64:BB68">BB93:BB97</f>
        <v>#NAME?</v>
      </c>
      <c r="BC64" s="34" t="e">
        <f aca="false" t="array" ref="BC64:BC69">MMULT(B45:G50,BB64:BB69)</f>
        <v>#NAME?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3</v>
      </c>
      <c r="AL65" s="10" t="n">
        <v>4</v>
      </c>
      <c r="AM65" s="10" t="n">
        <v>5</v>
      </c>
      <c r="AN65" s="10" t="n">
        <v>6</v>
      </c>
      <c r="AO65" s="10" t="n">
        <v>9</v>
      </c>
      <c r="AP65" s="10" t="n">
        <v>10</v>
      </c>
      <c r="AQ65" s="10" t="n">
        <v>11</v>
      </c>
      <c r="AR65" s="10" t="n">
        <v>12</v>
      </c>
      <c r="AS65" s="10" t="n">
        <v>13</v>
      </c>
      <c r="AT65" s="10" t="n">
        <v>14</v>
      </c>
      <c r="AU65" s="7" t="s">
        <v>37</v>
      </c>
      <c r="AV65" s="10" t="s">
        <v>38</v>
      </c>
      <c r="AW65" s="7" t="s">
        <v>39</v>
      </c>
      <c r="AX65" s="47" t="s">
        <v>10</v>
      </c>
      <c r="AY65" s="1"/>
      <c r="AZ65" s="1"/>
      <c r="BB65" s="132" t="e">
        <v>#NAME?</v>
      </c>
      <c r="BC65" s="34" t="e">
        <v>#NAME?</v>
      </c>
      <c r="BE65" s="132"/>
    </row>
    <row r="66" customFormat="false" ht="12" hidden="false" customHeight="false" outlineLevel="0" collapsed="false">
      <c r="AJ66" s="11" t="n">
        <v>3</v>
      </c>
      <c r="AK66" s="95" t="n">
        <f aca="false" t="array" ref="AK66:AN69">AM48:AP51</f>
        <v>2750000000</v>
      </c>
      <c r="AL66" s="34" t="n">
        <v>656250</v>
      </c>
      <c r="AM66" s="34" t="n">
        <v>-4.01837230970225E-011</v>
      </c>
      <c r="AN66" s="34" t="n">
        <v>0</v>
      </c>
      <c r="AO66" s="95" t="n">
        <f aca="false" t="array" ref="AO66:AT69">AS48:AX51</f>
        <v>0</v>
      </c>
      <c r="AP66" s="34" t="n">
        <v>0</v>
      </c>
      <c r="AQ66" s="34" t="n">
        <v>0</v>
      </c>
      <c r="AR66" s="34" t="n">
        <v>0</v>
      </c>
      <c r="AS66" s="34" t="n">
        <v>875000000</v>
      </c>
      <c r="AT66" s="34" t="n">
        <v>0</v>
      </c>
      <c r="AX66" s="95" t="n">
        <f aca="false" t="array" ref="AX66:AX69">BB48:BB51</f>
        <v>-13333333.3333333</v>
      </c>
      <c r="BB66" s="34" t="e">
        <v>#NAME?</v>
      </c>
      <c r="BC66" s="34" t="e">
        <v>#NAME?</v>
      </c>
    </row>
    <row r="67" customFormat="false" ht="12" hidden="false" customHeight="false" outlineLevel="0" collapsed="false">
      <c r="AJ67" s="11" t="n">
        <v>4</v>
      </c>
      <c r="AK67" s="34" t="n">
        <v>656250</v>
      </c>
      <c r="AL67" s="13" t="n">
        <v>700328.125</v>
      </c>
      <c r="AM67" s="13" t="n">
        <v>3.21268866160695E-011</v>
      </c>
      <c r="AN67" s="13" t="n">
        <v>0</v>
      </c>
      <c r="AO67" s="34" t="n">
        <v>0</v>
      </c>
      <c r="AP67" s="13" t="n">
        <v>-700000</v>
      </c>
      <c r="AQ67" s="13" t="n">
        <v>0</v>
      </c>
      <c r="AR67" s="13" t="n">
        <v>0</v>
      </c>
      <c r="AS67" s="13" t="n">
        <v>656250</v>
      </c>
      <c r="AT67" s="13" t="n">
        <v>0</v>
      </c>
      <c r="AU67" s="13"/>
      <c r="AV67" s="21" t="str">
        <f aca="false" t="array" ref="AV67:AV69">AZ49:AZ51</f>
        <v>r21</v>
      </c>
      <c r="AW67" s="1"/>
      <c r="AX67" s="50" t="n">
        <v>20000</v>
      </c>
      <c r="AY67" s="1"/>
      <c r="AZ67" s="1"/>
      <c r="BB67" s="34" t="e">
        <v>#NAME?</v>
      </c>
      <c r="BC67" s="34" t="e">
        <v>#NAME?</v>
      </c>
    </row>
    <row r="68" customFormat="false" ht="12" hidden="false" customHeight="false" outlineLevel="0" collapsed="false">
      <c r="AJ68" s="11" t="n">
        <v>5</v>
      </c>
      <c r="AK68" s="34" t="n">
        <v>-4.01837230970225E-011</v>
      </c>
      <c r="AL68" s="13" t="n">
        <v>3.21268866160695E-011</v>
      </c>
      <c r="AM68" s="13" t="n">
        <v>525777.777777778</v>
      </c>
      <c r="AN68" s="13" t="n">
        <v>2333333.33333333</v>
      </c>
      <c r="AO68" s="34" t="n">
        <v>0</v>
      </c>
      <c r="AP68" s="13" t="n">
        <v>0</v>
      </c>
      <c r="AQ68" s="13" t="n">
        <v>-777.777777777778</v>
      </c>
      <c r="AR68" s="13" t="n">
        <v>2333333.33333333</v>
      </c>
      <c r="AS68" s="13" t="n">
        <v>-4.01837230970225E-011</v>
      </c>
      <c r="AT68" s="13" t="n">
        <v>0</v>
      </c>
      <c r="AU68" s="13"/>
      <c r="AV68" s="21" t="str">
        <v>r22</v>
      </c>
      <c r="AW68" s="1"/>
      <c r="AX68" s="51" t="n">
        <v>-30000</v>
      </c>
      <c r="AY68" s="1"/>
      <c r="AZ68" s="1"/>
      <c r="BB68" s="34" t="e">
        <v>#NAME?</v>
      </c>
      <c r="BC68" s="34" t="e">
        <v>#NAME?</v>
      </c>
      <c r="BO68" s="100"/>
      <c r="BR68" s="133"/>
    </row>
    <row r="69" customFormat="false" ht="12" hidden="false" customHeight="false" outlineLevel="0" collapsed="false">
      <c r="AJ69" s="11" t="n">
        <v>6</v>
      </c>
      <c r="AK69" s="34" t="n">
        <v>0</v>
      </c>
      <c r="AL69" s="13" t="n">
        <v>0</v>
      </c>
      <c r="AM69" s="13" t="n">
        <v>2333333.33333333</v>
      </c>
      <c r="AN69" s="13" t="n">
        <v>9333333333.33333</v>
      </c>
      <c r="AO69" s="34" t="n">
        <v>0</v>
      </c>
      <c r="AP69" s="13" t="n">
        <v>0</v>
      </c>
      <c r="AQ69" s="13" t="n">
        <v>-2333333.33333333</v>
      </c>
      <c r="AR69" s="13" t="n">
        <v>4666666666.66667</v>
      </c>
      <c r="AS69" s="13" t="n">
        <v>0</v>
      </c>
      <c r="AT69" s="13" t="n">
        <v>0</v>
      </c>
      <c r="AU69" s="13"/>
      <c r="AV69" s="21" t="str">
        <v>r23</v>
      </c>
      <c r="AW69" s="1"/>
      <c r="AX69" s="51" t="n">
        <v>-30000000</v>
      </c>
      <c r="AY69" s="1"/>
      <c r="AZ69" s="1"/>
      <c r="BB69" s="34" t="e">
        <f aca="false">BB106</f>
        <v>#NAME?</v>
      </c>
      <c r="BC69" s="34" t="e">
        <v>#NAME?</v>
      </c>
      <c r="BR69" s="133"/>
    </row>
    <row r="70" customFormat="false" ht="12" hidden="false" customHeight="false" outlineLevel="0" collapsed="false">
      <c r="AJ70" s="11" t="n">
        <v>9</v>
      </c>
      <c r="AK70" s="95" t="n">
        <f aca="false" t="array" ref="AK70:AN75">AM54:AP59</f>
        <v>0</v>
      </c>
      <c r="AL70" s="34" t="n">
        <v>0</v>
      </c>
      <c r="AM70" s="34" t="n">
        <v>0</v>
      </c>
      <c r="AN70" s="34" t="n">
        <v>0</v>
      </c>
      <c r="AO70" s="95" t="n">
        <f aca="false" t="array" ref="AO70:AT75">AS54:AX59</f>
        <v>2750000000</v>
      </c>
      <c r="AP70" s="34" t="n">
        <v>656250</v>
      </c>
      <c r="AQ70" s="34" t="n">
        <v>-4.01837230970225E-011</v>
      </c>
      <c r="AR70" s="34" t="n">
        <v>0</v>
      </c>
      <c r="AS70" s="34" t="n">
        <v>0</v>
      </c>
      <c r="AT70" s="34" t="n">
        <v>875000000</v>
      </c>
      <c r="AX70" s="95" t="n">
        <f aca="false" t="array" ref="AX70:AX75">BB54:BB59</f>
        <v>6666666.66666667</v>
      </c>
      <c r="BR70" s="133"/>
    </row>
    <row r="71" customFormat="false" ht="12" hidden="false" customHeight="false" outlineLevel="0" collapsed="false">
      <c r="AJ71" s="11" t="n">
        <v>10</v>
      </c>
      <c r="AK71" s="34" t="n">
        <v>0</v>
      </c>
      <c r="AL71" s="13" t="n">
        <v>-700000</v>
      </c>
      <c r="AM71" s="13" t="n">
        <v>0</v>
      </c>
      <c r="AN71" s="13" t="n">
        <v>0</v>
      </c>
      <c r="AO71" s="34" t="n">
        <v>656250</v>
      </c>
      <c r="AP71" s="13" t="n">
        <v>700328.125</v>
      </c>
      <c r="AQ71" s="13" t="n">
        <v>3.21268866160695E-011</v>
      </c>
      <c r="AR71" s="13" t="n">
        <v>0</v>
      </c>
      <c r="AS71" s="13" t="n">
        <v>0</v>
      </c>
      <c r="AT71" s="13" t="n">
        <v>656250</v>
      </c>
      <c r="AU71" s="13"/>
      <c r="AV71" s="21" t="str">
        <f aca="false" t="array" ref="AV71:AV75">AZ55:AZ59</f>
        <v>r41</v>
      </c>
      <c r="AW71" s="1"/>
      <c r="AX71" s="50" t="n">
        <v>-10000</v>
      </c>
      <c r="AY71" s="1"/>
      <c r="AZ71" s="1"/>
      <c r="BR71" s="133"/>
    </row>
    <row r="72" customFormat="false" ht="12" hidden="false" customHeight="false" outlineLevel="0" collapsed="false">
      <c r="AJ72" s="11" t="n">
        <v>11</v>
      </c>
      <c r="AK72" s="34" t="n">
        <v>0</v>
      </c>
      <c r="AL72" s="13" t="n">
        <v>0</v>
      </c>
      <c r="AM72" s="1" t="n">
        <v>-777.777777777778</v>
      </c>
      <c r="AN72" s="1" t="n">
        <v>-2333333.33333333</v>
      </c>
      <c r="AO72" s="34" t="n">
        <v>-4.01837230970225E-011</v>
      </c>
      <c r="AP72" s="1" t="n">
        <v>3.21268866160695E-011</v>
      </c>
      <c r="AQ72" s="13" t="n">
        <v>525777.777777778</v>
      </c>
      <c r="AR72" s="1" t="n">
        <v>-2333333.33333333</v>
      </c>
      <c r="AS72" s="1" t="n">
        <v>0</v>
      </c>
      <c r="AT72" s="1" t="n">
        <v>-4.01837230970225E-011</v>
      </c>
      <c r="AU72" s="1" t="s">
        <v>37</v>
      </c>
      <c r="AV72" s="7" t="str">
        <v>r42</v>
      </c>
      <c r="AW72" s="1"/>
      <c r="AX72" s="13" t="n">
        <v>-30000</v>
      </c>
      <c r="AY72" s="1"/>
      <c r="AZ72" s="1"/>
      <c r="BC72" s="123"/>
      <c r="BD72" s="123"/>
      <c r="BR72" s="133"/>
    </row>
    <row r="73" customFormat="false" ht="12" hidden="false" customHeight="false" outlineLevel="0" collapsed="false">
      <c r="AJ73" s="11" t="n">
        <v>12</v>
      </c>
      <c r="AK73" s="34" t="n">
        <v>0</v>
      </c>
      <c r="AL73" s="1" t="n">
        <v>0</v>
      </c>
      <c r="AM73" s="1" t="n">
        <v>2333333.33333333</v>
      </c>
      <c r="AN73" s="1" t="n">
        <v>4666666666.66667</v>
      </c>
      <c r="AO73" s="34" t="n">
        <v>0</v>
      </c>
      <c r="AP73" s="1" t="n">
        <v>0</v>
      </c>
      <c r="AQ73" s="1" t="n">
        <v>-2333333.33333333</v>
      </c>
      <c r="AR73" s="1" t="n">
        <v>9333333333.33333</v>
      </c>
      <c r="AS73" s="1" t="n">
        <v>0</v>
      </c>
      <c r="AT73" s="1" t="n">
        <v>0</v>
      </c>
      <c r="AU73" s="1"/>
      <c r="AV73" s="7" t="str">
        <v>r43</v>
      </c>
      <c r="AW73" s="1"/>
      <c r="AX73" s="1" t="n">
        <v>30000000</v>
      </c>
      <c r="AY73" s="1"/>
      <c r="AZ73" s="1"/>
      <c r="BR73" s="133"/>
    </row>
    <row r="74" customFormat="false" ht="12" hidden="false" customHeight="false" outlineLevel="0" collapsed="false">
      <c r="AJ74" s="11" t="n">
        <v>13</v>
      </c>
      <c r="AK74" s="34" t="n">
        <v>875000000</v>
      </c>
      <c r="AL74" s="1" t="n">
        <v>656250</v>
      </c>
      <c r="AM74" s="1" t="n">
        <v>-4.01837230970225E-011</v>
      </c>
      <c r="AN74" s="1" t="n">
        <v>0</v>
      </c>
      <c r="AO74" s="34" t="n">
        <v>0</v>
      </c>
      <c r="AP74" s="1" t="n">
        <v>0</v>
      </c>
      <c r="AQ74" s="1" t="n">
        <v>0</v>
      </c>
      <c r="AR74" s="1" t="n">
        <v>0</v>
      </c>
      <c r="AS74" s="1" t="n">
        <v>1750000000</v>
      </c>
      <c r="AT74" s="1" t="n">
        <v>0</v>
      </c>
      <c r="AU74" s="1"/>
      <c r="AV74" s="7" t="str">
        <v>r24</v>
      </c>
      <c r="AW74" s="1"/>
      <c r="AX74" s="1" t="n">
        <v>13333333.3333333</v>
      </c>
      <c r="AY74" s="1"/>
      <c r="AZ74" s="1"/>
      <c r="BR74" s="133"/>
    </row>
    <row r="75" customFormat="false" ht="12" hidden="false" customHeight="false" outlineLevel="0" collapsed="false">
      <c r="AJ75" s="11" t="n">
        <v>14</v>
      </c>
      <c r="AK75" s="34" t="n">
        <v>0</v>
      </c>
      <c r="AL75" s="1" t="n">
        <v>0</v>
      </c>
      <c r="AM75" s="1" t="n">
        <v>0</v>
      </c>
      <c r="AN75" s="1" t="n">
        <v>0</v>
      </c>
      <c r="AO75" s="34" t="n">
        <v>875000000</v>
      </c>
      <c r="AP75" s="1" t="n">
        <v>656250</v>
      </c>
      <c r="AQ75" s="1" t="n">
        <v>-4.01837230970225E-011</v>
      </c>
      <c r="AR75" s="1" t="n">
        <v>0</v>
      </c>
      <c r="AS75" s="1" t="n">
        <v>0</v>
      </c>
      <c r="AT75" s="1" t="n">
        <v>1750000000</v>
      </c>
      <c r="AU75" s="1"/>
      <c r="AV75" s="7" t="str">
        <v>r44</v>
      </c>
      <c r="AW75" s="1"/>
      <c r="AX75" s="1" t="n">
        <v>-6666666.66666667</v>
      </c>
      <c r="AY75" s="1"/>
      <c r="AZ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"/>
      <c r="AV76" s="1"/>
      <c r="AW76" s="1"/>
      <c r="AX76" s="1"/>
      <c r="AY76" s="1"/>
      <c r="AZ76" s="1"/>
    </row>
    <row r="77" customFormat="false" ht="12" hidden="false" customHeight="false" outlineLevel="0" collapsed="false">
      <c r="AG77" s="100"/>
      <c r="AH77" s="100"/>
      <c r="AI77" s="100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2" hidden="false" customHeight="false" outlineLevel="0" collapsed="false">
      <c r="AJ78" s="10"/>
      <c r="AK78" s="10" t="n">
        <v>3</v>
      </c>
      <c r="AL78" s="10" t="n">
        <v>4</v>
      </c>
      <c r="AM78" s="10" t="n">
        <v>5</v>
      </c>
      <c r="AN78" s="10" t="n">
        <v>6</v>
      </c>
      <c r="AO78" s="10" t="n">
        <v>9</v>
      </c>
      <c r="AP78" s="10" t="n">
        <v>10</v>
      </c>
      <c r="AQ78" s="10" t="n">
        <v>11</v>
      </c>
      <c r="AR78" s="10" t="n">
        <v>12</v>
      </c>
      <c r="AS78" s="10" t="n">
        <v>13</v>
      </c>
      <c r="AT78" s="10" t="n">
        <v>14</v>
      </c>
      <c r="AU78" s="7" t="s">
        <v>37</v>
      </c>
      <c r="AV78" s="47" t="s">
        <v>10</v>
      </c>
      <c r="AW78" s="7" t="s">
        <v>39</v>
      </c>
      <c r="AX78" s="10" t="s">
        <v>38</v>
      </c>
      <c r="AY78" s="1"/>
      <c r="AZ78" s="1"/>
    </row>
    <row r="79" customFormat="false" ht="12" hidden="false" customHeight="false" outlineLevel="0" collapsed="false">
      <c r="AJ79" s="11" t="n">
        <v>3</v>
      </c>
      <c r="AK79" s="34" t="n">
        <f aca="false" t="array" ref="AK79:AT88">MINVERSE(AK66:AT75)</f>
        <v>7.16223406501652E-010</v>
      </c>
      <c r="AL79" s="1" t="n">
        <v>-2.00005067439259E-006</v>
      </c>
      <c r="AM79" s="1" t="n">
        <v>1.22476057257248E-022</v>
      </c>
      <c r="AN79" s="1" t="n">
        <v>-3.79244747819568E-030</v>
      </c>
      <c r="AO79" s="34" t="n">
        <v>2.83776593498603E-010</v>
      </c>
      <c r="AP79" s="1" t="n">
        <v>-1.9999493256092E-006</v>
      </c>
      <c r="AQ79" s="1" t="n">
        <v>1.22453302572332E-022</v>
      </c>
      <c r="AR79" s="1" t="n">
        <v>-3.79244748666768E-030</v>
      </c>
      <c r="AS79" s="1" t="n">
        <v>3.91907299646397E-010</v>
      </c>
      <c r="AT79" s="1" t="n">
        <v>6.08092700354148E-010</v>
      </c>
      <c r="AU79" s="1"/>
      <c r="AV79" s="13" t="n">
        <f aca="false" t="array" ref="AV79:AV88">AX66:AX75</f>
        <v>-13333333.3333333</v>
      </c>
      <c r="AW79" s="1"/>
      <c r="AX79" s="36" t="e">
        <f aca="false" t="array" ref="AX79:AX88">MMULT(AK79:AT88,_xlfn.anchorarray(AV79))</f>
        <v>#NAME?</v>
      </c>
      <c r="AY79" s="1" t="s">
        <v>78</v>
      </c>
      <c r="AZ79" s="1" t="e">
        <f aca="false">1000*AX79</f>
        <v>#NAME?</v>
      </c>
      <c r="BK79" s="100"/>
    </row>
    <row r="80" customFormat="false" ht="12" hidden="false" customHeight="false" outlineLevel="0" collapsed="false">
      <c r="AJ80" s="11" t="n">
        <v>4</v>
      </c>
      <c r="AK80" s="34" t="n">
        <v>-2.00005067439259E-006</v>
      </c>
      <c r="AL80" s="1" t="n">
        <v>0.0140955952290526</v>
      </c>
      <c r="AM80" s="13" t="n">
        <v>-8.63047960974973E-019</v>
      </c>
      <c r="AN80" s="13" t="n">
        <v>7.28888700270918E-027</v>
      </c>
      <c r="AO80" s="34" t="n">
        <v>-1.9999493256092E-006</v>
      </c>
      <c r="AP80" s="1" t="n">
        <v>0.0140948809614363</v>
      </c>
      <c r="AQ80" s="1" t="n">
        <v>-8.63004227652626E-019</v>
      </c>
      <c r="AR80" s="1" t="n">
        <v>7.28888706242603E-027</v>
      </c>
      <c r="AS80" s="1" t="n">
        <v>-4.28582287369841E-006</v>
      </c>
      <c r="AT80" s="1" t="n">
        <v>-4.285605697734E-006</v>
      </c>
      <c r="AU80" s="1"/>
      <c r="AV80" s="34" t="n">
        <v>20000</v>
      </c>
      <c r="AW80" s="1"/>
      <c r="AX80" s="36" t="e">
        <v>#NAME?</v>
      </c>
      <c r="AY80" s="1" t="s">
        <v>12</v>
      </c>
      <c r="AZ80" s="1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1" t="n">
        <v>5</v>
      </c>
      <c r="AK81" s="34" t="n">
        <v>1.22476057257248E-022</v>
      </c>
      <c r="AL81" s="1" t="n">
        <v>-8.63047960974973E-019</v>
      </c>
      <c r="AM81" s="13" t="n">
        <v>1.9047619047619E-006</v>
      </c>
      <c r="AN81" s="13" t="n">
        <v>-3.1746031746041E-010</v>
      </c>
      <c r="AO81" s="34" t="n">
        <v>1.22453302572332E-022</v>
      </c>
      <c r="AP81" s="1" t="n">
        <v>-8.63004227652626E-019</v>
      </c>
      <c r="AQ81" s="1" t="n">
        <v>0</v>
      </c>
      <c r="AR81" s="1" t="n">
        <v>-3.17460317460339E-010</v>
      </c>
      <c r="AS81" s="1" t="n">
        <v>2.62448694122675E-022</v>
      </c>
      <c r="AT81" s="1" t="n">
        <v>2.62399934083568E-022</v>
      </c>
      <c r="AU81" s="1"/>
      <c r="AV81" s="1" t="n">
        <v>-30000</v>
      </c>
      <c r="AW81" s="1"/>
      <c r="AX81" s="36" t="e">
        <v>#NAME?</v>
      </c>
      <c r="AY81" s="1" t="s">
        <v>12</v>
      </c>
      <c r="AZ81" s="1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1" t="n">
        <v>6</v>
      </c>
      <c r="AK82" s="34" t="n">
        <v>-3.7924474860163E-030</v>
      </c>
      <c r="AL82" s="1" t="n">
        <v>7.28888705783948E-027</v>
      </c>
      <c r="AM82" s="1" t="n">
        <v>-3.17460317460317E-010</v>
      </c>
      <c r="AN82" s="1" t="n">
        <v>1.42962962962963E-010</v>
      </c>
      <c r="AO82" s="34" t="n">
        <v>3.79244748602375E-030</v>
      </c>
      <c r="AP82" s="1" t="n">
        <v>-7.28888705790779E-027</v>
      </c>
      <c r="AQ82" s="1" t="n">
        <v>3.17460317460317E-010</v>
      </c>
      <c r="AR82" s="1" t="n">
        <v>-7.13227513227515E-011</v>
      </c>
      <c r="AS82" s="1" t="n">
        <v>-8.12667318432064E-030</v>
      </c>
      <c r="AT82" s="1" t="n">
        <v>8.12667318434713E-030</v>
      </c>
      <c r="AU82" s="1"/>
      <c r="AV82" s="1" t="n">
        <v>-30000000</v>
      </c>
      <c r="AW82" s="1"/>
      <c r="AX82" s="36" t="e">
        <v>#NAME?</v>
      </c>
      <c r="AY82" s="1" t="s">
        <v>78</v>
      </c>
      <c r="AZ82" s="1" t="e">
        <f aca="false">1000*AX82</f>
        <v>#NAME?</v>
      </c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1" t="n">
        <v>9</v>
      </c>
      <c r="AK83" s="34" t="n">
        <v>2.83776593498603E-010</v>
      </c>
      <c r="AL83" s="1" t="n">
        <v>-1.9999493256092E-006</v>
      </c>
      <c r="AM83" s="1" t="n">
        <v>1.22453302572332E-022</v>
      </c>
      <c r="AN83" s="1" t="n">
        <v>3.79244749384954E-030</v>
      </c>
      <c r="AO83" s="34" t="n">
        <v>7.16223406501652E-010</v>
      </c>
      <c r="AP83" s="1" t="n">
        <v>-2.00005067439259E-006</v>
      </c>
      <c r="AQ83" s="1" t="n">
        <v>1.22476057257248E-022</v>
      </c>
      <c r="AR83" s="1" t="n">
        <v>3.79244748537531E-030</v>
      </c>
      <c r="AS83" s="1" t="n">
        <v>6.08092700354149E-010</v>
      </c>
      <c r="AT83" s="1" t="n">
        <v>3.91907299646396E-010</v>
      </c>
      <c r="AU83" s="1"/>
      <c r="AV83" s="13" t="n">
        <v>6666666.66666667</v>
      </c>
      <c r="AW83" s="1"/>
      <c r="AX83" s="36" t="e">
        <v>#NAME?</v>
      </c>
      <c r="AY83" s="1" t="s">
        <v>78</v>
      </c>
      <c r="AZ83" s="1" t="e">
        <f aca="false">1000*AX83</f>
        <v>#NAME?</v>
      </c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1" t="n">
        <v>10</v>
      </c>
      <c r="AK84" s="34" t="n">
        <v>-1.9999493256092E-006</v>
      </c>
      <c r="AL84" s="1" t="n">
        <v>0.0140948809614363</v>
      </c>
      <c r="AM84" s="1" t="n">
        <v>-8.63004227652626E-019</v>
      </c>
      <c r="AN84" s="1" t="n">
        <v>-7.28888711304516E-027</v>
      </c>
      <c r="AO84" s="34" t="n">
        <v>-2.00005067439259E-006</v>
      </c>
      <c r="AP84" s="1" t="n">
        <v>0.0140955952290526</v>
      </c>
      <c r="AQ84" s="13" t="n">
        <v>-8.63047960974973E-019</v>
      </c>
      <c r="AR84" s="1" t="n">
        <v>-7.28888705332201E-027</v>
      </c>
      <c r="AS84" s="1" t="n">
        <v>-4.285605697734E-006</v>
      </c>
      <c r="AT84" s="1" t="n">
        <v>-4.28582287369841E-006</v>
      </c>
      <c r="AU84" s="1"/>
      <c r="AV84" s="1" t="n">
        <v>-10000</v>
      </c>
      <c r="AW84" s="1"/>
      <c r="AX84" s="36" t="e">
        <v>#NAME?</v>
      </c>
      <c r="AY84" s="1" t="s">
        <v>12</v>
      </c>
      <c r="AZ84" s="1" t="e">
        <f aca="false">1000*AX84</f>
        <v>#NAME?</v>
      </c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1" t="n">
        <v>11</v>
      </c>
      <c r="AK85" s="34" t="n">
        <v>1.22453302572332E-022</v>
      </c>
      <c r="AL85" s="1" t="n">
        <v>-8.63004227652626E-019</v>
      </c>
      <c r="AM85" s="1" t="n">
        <v>8.68156786529417E-024</v>
      </c>
      <c r="AN85" s="1" t="n">
        <v>3.17460317460317E-010</v>
      </c>
      <c r="AO85" s="34" t="n">
        <v>1.22476057257248E-022</v>
      </c>
      <c r="AP85" s="1" t="n">
        <v>-8.63047960974973E-019</v>
      </c>
      <c r="AQ85" s="13" t="n">
        <v>1.9047619047619E-006</v>
      </c>
      <c r="AR85" s="1" t="n">
        <v>3.17460317460317E-010</v>
      </c>
      <c r="AS85" s="1" t="n">
        <v>2.62399934083569E-022</v>
      </c>
      <c r="AT85" s="1" t="n">
        <v>2.62448694122675E-022</v>
      </c>
      <c r="AU85" s="1"/>
      <c r="AV85" s="1" t="n">
        <v>-30000</v>
      </c>
      <c r="AW85" s="1"/>
      <c r="AX85" s="36" t="e">
        <v>#NAME?</v>
      </c>
      <c r="AY85" s="1" t="s">
        <v>12</v>
      </c>
      <c r="AZ85" s="1" t="e">
        <f aca="false">1000*AX85</f>
        <v>#NAME?</v>
      </c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J86" s="11" t="n">
        <v>12</v>
      </c>
      <c r="AK86" s="34" t="n">
        <v>-3.7924474860163E-030</v>
      </c>
      <c r="AL86" s="1" t="n">
        <v>7.28888705783948E-027</v>
      </c>
      <c r="AM86" s="1" t="n">
        <v>-3.17460317460317E-010</v>
      </c>
      <c r="AN86" s="1" t="n">
        <v>-7.13227513227515E-011</v>
      </c>
      <c r="AO86" s="34" t="n">
        <v>3.79244748602375E-030</v>
      </c>
      <c r="AP86" s="1" t="n">
        <v>-7.28888705790779E-027</v>
      </c>
      <c r="AQ86" s="1" t="n">
        <v>3.17460317460317E-010</v>
      </c>
      <c r="AR86" s="1" t="n">
        <v>1.42962962962963E-010</v>
      </c>
      <c r="AS86" s="1" t="n">
        <v>-8.12667318432064E-030</v>
      </c>
      <c r="AT86" s="1" t="n">
        <v>8.12667318434713E-030</v>
      </c>
      <c r="AU86" s="1"/>
      <c r="AV86" s="1" t="n">
        <v>30000000</v>
      </c>
      <c r="AW86" s="1"/>
      <c r="AX86" s="36" t="e">
        <v>#NAME?</v>
      </c>
      <c r="AY86" s="1" t="s">
        <v>78</v>
      </c>
      <c r="AZ86" s="1" t="e">
        <f aca="false">1000*AX86</f>
        <v>#NAME?</v>
      </c>
      <c r="BC86" s="138"/>
      <c r="BD86" s="138"/>
      <c r="BE86" s="132"/>
    </row>
    <row r="87" customFormat="false" ht="12" hidden="false" customHeight="false" outlineLevel="0" collapsed="false">
      <c r="AJ87" s="11" t="n">
        <v>13</v>
      </c>
      <c r="AK87" s="34" t="n">
        <v>3.91907299646396E-010</v>
      </c>
      <c r="AL87" s="34" t="n">
        <v>-4.28582287369841E-006</v>
      </c>
      <c r="AM87" s="34" t="n">
        <v>2.62448694122675E-022</v>
      </c>
      <c r="AN87" s="34" t="n">
        <v>-8.12667316755631E-030</v>
      </c>
      <c r="AO87" s="34" t="n">
        <v>6.08092700354149E-010</v>
      </c>
      <c r="AP87" s="34" t="n">
        <v>-4.285605697734E-006</v>
      </c>
      <c r="AQ87" s="34" t="n">
        <v>2.62399934083569E-022</v>
      </c>
      <c r="AR87" s="34" t="n">
        <v>-8.12667318571436E-030</v>
      </c>
      <c r="AS87" s="34" t="n">
        <v>1.98265849924228E-009</v>
      </c>
      <c r="AT87" s="34" t="n">
        <v>1.30305578647318E-009</v>
      </c>
      <c r="AU87" s="1"/>
      <c r="AV87" s="1" t="n">
        <v>13333333.3333333</v>
      </c>
      <c r="AW87" s="1"/>
      <c r="AX87" s="1" t="e">
        <v>#NAME?</v>
      </c>
      <c r="AY87" s="1" t="s">
        <v>78</v>
      </c>
      <c r="AZ87" s="1"/>
      <c r="BB87" s="132"/>
      <c r="BE87" s="132"/>
      <c r="BK87" s="100"/>
    </row>
    <row r="88" customFormat="false" ht="12" hidden="false" customHeight="false" outlineLevel="0" collapsed="false">
      <c r="AJ88" s="11" t="n">
        <v>14</v>
      </c>
      <c r="AK88" s="34" t="n">
        <v>6.08092700354148E-010</v>
      </c>
      <c r="AL88" s="34" t="n">
        <v>-4.285605697734E-006</v>
      </c>
      <c r="AM88" s="34" t="n">
        <v>2.62399934083569E-022</v>
      </c>
      <c r="AN88" s="34" t="n">
        <v>8.12667320110615E-030</v>
      </c>
      <c r="AO88" s="34" t="n">
        <v>3.91907299646396E-010</v>
      </c>
      <c r="AP88" s="34" t="n">
        <v>-4.28582287369841E-006</v>
      </c>
      <c r="AQ88" s="34" t="n">
        <v>2.62448694122675E-022</v>
      </c>
      <c r="AR88" s="34" t="n">
        <v>8.12667318294709E-030</v>
      </c>
      <c r="AS88" s="34" t="n">
        <v>1.30305578647318E-009</v>
      </c>
      <c r="AT88" s="34" t="n">
        <v>1.98265849924228E-009</v>
      </c>
      <c r="AV88" s="34" t="n">
        <v>-6666666.66666667</v>
      </c>
      <c r="AX88" s="34" t="e">
        <v>#NAME?</v>
      </c>
      <c r="AY88" s="34" t="s">
        <v>78</v>
      </c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J91" s="87" t="s">
        <v>103</v>
      </c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J92" s="11"/>
      <c r="AK92" s="11" t="n">
        <v>1</v>
      </c>
      <c r="AL92" s="11" t="n">
        <v>2</v>
      </c>
      <c r="AM92" s="11" t="n">
        <v>3</v>
      </c>
      <c r="AN92" s="11" t="n">
        <v>4</v>
      </c>
      <c r="AO92" s="11" t="n">
        <v>5</v>
      </c>
      <c r="AP92" s="11" t="n">
        <v>6</v>
      </c>
      <c r="AQ92" s="11" t="n">
        <v>7</v>
      </c>
      <c r="AR92" s="11" t="n">
        <v>8</v>
      </c>
      <c r="AS92" s="11" t="n">
        <v>9</v>
      </c>
      <c r="AT92" s="11" t="n">
        <v>10</v>
      </c>
      <c r="AU92" s="11" t="n">
        <v>11</v>
      </c>
      <c r="AV92" s="11" t="n">
        <v>12</v>
      </c>
      <c r="AW92" s="11" t="n">
        <v>13</v>
      </c>
      <c r="AX92" s="11" t="n">
        <v>14</v>
      </c>
      <c r="AZ92" s="10" t="s">
        <v>38</v>
      </c>
      <c r="BB92" s="10" t="s">
        <v>40</v>
      </c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J93" s="11" t="n">
        <v>1</v>
      </c>
      <c r="AK93" s="17" t="n">
        <f aca="false">AK6+BA6+AK25</f>
        <v>328.125</v>
      </c>
      <c r="AL93" s="17" t="n">
        <f aca="false">AL6+BB6+AL25</f>
        <v>3.21268866160695E-011</v>
      </c>
      <c r="AM93" s="17" t="n">
        <f aca="false">AM6+BC6+AM25</f>
        <v>-656250</v>
      </c>
      <c r="AN93" s="17" t="n">
        <f aca="false">AN6+BD6+AN25</f>
        <v>-328.125</v>
      </c>
      <c r="AO93" s="17" t="n">
        <f aca="false">AO6+BE6+AO25</f>
        <v>-3.21268866160695E-011</v>
      </c>
      <c r="AP93" s="17" t="n">
        <f aca="false">AP6+BF6+AP25</f>
        <v>0</v>
      </c>
      <c r="AQ93" s="17" t="n">
        <f aca="false">AQ6+BG6+AQ25</f>
        <v>0</v>
      </c>
      <c r="AR93" s="17" t="n">
        <f aca="false">AR6+BH6+AR25</f>
        <v>0</v>
      </c>
      <c r="AS93" s="17" t="n">
        <f aca="false">AS6+BI6+AS25</f>
        <v>0</v>
      </c>
      <c r="AT93" s="17" t="n">
        <f aca="false">AT6+BJ6+AT25</f>
        <v>0</v>
      </c>
      <c r="AU93" s="17" t="n">
        <f aca="false">AU6+BK6+AU25</f>
        <v>0</v>
      </c>
      <c r="AV93" s="17" t="n">
        <f aca="false">AV6+BL6+AV25</f>
        <v>0</v>
      </c>
      <c r="AW93" s="17" t="n">
        <f aca="false">AW6+BM6+AW25</f>
        <v>-656250</v>
      </c>
      <c r="AX93" s="17" t="n">
        <f aca="false">AX6+BN6+AX25</f>
        <v>0</v>
      </c>
      <c r="AZ93" s="40" t="n">
        <v>0</v>
      </c>
      <c r="BB93" s="7" t="e">
        <f aca="false" t="array" ref="BB93:BB106">MMULT(AK93:AX106,AZ93:AZ106)-BB46:BB59</f>
        <v>#NAME?</v>
      </c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J94" s="11" t="n">
        <v>2</v>
      </c>
      <c r="AK94" s="17" t="n">
        <f aca="false">AK7+BA7+AK26</f>
        <v>3.21268866160695E-011</v>
      </c>
      <c r="AL94" s="17" t="n">
        <f aca="false">AL7+BB7+AL26</f>
        <v>525000</v>
      </c>
      <c r="AM94" s="17" t="n">
        <f aca="false">AM7+BC7+AM26</f>
        <v>4.01837230970225E-011</v>
      </c>
      <c r="AN94" s="17" t="n">
        <f aca="false">AN7+BD7+AN26</f>
        <v>-3.21268866160695E-011</v>
      </c>
      <c r="AO94" s="17" t="n">
        <f aca="false">AO7+BE7+AO26</f>
        <v>-525000</v>
      </c>
      <c r="AP94" s="17" t="n">
        <f aca="false">AP7+BF7+AP26</f>
        <v>0</v>
      </c>
      <c r="AQ94" s="17" t="n">
        <f aca="false">AQ7+BG7+AQ26</f>
        <v>0</v>
      </c>
      <c r="AR94" s="17" t="n">
        <f aca="false">AR7+BH7+AR26</f>
        <v>0</v>
      </c>
      <c r="AS94" s="17" t="n">
        <f aca="false">AS7+BI7+AS26</f>
        <v>0</v>
      </c>
      <c r="AT94" s="17" t="n">
        <f aca="false">AT7+BJ7+AT26</f>
        <v>0</v>
      </c>
      <c r="AU94" s="17" t="n">
        <f aca="false">AU7+BK7+AU26</f>
        <v>0</v>
      </c>
      <c r="AV94" s="17" t="n">
        <f aca="false">AV7+BL7+AV26</f>
        <v>0</v>
      </c>
      <c r="AW94" s="17" t="n">
        <f aca="false">AW7+BM7+AW26</f>
        <v>4.01837230970225E-011</v>
      </c>
      <c r="AX94" s="17" t="n">
        <f aca="false">AX7+BN7+AX26</f>
        <v>0</v>
      </c>
      <c r="AZ94" s="40" t="n">
        <v>0</v>
      </c>
      <c r="BB94" s="37" t="e">
        <v>#NAME?</v>
      </c>
    </row>
    <row r="95" customFormat="false" ht="12" hidden="false" customHeight="false" outlineLevel="0" collapsed="false">
      <c r="AJ95" s="11" t="n">
        <v>3</v>
      </c>
      <c r="AK95" s="17" t="n">
        <f aca="false">AK8+BA8+AK27</f>
        <v>-656250</v>
      </c>
      <c r="AL95" s="17" t="n">
        <f aca="false">AL8+BB8+AL27</f>
        <v>4.01837230970225E-011</v>
      </c>
      <c r="AM95" s="17" t="n">
        <f aca="false">AM8+BC8+AM27</f>
        <v>1750000000</v>
      </c>
      <c r="AN95" s="17" t="n">
        <f aca="false">AN8+BD8+AN27</f>
        <v>656250</v>
      </c>
      <c r="AO95" s="17" t="n">
        <f aca="false">AO8+BE8+AO27</f>
        <v>-4.01837230970225E-011</v>
      </c>
      <c r="AP95" s="17" t="n">
        <f aca="false">AP8+BF8+AP27</f>
        <v>0</v>
      </c>
      <c r="AQ95" s="17" t="n">
        <f aca="false">AQ8+BG8+AQ27</f>
        <v>0</v>
      </c>
      <c r="AR95" s="17" t="n">
        <f aca="false">AR8+BH8+AR27</f>
        <v>0</v>
      </c>
      <c r="AS95" s="17" t="n">
        <f aca="false">AS8+BI8+AS27</f>
        <v>0</v>
      </c>
      <c r="AT95" s="17" t="n">
        <f aca="false">AT8+BJ8+AT27</f>
        <v>0</v>
      </c>
      <c r="AU95" s="17" t="n">
        <f aca="false">AU8+BK8+AU27</f>
        <v>0</v>
      </c>
      <c r="AV95" s="17" t="n">
        <f aca="false">AV8+BL8+AV27</f>
        <v>0</v>
      </c>
      <c r="AW95" s="17" t="n">
        <f aca="false">AW8+BM8+AW27</f>
        <v>875000000</v>
      </c>
      <c r="AX95" s="17" t="n">
        <f aca="false">AX8+BN8+AX27</f>
        <v>0</v>
      </c>
      <c r="AZ95" s="40" t="e">
        <f aca="false" t="array" ref="AZ95:AZ98">AX79:AX82</f>
        <v>#NAME?</v>
      </c>
      <c r="BB95" s="37" t="e">
        <v>#NAME?</v>
      </c>
    </row>
    <row r="96" customFormat="false" ht="12" hidden="false" customHeight="false" outlineLevel="0" collapsed="false">
      <c r="AJ96" s="11" t="n">
        <v>4</v>
      </c>
      <c r="AK96" s="17" t="n">
        <f aca="false">AK9+BA9+AK28</f>
        <v>-328.125</v>
      </c>
      <c r="AL96" s="17" t="n">
        <f aca="false">AL9+BB9+AL28</f>
        <v>-3.21268866160695E-011</v>
      </c>
      <c r="AM96" s="17" t="n">
        <f aca="false">AM9+BC9+AM28</f>
        <v>656250</v>
      </c>
      <c r="AN96" s="17" t="n">
        <f aca="false">AN9+BD9+AN28</f>
        <v>700328.125</v>
      </c>
      <c r="AO96" s="17" t="n">
        <f aca="false">AO9+BE9+AO28</f>
        <v>3.21268866160695E-011</v>
      </c>
      <c r="AP96" s="17" t="n">
        <f aca="false">AP9+BF9+AP28</f>
        <v>0</v>
      </c>
      <c r="AQ96" s="17" t="n">
        <f aca="false">AQ9+BG9+AQ28</f>
        <v>0</v>
      </c>
      <c r="AR96" s="17" t="n">
        <f aca="false">AR9+BH9+AR28</f>
        <v>0</v>
      </c>
      <c r="AS96" s="17" t="n">
        <f aca="false">AS9+BI9+AS28</f>
        <v>0</v>
      </c>
      <c r="AT96" s="17" t="n">
        <f aca="false">AT9+BJ9+AT28</f>
        <v>-700000</v>
      </c>
      <c r="AU96" s="17" t="n">
        <f aca="false">AU9+BK9+AU28</f>
        <v>0</v>
      </c>
      <c r="AV96" s="17" t="n">
        <f aca="false">AV9+BL9+AV28</f>
        <v>0</v>
      </c>
      <c r="AW96" s="17" t="n">
        <f aca="false">AW9+BM9+AW28</f>
        <v>656250</v>
      </c>
      <c r="AX96" s="17" t="n">
        <f aca="false">AX9+BN9+AX28</f>
        <v>0</v>
      </c>
      <c r="AZ96" s="40" t="e">
        <v>#NAME?</v>
      </c>
      <c r="BB96" s="37" t="e">
        <v>#NAME?</v>
      </c>
    </row>
    <row r="97" customFormat="false" ht="12" hidden="false" customHeight="false" outlineLevel="0" collapsed="false">
      <c r="AJ97" s="11" t="n">
        <v>5</v>
      </c>
      <c r="AK97" s="17" t="n">
        <f aca="false">AK10+BA10+AK29</f>
        <v>-3.21268866160695E-011</v>
      </c>
      <c r="AL97" s="17" t="n">
        <f aca="false">AL10+BB10+AL29</f>
        <v>-525000</v>
      </c>
      <c r="AM97" s="17" t="n">
        <f aca="false">AM10+BC10+AM29</f>
        <v>-4.01837230970225E-011</v>
      </c>
      <c r="AN97" s="17" t="n">
        <f aca="false">AN10+BD10+AN29</f>
        <v>3.21268866160695E-011</v>
      </c>
      <c r="AO97" s="17" t="n">
        <f aca="false">AO10+BE10+AO29</f>
        <v>525777.777777778</v>
      </c>
      <c r="AP97" s="17" t="n">
        <f aca="false">AP10+BF10+AP29</f>
        <v>2333333.33333333</v>
      </c>
      <c r="AQ97" s="17" t="n">
        <f aca="false">AQ10+BG10+AQ29</f>
        <v>0</v>
      </c>
      <c r="AR97" s="17" t="n">
        <f aca="false">AR10+BH10+AR29</f>
        <v>0</v>
      </c>
      <c r="AS97" s="17" t="n">
        <f aca="false">AS10+BI10+AS29</f>
        <v>0</v>
      </c>
      <c r="AT97" s="17" t="n">
        <f aca="false">AT10+BJ10+AT29</f>
        <v>0</v>
      </c>
      <c r="AU97" s="17" t="n">
        <f aca="false">AU10+BK10+AU29</f>
        <v>-777.777777777778</v>
      </c>
      <c r="AV97" s="17" t="n">
        <f aca="false">AV10+BL10+AV29</f>
        <v>2333333.33333333</v>
      </c>
      <c r="AW97" s="17" t="n">
        <f aca="false">AW10+BM10+AW29</f>
        <v>-4.01837230970225E-011</v>
      </c>
      <c r="AX97" s="17" t="n">
        <f aca="false">AX10+BN10+AX29</f>
        <v>0</v>
      </c>
      <c r="AZ97" s="40" t="e">
        <v>#NAME?</v>
      </c>
      <c r="BB97" s="34" t="e">
        <v>#NAME?</v>
      </c>
    </row>
    <row r="98" customFormat="false" ht="12" hidden="false" customHeight="false" outlineLevel="0" collapsed="false">
      <c r="AJ98" s="11" t="n">
        <v>6</v>
      </c>
      <c r="AK98" s="17" t="n">
        <f aca="false">AK11+BA11+AK30</f>
        <v>0</v>
      </c>
      <c r="AL98" s="17" t="n">
        <f aca="false">AL11+BB11+AL30</f>
        <v>0</v>
      </c>
      <c r="AM98" s="17" t="n">
        <f aca="false">AM11+BC11+AM30</f>
        <v>0</v>
      </c>
      <c r="AN98" s="17" t="n">
        <f aca="false">AN11+BD11+AN30</f>
        <v>0</v>
      </c>
      <c r="AO98" s="17" t="n">
        <f aca="false">AO11+BE11+AO30</f>
        <v>2333333.33333333</v>
      </c>
      <c r="AP98" s="17" t="n">
        <f aca="false">AP11+BF11+AP30</f>
        <v>9333333333.33333</v>
      </c>
      <c r="AQ98" s="17" t="n">
        <f aca="false">AQ11+BG11+AQ30</f>
        <v>0</v>
      </c>
      <c r="AR98" s="17" t="n">
        <f aca="false">AR11+BH11+AR30</f>
        <v>0</v>
      </c>
      <c r="AS98" s="17" t="n">
        <f aca="false">AS11+BI11+AS30</f>
        <v>0</v>
      </c>
      <c r="AT98" s="17" t="n">
        <f aca="false">AT11+BJ11+AT30</f>
        <v>0</v>
      </c>
      <c r="AU98" s="17" t="n">
        <f aca="false">AU11+BK11+AU30</f>
        <v>-2333333.33333333</v>
      </c>
      <c r="AV98" s="17" t="n">
        <f aca="false">AV11+BL11+AV30</f>
        <v>4666666666.66667</v>
      </c>
      <c r="AW98" s="17" t="n">
        <f aca="false">AW11+BM11+AW30</f>
        <v>0</v>
      </c>
      <c r="AX98" s="17" t="n">
        <f aca="false">AX11+BN11+AX30</f>
        <v>0</v>
      </c>
      <c r="AZ98" s="40" t="e">
        <v>#NAME?</v>
      </c>
      <c r="BB98" s="37" t="e">
        <v>#NAME?</v>
      </c>
    </row>
    <row r="99" customFormat="false" ht="12" hidden="false" customHeight="false" outlineLevel="0" collapsed="false">
      <c r="AJ99" s="11" t="n">
        <v>7</v>
      </c>
      <c r="AK99" s="17" t="n">
        <f aca="false">AK12+BA12+AK31</f>
        <v>0</v>
      </c>
      <c r="AL99" s="17" t="n">
        <f aca="false">AL12+BB12+AL31</f>
        <v>0</v>
      </c>
      <c r="AM99" s="17" t="n">
        <f aca="false">AM12+BC12+AM31</f>
        <v>0</v>
      </c>
      <c r="AN99" s="17" t="n">
        <f aca="false">AN12+BD12+AN31</f>
        <v>0</v>
      </c>
      <c r="AO99" s="17" t="n">
        <f aca="false">AO12+BE12+AO31</f>
        <v>0</v>
      </c>
      <c r="AP99" s="17" t="n">
        <f aca="false">AP12+BF12+AP31</f>
        <v>0</v>
      </c>
      <c r="AQ99" s="17" t="n">
        <f aca="false">AQ12+BG12+AQ31</f>
        <v>328.125</v>
      </c>
      <c r="AR99" s="17" t="n">
        <f aca="false">AR12+BH12+AR31</f>
        <v>3.21268866160695E-011</v>
      </c>
      <c r="AS99" s="17" t="n">
        <f aca="false">AS12+BI12+AS31</f>
        <v>-656250</v>
      </c>
      <c r="AT99" s="17" t="n">
        <f aca="false">AT12+BJ12+AT31</f>
        <v>-328.125</v>
      </c>
      <c r="AU99" s="17" t="n">
        <f aca="false">AU12+BK12+AU31</f>
        <v>-3.21268866160695E-011</v>
      </c>
      <c r="AV99" s="17" t="n">
        <f aca="false">AV12+BL12+AV31</f>
        <v>0</v>
      </c>
      <c r="AW99" s="17" t="n">
        <f aca="false">AW12+BM12+AW31</f>
        <v>0</v>
      </c>
      <c r="AX99" s="17" t="n">
        <f aca="false">AX12+BN12+AX31</f>
        <v>-656250</v>
      </c>
      <c r="AZ99" s="40" t="n">
        <v>0</v>
      </c>
      <c r="BB99" s="37" t="e">
        <v>#NAME?</v>
      </c>
    </row>
    <row r="100" customFormat="false" ht="12" hidden="false" customHeight="false" outlineLevel="0" collapsed="false">
      <c r="AJ100" s="11" t="n">
        <v>8</v>
      </c>
      <c r="AK100" s="17" t="n">
        <f aca="false">AK13+BA13+AK32</f>
        <v>0</v>
      </c>
      <c r="AL100" s="17" t="n">
        <f aca="false">AL13+BB13+AL32</f>
        <v>0</v>
      </c>
      <c r="AM100" s="17" t="n">
        <f aca="false">AM13+BC13+AM32</f>
        <v>0</v>
      </c>
      <c r="AN100" s="17" t="n">
        <f aca="false">AN13+BD13+AN32</f>
        <v>0</v>
      </c>
      <c r="AO100" s="17" t="n">
        <f aca="false">AO13+BE13+AO32</f>
        <v>0</v>
      </c>
      <c r="AP100" s="17" t="n">
        <f aca="false">AP13+BF13+AP32</f>
        <v>0</v>
      </c>
      <c r="AQ100" s="17" t="n">
        <f aca="false">AQ13+BG13+AQ32</f>
        <v>3.21268866160695E-011</v>
      </c>
      <c r="AR100" s="17" t="n">
        <f aca="false">AR13+BH13+AR32</f>
        <v>525000</v>
      </c>
      <c r="AS100" s="17" t="n">
        <f aca="false">AS13+BI13+AS32</f>
        <v>4.01837230970225E-011</v>
      </c>
      <c r="AT100" s="17" t="n">
        <f aca="false">AT13+BJ13+AT32</f>
        <v>-3.21268866160695E-011</v>
      </c>
      <c r="AU100" s="17" t="n">
        <f aca="false">AU13+BK13+AU32</f>
        <v>-525000</v>
      </c>
      <c r="AV100" s="17" t="n">
        <f aca="false">AV13+BL13+AV32</f>
        <v>0</v>
      </c>
      <c r="AW100" s="17" t="n">
        <f aca="false">AW13+BM13+AW32</f>
        <v>0</v>
      </c>
      <c r="AX100" s="17" t="n">
        <f aca="false">AX13+BN13+AX32</f>
        <v>4.01837230970225E-011</v>
      </c>
      <c r="AZ100" s="40" t="n">
        <v>0</v>
      </c>
      <c r="BB100" s="41" t="e">
        <v>#NAME?</v>
      </c>
      <c r="BC100" s="123"/>
      <c r="BD100" s="123"/>
    </row>
    <row r="101" customFormat="false" ht="12" hidden="false" customHeight="false" outlineLevel="0" collapsed="false">
      <c r="AJ101" s="11" t="n">
        <v>9</v>
      </c>
      <c r="AK101" s="17" t="n">
        <f aca="false">AK14+BA14+AK33</f>
        <v>0</v>
      </c>
      <c r="AL101" s="17" t="n">
        <f aca="false">AL14+BB14+AL33</f>
        <v>0</v>
      </c>
      <c r="AM101" s="17" t="n">
        <f aca="false">AM14+BC14+AM33</f>
        <v>0</v>
      </c>
      <c r="AN101" s="17" t="n">
        <f aca="false">AN14+BD14+AN33</f>
        <v>0</v>
      </c>
      <c r="AO101" s="17" t="n">
        <f aca="false">AO14+BE14+AO33</f>
        <v>0</v>
      </c>
      <c r="AP101" s="17" t="n">
        <f aca="false">AP14+BF14+AP33</f>
        <v>0</v>
      </c>
      <c r="AQ101" s="17" t="n">
        <f aca="false">AQ14+BG14+AQ33</f>
        <v>-656250</v>
      </c>
      <c r="AR101" s="17" t="n">
        <f aca="false">AR14+BH14+AR33</f>
        <v>4.01837230970225E-011</v>
      </c>
      <c r="AS101" s="17" t="n">
        <f aca="false">AS14+BI14+AS33</f>
        <v>1750000000</v>
      </c>
      <c r="AT101" s="17" t="n">
        <f aca="false">AT14+BJ14+AT33</f>
        <v>656250</v>
      </c>
      <c r="AU101" s="17" t="n">
        <f aca="false">AU14+BK14+AU33</f>
        <v>-4.01837230970225E-011</v>
      </c>
      <c r="AV101" s="17" t="n">
        <f aca="false">AV14+BL14+AV33</f>
        <v>0</v>
      </c>
      <c r="AW101" s="17" t="n">
        <f aca="false">AW14+BM14+AW33</f>
        <v>0</v>
      </c>
      <c r="AX101" s="17" t="n">
        <f aca="false">AX14+BN14+AX33</f>
        <v>875000000</v>
      </c>
      <c r="AZ101" s="40" t="e">
        <f aca="false" t="array" ref="AZ101:AZ106">AX83:AX88</f>
        <v>#NAME?</v>
      </c>
      <c r="BB101" s="37" t="e">
        <v>#NAME?</v>
      </c>
    </row>
    <row r="102" customFormat="false" ht="12" hidden="false" customHeight="false" outlineLevel="0" collapsed="false">
      <c r="AJ102" s="11" t="n">
        <v>10</v>
      </c>
      <c r="AK102" s="17" t="n">
        <f aca="false">AK15+BA15+AK34</f>
        <v>0</v>
      </c>
      <c r="AL102" s="17" t="n">
        <f aca="false">AL15+BB15+AL34</f>
        <v>0</v>
      </c>
      <c r="AM102" s="17" t="n">
        <f aca="false">AM15+BC15+AM34</f>
        <v>0</v>
      </c>
      <c r="AN102" s="17" t="n">
        <f aca="false">AN15+BD15+AN34</f>
        <v>-700000</v>
      </c>
      <c r="AO102" s="17" t="n">
        <f aca="false">AO15+BE15+AO34</f>
        <v>0</v>
      </c>
      <c r="AP102" s="17" t="n">
        <f aca="false">AP15+BF15+AP34</f>
        <v>0</v>
      </c>
      <c r="AQ102" s="17" t="n">
        <f aca="false">AQ15+BG15+AQ34</f>
        <v>-328.125</v>
      </c>
      <c r="AR102" s="17" t="n">
        <f aca="false">AR15+BH15+AR34</f>
        <v>-3.21268866160695E-011</v>
      </c>
      <c r="AS102" s="17" t="n">
        <f aca="false">AS15+BI15+AS34</f>
        <v>656250</v>
      </c>
      <c r="AT102" s="17" t="n">
        <f aca="false">AT15+BJ15+AT34</f>
        <v>700328.125</v>
      </c>
      <c r="AU102" s="17" t="n">
        <f aca="false">AU15+BK15+AU34</f>
        <v>3.21268866160695E-011</v>
      </c>
      <c r="AV102" s="17" t="n">
        <f aca="false">AV15+BL15+AV34</f>
        <v>0</v>
      </c>
      <c r="AW102" s="17" t="n">
        <f aca="false">AW15+BM15+AW34</f>
        <v>0</v>
      </c>
      <c r="AX102" s="17" t="n">
        <f aca="false">AX15+BN15+AX34</f>
        <v>656250</v>
      </c>
      <c r="AZ102" s="40" t="e">
        <v>#NAME?</v>
      </c>
      <c r="BB102" s="41" t="e">
        <v>#NAME?</v>
      </c>
    </row>
    <row r="103" customFormat="false" ht="12" hidden="false" customHeight="false" outlineLevel="0" collapsed="false">
      <c r="AJ103" s="11" t="n">
        <v>11</v>
      </c>
      <c r="AK103" s="17" t="n">
        <f aca="false">AK16+BA16+AK35</f>
        <v>0</v>
      </c>
      <c r="AL103" s="17" t="n">
        <f aca="false">AL16+BB16+AL35</f>
        <v>0</v>
      </c>
      <c r="AM103" s="17" t="n">
        <f aca="false">AM16+BC16+AM35</f>
        <v>0</v>
      </c>
      <c r="AN103" s="17" t="n">
        <f aca="false">AN16+BD16+AN35</f>
        <v>0</v>
      </c>
      <c r="AO103" s="17" t="n">
        <f aca="false">AO16+BE16+AO35</f>
        <v>-777.777777777778</v>
      </c>
      <c r="AP103" s="17" t="n">
        <f aca="false">AP16+BF16+AP35</f>
        <v>-2333333.33333333</v>
      </c>
      <c r="AQ103" s="17" t="n">
        <f aca="false">AQ16+BG16+AQ35</f>
        <v>-3.21268866160695E-011</v>
      </c>
      <c r="AR103" s="17" t="n">
        <f aca="false">AR16+BH16+AR35</f>
        <v>-525000</v>
      </c>
      <c r="AS103" s="17" t="n">
        <f aca="false">AS16+BI16+AS35</f>
        <v>-4.01837230970225E-011</v>
      </c>
      <c r="AT103" s="17" t="n">
        <f aca="false">AT16+BJ16+AT35</f>
        <v>3.21268866160695E-011</v>
      </c>
      <c r="AU103" s="17" t="n">
        <f aca="false">AU16+BK16+AU35</f>
        <v>525777.777777778</v>
      </c>
      <c r="AV103" s="17" t="n">
        <f aca="false">AV16+BL16+AV35</f>
        <v>-2333333.33333333</v>
      </c>
      <c r="AW103" s="17" t="n">
        <f aca="false">AW16+BM16+AW35</f>
        <v>0</v>
      </c>
      <c r="AX103" s="17" t="n">
        <f aca="false">AX16+BN16+AX35</f>
        <v>-4.01837230970225E-011</v>
      </c>
      <c r="AZ103" s="40" t="e">
        <v>#NAME?</v>
      </c>
      <c r="BB103" s="41" t="e">
        <v>#NAME?</v>
      </c>
    </row>
    <row r="104" customFormat="false" ht="12" hidden="false" customHeight="false" outlineLevel="0" collapsed="false">
      <c r="AJ104" s="11" t="n">
        <v>12</v>
      </c>
      <c r="AK104" s="17" t="n">
        <f aca="false">AK17+BA17+AK36</f>
        <v>0</v>
      </c>
      <c r="AL104" s="17" t="n">
        <f aca="false">AL17+BB17+AL36</f>
        <v>0</v>
      </c>
      <c r="AM104" s="17" t="n">
        <f aca="false">AM17+BC17+AM36</f>
        <v>0</v>
      </c>
      <c r="AN104" s="17" t="n">
        <f aca="false">AN17+BD17+AN36</f>
        <v>0</v>
      </c>
      <c r="AO104" s="17" t="n">
        <f aca="false">AO17+BE17+AO36</f>
        <v>2333333.33333333</v>
      </c>
      <c r="AP104" s="17" t="n">
        <f aca="false">AP17+BF17+AP36</f>
        <v>4666666666.66667</v>
      </c>
      <c r="AQ104" s="17" t="n">
        <f aca="false">AQ17+BG17+AQ36</f>
        <v>0</v>
      </c>
      <c r="AR104" s="17" t="n">
        <f aca="false">AR17+BH17+AR36</f>
        <v>0</v>
      </c>
      <c r="AS104" s="17" t="n">
        <f aca="false">AS17+BI17+AS36</f>
        <v>0</v>
      </c>
      <c r="AT104" s="17" t="n">
        <f aca="false">AT17+BJ17+AT36</f>
        <v>0</v>
      </c>
      <c r="AU104" s="17" t="n">
        <f aca="false">AU17+BK17+AU36</f>
        <v>-2333333.33333333</v>
      </c>
      <c r="AV104" s="17" t="n">
        <f aca="false">AV17+BL17+AV36</f>
        <v>9333333333.33333</v>
      </c>
      <c r="AW104" s="17" t="n">
        <f aca="false">AW17+BM17+AW36</f>
        <v>0</v>
      </c>
      <c r="AX104" s="17" t="n">
        <f aca="false">AX17+BN17+AX36</f>
        <v>0</v>
      </c>
      <c r="AZ104" s="40" t="e">
        <v>#NAME?</v>
      </c>
      <c r="BB104" s="41" t="e">
        <v>#NAME?</v>
      </c>
    </row>
    <row r="105" customFormat="false" ht="12" hidden="false" customHeight="false" outlineLevel="0" collapsed="false">
      <c r="AJ105" s="11" t="n">
        <v>13</v>
      </c>
      <c r="AK105" s="17" t="n">
        <f aca="false">AK18+BA18+AK37</f>
        <v>-656250</v>
      </c>
      <c r="AL105" s="17" t="n">
        <f aca="false">AL18+BB18+AL37</f>
        <v>4.01837230970225E-011</v>
      </c>
      <c r="AM105" s="17" t="n">
        <f aca="false">AM18+BC18+AM37</f>
        <v>875000000</v>
      </c>
      <c r="AN105" s="17" t="n">
        <f aca="false">AN18+BD18+AN37</f>
        <v>656250</v>
      </c>
      <c r="AO105" s="17" t="n">
        <f aca="false">AO18+BE18+AO37</f>
        <v>-4.01837230970225E-011</v>
      </c>
      <c r="AP105" s="17" t="n">
        <f aca="false">AP18+BF18+AP37</f>
        <v>0</v>
      </c>
      <c r="AQ105" s="17" t="n">
        <f aca="false">AQ18+BG18+AQ37</f>
        <v>0</v>
      </c>
      <c r="AR105" s="17" t="n">
        <f aca="false">AR18+BH18+AR37</f>
        <v>0</v>
      </c>
      <c r="AS105" s="17" t="n">
        <f aca="false">AS18+BI18+AS37</f>
        <v>0</v>
      </c>
      <c r="AT105" s="17" t="n">
        <f aca="false">AT18+BJ18+AT37</f>
        <v>0</v>
      </c>
      <c r="AU105" s="17" t="n">
        <f aca="false">AU18+BK18+AU37</f>
        <v>0</v>
      </c>
      <c r="AV105" s="17" t="n">
        <f aca="false">AV18+BL18+AV37</f>
        <v>0</v>
      </c>
      <c r="AW105" s="17" t="n">
        <f aca="false">AW18+BM18+AW37</f>
        <v>1750000000</v>
      </c>
      <c r="AX105" s="17" t="n">
        <f aca="false">AX18+BN18+AX37</f>
        <v>0</v>
      </c>
      <c r="AZ105" s="40" t="e">
        <v>#NAME?</v>
      </c>
      <c r="BB105" s="41" t="e">
        <v>#NAME?</v>
      </c>
    </row>
    <row r="106" customFormat="false" ht="12" hidden="false" customHeight="false" outlineLevel="0" collapsed="false">
      <c r="AJ106" s="11" t="n">
        <v>14</v>
      </c>
      <c r="AK106" s="17" t="n">
        <f aca="false">AK19+BA19+AK38</f>
        <v>0</v>
      </c>
      <c r="AL106" s="17" t="n">
        <f aca="false">AL19+BB19+AL38</f>
        <v>0</v>
      </c>
      <c r="AM106" s="17" t="n">
        <f aca="false">AM19+BC19+AM38</f>
        <v>0</v>
      </c>
      <c r="AN106" s="17" t="n">
        <f aca="false">AN19+BD19+AN38</f>
        <v>0</v>
      </c>
      <c r="AO106" s="17" t="n">
        <f aca="false">AO19+BE19+AO38</f>
        <v>0</v>
      </c>
      <c r="AP106" s="17" t="n">
        <f aca="false">AP19+BF19+AP38</f>
        <v>0</v>
      </c>
      <c r="AQ106" s="17" t="n">
        <f aca="false">AQ19+BG19+AQ38</f>
        <v>-656250</v>
      </c>
      <c r="AR106" s="17" t="n">
        <f aca="false">AR19+BH19+AR38</f>
        <v>4.01837230970225E-011</v>
      </c>
      <c r="AS106" s="17" t="n">
        <f aca="false">AS19+BI19+AS38</f>
        <v>875000000</v>
      </c>
      <c r="AT106" s="17" t="n">
        <f aca="false">AT19+BJ19+AT38</f>
        <v>656250</v>
      </c>
      <c r="AU106" s="17" t="n">
        <f aca="false">AU19+BK19+AU38</f>
        <v>-4.01837230970225E-011</v>
      </c>
      <c r="AV106" s="17" t="n">
        <f aca="false">AV19+BL19+AV38</f>
        <v>0</v>
      </c>
      <c r="AW106" s="17" t="n">
        <f aca="false">AW19+BM19+AW38</f>
        <v>0</v>
      </c>
      <c r="AX106" s="17" t="n">
        <f aca="false">AX19+BN19+AX38</f>
        <v>1750000000</v>
      </c>
      <c r="AZ106" s="40" t="e">
        <v>#NAME?</v>
      </c>
      <c r="BB106" s="34" t="e">
        <v>#NAME?</v>
      </c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39 AK40:AN40 AP40:AW40 AK41:AX60 BB46:BB59 AL67:AN69 AP67:AX69 AL71:AN75 AP71:AX75 AK90:AX106">
    <cfRule type="expression" priority="2" aboveAverage="0" equalAverage="0" bottom="0" percent="0" rank="0" text="" dxfId="7">
      <formula>ABS(AK6)&lt;0.1</formula>
    </cfRule>
  </conditionalFormatting>
  <conditionalFormatting sqref="BR172:BR174">
    <cfRule type="cellIs" priority="3" operator="equal" aboveAverage="0" equalAverage="0" bottom="0" percent="0" rank="0" text="" dxfId="8">
      <formula>"VIRHE!"</formula>
    </cfRule>
    <cfRule type="cellIs" priority="4" operator="equal" aboveAverage="0" equalAverage="0" bottom="0" percent="0" rank="0" text="" dxfId="9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L1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85546875" defaultRowHeight="15" customHeight="false" zeroHeight="false" outlineLevelRow="0" outlineLevelCol="0"/>
  <sheetData>
    <row r="14" customFormat="false" ht="15" hidden="false" customHeight="false" outlineLevel="0" collapsed="false">
      <c r="L14" s="157" t="s">
        <v>104</v>
      </c>
    </row>
    <row r="15" customFormat="false" ht="15" hidden="false" customHeight="false" outlineLevel="0" collapsed="false">
      <c r="L15" s="158" t="n">
        <v>10000000</v>
      </c>
      <c r="M15" s="157" t="n">
        <f aca="false">6*N31*O31/M31^3*L15</f>
        <v>3750</v>
      </c>
      <c r="N15" s="157" t="n">
        <f aca="false">O31*(2*N31-O31)/M31^2*L15</f>
        <v>2500000</v>
      </c>
    </row>
    <row r="30" customFormat="false" ht="15" hidden="false" customHeight="false" outlineLevel="0" collapsed="false">
      <c r="M30" s="157" t="s">
        <v>105</v>
      </c>
      <c r="N30" s="157" t="s">
        <v>106</v>
      </c>
      <c r="O30" s="157" t="s">
        <v>75</v>
      </c>
      <c r="P30" s="157" t="s">
        <v>107</v>
      </c>
      <c r="Q30" s="157" t="s">
        <v>108</v>
      </c>
      <c r="R30" s="157" t="s">
        <v>104</v>
      </c>
    </row>
    <row r="31" customFormat="false" ht="15" hidden="false" customHeight="false" outlineLevel="0" collapsed="false">
      <c r="M31" s="157" t="n">
        <v>4000</v>
      </c>
      <c r="N31" s="157" t="n">
        <v>2000</v>
      </c>
      <c r="O31" s="157" t="n">
        <f aca="false">M31-N31</f>
        <v>2000</v>
      </c>
      <c r="P31" s="157" t="n">
        <v>2500</v>
      </c>
      <c r="Q31" s="157" t="n">
        <v>1250</v>
      </c>
      <c r="R31" s="157" t="n">
        <v>10</v>
      </c>
    </row>
    <row r="33" customFormat="false" ht="15" hidden="false" customHeight="false" outlineLevel="0" collapsed="false">
      <c r="M33" s="157" t="n">
        <f aca="false">P31/M31^3*((2*N31+M31)*O31^2+1/4*(N31-O31)*P31^2)*R31</f>
        <v>12500</v>
      </c>
    </row>
    <row r="34" customFormat="false" ht="15" hidden="false" customHeight="false" outlineLevel="0" collapsed="false">
      <c r="M34" s="157" t="n">
        <f aca="false">P31/M31^2*(N31*O31^2+1/12*(N31-2*O31)*P31^2)*R31</f>
        <v>10872395.8333333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-14142.135623731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1.63286239886314E-009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-14142.135623731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-1.63286239886314E-009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-14142.135623731</v>
      </c>
      <c r="W22" s="1" t="s">
        <v>41</v>
      </c>
      <c r="X22" s="36" t="n">
        <f aca="false" t="array" ref="X22:X23">T22:T23</f>
        <v>0</v>
      </c>
      <c r="Y22" s="7"/>
      <c r="Z22" s="7" t="n">
        <f aca="false" t="array" ref="Z22:Z27">MMULT(M22:R27,X22:X27)-V22:V27</f>
        <v>28284.271247462</v>
      </c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 t="n">
        <v>28284.271247462</v>
      </c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s">
        <v>44</v>
      </c>
      <c r="V24" s="13" t="n">
        <f aca="false">S7</f>
        <v>1.63286239886314E-009</v>
      </c>
      <c r="X24" s="36" t="n">
        <f aca="false">U59</f>
        <v>1.24408563722906E-018</v>
      </c>
      <c r="Y24" s="37"/>
      <c r="Z24" s="20" t="n">
        <v>0</v>
      </c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s">
        <v>102</v>
      </c>
      <c r="V25" s="13" t="n">
        <f aca="false">S8</f>
        <v>-14142.135623731</v>
      </c>
      <c r="W25" s="1" t="s">
        <v>113</v>
      </c>
      <c r="X25" s="36" t="n">
        <f aca="false">U66</f>
        <v>-0.026937401188059</v>
      </c>
      <c r="Y25" s="37"/>
      <c r="Z25" s="20" t="n">
        <v>0</v>
      </c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n">
        <v>0</v>
      </c>
      <c r="V26" s="13" t="n">
        <f aca="false">S9</f>
        <v>-14142.135623731</v>
      </c>
      <c r="W26" s="1" t="s">
        <v>114</v>
      </c>
      <c r="X26" s="36" t="n">
        <f aca="false">U67</f>
        <v>-0.026937401188059</v>
      </c>
      <c r="Y26" s="34"/>
      <c r="Z26" s="34" t="n">
        <v>0</v>
      </c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-1.63286239886314E-009</v>
      </c>
      <c r="X27" s="40" t="n">
        <f aca="false">U61</f>
        <v>-6.2204281861453E-019</v>
      </c>
      <c r="Y27" s="37"/>
      <c r="Z27" s="20" t="n">
        <v>1.63286239886314E-009</v>
      </c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-371231.060122937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-14142.135623731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-371231.060122937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1.63286239886314E-009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371231.060122937</v>
      </c>
      <c r="Q34" s="12" t="n">
        <v>-232.019412576832</v>
      </c>
      <c r="R34" s="12" t="n">
        <v>464038.825153672</v>
      </c>
      <c r="V34" s="13" t="n">
        <v>-20000.0000000001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371231.060122937</v>
      </c>
      <c r="Q35" s="12" t="n">
        <v>232.019412576832</v>
      </c>
      <c r="R35" s="12" t="n">
        <v>-464038.825153672</v>
      </c>
      <c r="V35" s="13" t="n">
        <v>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-1.63286239886314E-009</v>
      </c>
      <c r="Y36" s="1" t="n">
        <f aca="false" t="array" ref="Y36:AA41">MMULT(P22:R27,T13:V15)</f>
        <v>-262664.0625</v>
      </c>
      <c r="Z36" s="1" t="n">
        <v>-262335.9375</v>
      </c>
      <c r="AA36" s="1" t="n">
        <v>-464038.825153672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2" t="s">
        <v>120</v>
      </c>
      <c r="Y37" s="1" t="n">
        <v>-262335.9375</v>
      </c>
      <c r="Z37" s="1" t="n">
        <v>-262664.0625</v>
      </c>
      <c r="AA37" s="1" t="n">
        <v>464038.825153672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Y38" s="1" t="n">
        <v>464038.825153672</v>
      </c>
      <c r="Z38" s="1" t="n">
        <v>-464038.825153672</v>
      </c>
      <c r="AA38" s="1" t="n">
        <v>875000000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-371231.060122937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28284.271247462</v>
      </c>
      <c r="Y39" s="1" t="n">
        <v>262664.0625</v>
      </c>
      <c r="Z39" s="1" t="n">
        <v>262335.9375</v>
      </c>
      <c r="AA39" s="1" t="n">
        <v>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-371231.060122937</v>
      </c>
      <c r="Q40" s="12" t="n">
        <v>-232.019412576832</v>
      </c>
      <c r="R40" s="12" t="n">
        <v>464038.825153672</v>
      </c>
      <c r="T40" s="1" t="n">
        <v>0</v>
      </c>
      <c r="V40" s="69" t="n">
        <v>28284.271247462</v>
      </c>
      <c r="Y40" s="1" t="n">
        <v>262335.9375</v>
      </c>
      <c r="Z40" s="1" t="n">
        <v>262664.0625</v>
      </c>
      <c r="AA40" s="1" t="n">
        <v>-464038.825153672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f aca="false">U59</f>
        <v>1.24408563722906E-018</v>
      </c>
      <c r="V41" s="69" t="n">
        <v>0</v>
      </c>
      <c r="Y41" s="1" t="n">
        <v>464038.825153672</v>
      </c>
      <c r="Z41" s="1" t="n">
        <v>-464038.825153672</v>
      </c>
      <c r="AA41" s="1" t="n">
        <v>1750000000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-371231.060122937</v>
      </c>
      <c r="N42" s="12" t="n">
        <v>-371231.060122937</v>
      </c>
      <c r="O42" s="12" t="n">
        <v>0</v>
      </c>
      <c r="P42" s="12" t="n">
        <v>525000</v>
      </c>
      <c r="Q42" s="12" t="n">
        <v>0</v>
      </c>
      <c r="R42" s="12" t="n">
        <v>0</v>
      </c>
      <c r="T42" s="36" t="n">
        <f aca="false">U60</f>
        <v>-0.0380952380952382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</v>
      </c>
      <c r="P43" s="12" t="n">
        <v>0</v>
      </c>
      <c r="Q43" s="12" t="n">
        <v>328.124999999995</v>
      </c>
      <c r="R43" s="12" t="n">
        <v>-656250</v>
      </c>
      <c r="T43" s="1" t="n">
        <v>0</v>
      </c>
      <c r="V43" s="69" t="n">
        <v>-4.08215599715785E-013</v>
      </c>
      <c r="Y43" s="1" t="n">
        <f aca="false" t="array" ref="Y43:AD45">MMULT(M13:O15,M34:R36)</f>
        <v>-262664.0625</v>
      </c>
      <c r="Z43" s="1" t="n">
        <v>-262335.9375</v>
      </c>
      <c r="AA43" s="1" t="n">
        <v>464038.825153672</v>
      </c>
      <c r="AB43" s="1" t="n">
        <v>371231.060122937</v>
      </c>
      <c r="AC43" s="1" t="n">
        <v>-232.019412576832</v>
      </c>
      <c r="AD43" s="1" t="n">
        <v>464038.825153672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U61</f>
        <v>-6.2204281861453E-019</v>
      </c>
      <c r="V44" s="69" t="n">
        <v>1.63286239886314E-009</v>
      </c>
      <c r="Y44" s="1" t="n">
        <v>-262335.9375</v>
      </c>
      <c r="Z44" s="1" t="n">
        <v>-262664.0625</v>
      </c>
      <c r="AA44" s="1" t="n">
        <v>-464038.825153672</v>
      </c>
      <c r="AB44" s="1" t="n">
        <v>371231.060122937</v>
      </c>
      <c r="AC44" s="1" t="n">
        <v>232.019412576832</v>
      </c>
      <c r="AD44" s="1" t="n">
        <v>-464038.825153672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Y45" s="1" t="n">
        <v>-464038.825153672</v>
      </c>
      <c r="Z45" s="1" t="n">
        <v>464038.825153672</v>
      </c>
      <c r="AA45" s="1" t="n">
        <v>875000000</v>
      </c>
      <c r="AB45" s="1" t="n">
        <v>0</v>
      </c>
      <c r="AC45" s="1" t="n">
        <v>-656250</v>
      </c>
      <c r="AD45" s="1" t="n">
        <v>1750000000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 t="n">
        <v>3</v>
      </c>
      <c r="N47" s="10" t="n">
        <v>4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 t="n">
        <v>3</v>
      </c>
      <c r="M48" s="13" t="n">
        <f aca="false" t="array" ref="M48:N49">O41:P42</f>
        <v>1750000000</v>
      </c>
      <c r="N48" s="13" t="n">
        <v>0</v>
      </c>
      <c r="O48" s="13" t="n">
        <f aca="false" t="array" ref="O48:O49">R41:R42</f>
        <v>875000000</v>
      </c>
      <c r="P48" s="13"/>
      <c r="Q48" s="13"/>
      <c r="R48" s="13"/>
      <c r="S48" s="21" t="str">
        <f aca="false">T24</f>
        <v>r13</v>
      </c>
      <c r="U48" s="50" t="n">
        <f aca="false" t="array" ref="U48:U49">V33:V34</f>
        <v>1.63286239886314E-009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4</v>
      </c>
      <c r="M49" s="13" t="n">
        <v>0</v>
      </c>
      <c r="N49" s="13" t="n">
        <v>525000</v>
      </c>
      <c r="O49" s="1" t="n">
        <v>0</v>
      </c>
      <c r="P49" s="13"/>
      <c r="Q49" s="13"/>
      <c r="R49" s="13"/>
      <c r="S49" s="21" t="str">
        <f aca="false">T25</f>
        <v>r14</v>
      </c>
      <c r="U49" s="51" t="n">
        <v>-20000.0000000001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 t="n">
        <f aca="false" t="array" ref="M50:N50">O44:P44</f>
        <v>875000000</v>
      </c>
      <c r="N50" s="13" t="n">
        <v>0</v>
      </c>
      <c r="O50" s="13" t="n">
        <f aca="false">R44</f>
        <v>1750000000</v>
      </c>
      <c r="P50" s="13"/>
      <c r="S50" s="21" t="str">
        <f aca="false">T27</f>
        <v>r16</v>
      </c>
      <c r="U50" s="13" t="n">
        <f aca="false">V35</f>
        <v>0</v>
      </c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3</v>
      </c>
      <c r="N58" s="10" t="n">
        <v>4</v>
      </c>
      <c r="O58" s="10" t="n">
        <v>5</v>
      </c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3</v>
      </c>
      <c r="M59" s="1" t="n">
        <f aca="false" t="array" ref="M59:O61">MINVERSE(M48:O50)</f>
        <v>7.61904761904762E-010</v>
      </c>
      <c r="N59" s="1" t="n">
        <v>0</v>
      </c>
      <c r="O59" s="1" t="n">
        <v>-3.80952380952381E-010</v>
      </c>
      <c r="S59" s="13" t="n">
        <f aca="false" t="array" ref="S59:S61">U48:U50</f>
        <v>1.63286239886314E-009</v>
      </c>
      <c r="U59" s="36" t="n">
        <f aca="false" t="array" ref="U59:U61">MMULT(M59:O61,S59:S61)</f>
        <v>1.24408563722906E-018</v>
      </c>
      <c r="V59" s="1" t="s">
        <v>78</v>
      </c>
      <c r="W59" s="1" t="n">
        <f aca="false">1000*U59</f>
        <v>1.24408563722906E-015</v>
      </c>
      <c r="X59" s="1" t="s">
        <v>79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4</v>
      </c>
      <c r="M60" s="1" t="n">
        <v>0</v>
      </c>
      <c r="N60" s="13" t="n">
        <v>1.9047619047619E-006</v>
      </c>
      <c r="O60" s="1" t="n">
        <v>0</v>
      </c>
      <c r="P60" s="13"/>
      <c r="S60" s="1" t="n">
        <v>-20000.0000000001</v>
      </c>
      <c r="U60" s="36" t="n">
        <v>-0.0380952380952382</v>
      </c>
      <c r="V60" s="1" t="s">
        <v>12</v>
      </c>
      <c r="W60" s="1" t="s">
        <v>121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 t="n">
        <v>5</v>
      </c>
      <c r="M61" s="1" t="n">
        <v>-3.80952380952381E-010</v>
      </c>
      <c r="N61" s="13" t="n">
        <v>0</v>
      </c>
      <c r="O61" s="1" t="n">
        <v>7.61904761904762E-010</v>
      </c>
      <c r="P61" s="13"/>
      <c r="S61" s="1" t="n">
        <v>0</v>
      </c>
      <c r="U61" s="36" t="n">
        <v>-6.2204281861453E-019</v>
      </c>
      <c r="V61" s="1" t="s">
        <v>78</v>
      </c>
      <c r="W61" s="1" t="n">
        <f aca="false">1000*U61</f>
        <v>-6.22042818614529E-016</v>
      </c>
      <c r="X61" s="1" t="s">
        <v>79</v>
      </c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COS(RADIANS(Q12))*U60</f>
        <v>-0.026937401188059</v>
      </c>
      <c r="V66" s="1" t="s">
        <v>12</v>
      </c>
      <c r="X66" s="36" t="n">
        <f aca="false">U60</f>
        <v>-0.0380952380952382</v>
      </c>
      <c r="Y66" s="1" t="n">
        <f aca="false" t="array" ref="Y66:Y67">MMULT(W16:X17,X66:X67)</f>
        <v>-0.026937401188059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SIN(RADIANS(Q12))*U60</f>
        <v>-0.026937401188059</v>
      </c>
      <c r="V67" s="1" t="s">
        <v>12</v>
      </c>
      <c r="X67" s="1" t="n">
        <v>0</v>
      </c>
      <c r="Y67" s="1" t="n">
        <v>-0.026937401188059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1.24408563722906E-018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-0.0380952380952383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-6.2204281861453E-019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0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1">
      <formula>ABS(M13)&lt;0.1</formula>
    </cfRule>
  </conditionalFormatting>
  <conditionalFormatting sqref="BR166:BR168">
    <cfRule type="cellIs" priority="4" operator="equal" aboveAverage="0" equalAverage="0" bottom="0" percent="0" rank="0" text="" dxfId="12">
      <formula>"VIRHE!"</formula>
    </cfRule>
    <cfRule type="cellIs" priority="5" operator="equal" aboveAverage="0" equalAverage="0" bottom="0" percent="0" rank="0" text="" dxfId="1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V31" activeCellId="0" sqref="V31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12.42"/>
    <col collapsed="false" customWidth="false" hidden="false" outlineLevel="0" max="20" min="20" style="1" width="9.14"/>
    <col collapsed="false" customWidth="true" hidden="false" outlineLevel="0" max="21" min="21" style="1" width="12.42"/>
    <col collapsed="false" customWidth="true" hidden="false" outlineLevel="0" max="22" min="22" style="1" width="13.85"/>
    <col collapsed="false" customWidth="true" hidden="false" outlineLevel="0" max="23" min="23" style="1" width="10.42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-13333333.3333333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13333333.3333333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9" t="n">
        <v>0</v>
      </c>
      <c r="P12" s="7" t="s">
        <v>111</v>
      </c>
      <c r="Q12" s="159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-0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-0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B17" s="1" t="s">
        <v>124</v>
      </c>
      <c r="E17" s="1" t="n">
        <f aca="false">C5*E6</f>
        <v>2828.42712474619</v>
      </c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B18" s="1" t="s">
        <v>125</v>
      </c>
      <c r="E18" s="1" t="n">
        <f aca="false">E5*E6</f>
        <v>2828.42712474619</v>
      </c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14142.135623731</v>
      </c>
      <c r="W22" s="1" t="s">
        <v>41</v>
      </c>
      <c r="X22" s="36" t="n">
        <f aca="false" t="array" ref="X22:X24">T22:T24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n">
        <v>0</v>
      </c>
      <c r="V24" s="13" t="n">
        <f aca="false">S7</f>
        <v>-13333333.3333333</v>
      </c>
      <c r="X24" s="36" t="n">
        <v>0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n">
        <v>0</v>
      </c>
      <c r="V25" s="13" t="n">
        <f aca="false">S8</f>
        <v>14142.135623731</v>
      </c>
      <c r="W25" s="1" t="s">
        <v>113</v>
      </c>
      <c r="X25" s="36" t="n">
        <f aca="false">U66</f>
        <v>129.299525702693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s">
        <v>102</v>
      </c>
      <c r="V26" s="13" t="n">
        <f aca="false">S9</f>
        <v>-14142.135623731</v>
      </c>
      <c r="W26" s="1" t="s">
        <v>114</v>
      </c>
      <c r="X26" s="36" t="n">
        <f aca="false">U67</f>
        <v>-129.299525702693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13333333.3333333</v>
      </c>
      <c r="X27" s="40" t="n">
        <f aca="false">U60</f>
        <v>-0.0609523809523862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1.22464679914735E-012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1.22464679914735E-012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232.019412576832</v>
      </c>
      <c r="R31" s="12" t="n">
        <v>-464038.825153672</v>
      </c>
      <c r="T31" s="7"/>
      <c r="V31" s="13" t="n">
        <f aca="false" t="array" ref="V31:V36">MMULT(M13:R18,V22:V27)</f>
        <v>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-371231.060122938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-656250.000000001</v>
      </c>
      <c r="R33" s="12" t="n">
        <v>875000000</v>
      </c>
      <c r="V33" s="13" t="n">
        <v>-13333333.3333333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-232.019412576832</v>
      </c>
      <c r="R34" s="12" t="n">
        <v>464038.825153672</v>
      </c>
      <c r="V34" s="13" t="n">
        <v>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371231.060122938</v>
      </c>
      <c r="Q35" s="12" t="n">
        <v>232.019412576832</v>
      </c>
      <c r="R35" s="12" t="n">
        <v>-464038.825153672</v>
      </c>
      <c r="V35" s="13" t="n">
        <v>-20000.0000000001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-656250.000000001</v>
      </c>
      <c r="R36" s="12" t="n">
        <v>1750000000</v>
      </c>
      <c r="V36" s="13" t="n">
        <v>13333333.3333333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2" t="s">
        <v>120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-6.12323399573677E-017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232.019412576832</v>
      </c>
      <c r="R39" s="12" t="n">
        <v>-464038.825153672</v>
      </c>
      <c r="T39" s="1" t="n">
        <v>0</v>
      </c>
      <c r="V39" s="69" t="n">
        <f aca="false" t="array" ref="V39:V44">MMULT(M39:R44,T39:T44)-V31:V36</f>
        <v>-28284.271247462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-371231.060122938</v>
      </c>
      <c r="Q40" s="12" t="n">
        <v>-232.019412576832</v>
      </c>
      <c r="R40" s="12" t="n">
        <v>464038.825153672</v>
      </c>
      <c r="T40" s="1" t="n">
        <v>0</v>
      </c>
      <c r="V40" s="69" t="n">
        <v>28284.271247462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-656250.000000001</v>
      </c>
      <c r="R41" s="12" t="n">
        <v>875000000</v>
      </c>
      <c r="T41" s="36" t="n">
        <v>0</v>
      </c>
      <c r="V41" s="69" t="n">
        <v>80000000.0000045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-371231.060122938</v>
      </c>
      <c r="O42" s="12" t="n">
        <v>0</v>
      </c>
      <c r="P42" s="12" t="n">
        <v>525000.000000001</v>
      </c>
      <c r="Q42" s="12" t="n">
        <v>0</v>
      </c>
      <c r="R42" s="12" t="n">
        <v>0</v>
      </c>
      <c r="T42" s="36" t="n">
        <v>0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232.019412576832</v>
      </c>
      <c r="N43" s="12" t="n">
        <v>-232.019412576832</v>
      </c>
      <c r="O43" s="12" t="n">
        <v>-656250.000000001</v>
      </c>
      <c r="P43" s="12" t="n">
        <v>0</v>
      </c>
      <c r="Q43" s="12" t="n">
        <v>328.124999999995</v>
      </c>
      <c r="R43" s="12" t="n">
        <v>-656250.000000001</v>
      </c>
      <c r="T43" s="36" t="n">
        <f aca="false">U59</f>
        <v>-182.857142857157</v>
      </c>
      <c r="V43" s="69" t="n">
        <v>0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-656250.000000001</v>
      </c>
      <c r="R44" s="12" t="n">
        <v>1750000000</v>
      </c>
      <c r="T44" s="36" t="n">
        <f aca="false">U60</f>
        <v>-0.0609523809523862</v>
      </c>
      <c r="V44" s="69" t="n">
        <v>0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/>
      <c r="N47" s="10" t="n">
        <v>5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/>
      <c r="M48" s="13" t="n">
        <f aca="false" t="array" ref="M48:N49">Q43:R44</f>
        <v>328.124999999995</v>
      </c>
      <c r="N48" s="1" t="n">
        <v>-656250.000000001</v>
      </c>
      <c r="O48" s="13"/>
      <c r="P48" s="13"/>
      <c r="Q48" s="13"/>
      <c r="R48" s="13"/>
      <c r="S48" s="21" t="str">
        <f aca="false" t="array" ref="S48:S49">T26:T27</f>
        <v>r14</v>
      </c>
      <c r="U48" s="50" t="n">
        <f aca="false" t="array" ref="U48:U49">V35:V36</f>
        <v>-20000.0000000001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5</v>
      </c>
      <c r="M49" s="13" t="n">
        <v>-656250.000000001</v>
      </c>
      <c r="N49" s="13" t="n">
        <v>1750000000</v>
      </c>
      <c r="P49" s="13"/>
      <c r="Q49" s="13"/>
      <c r="R49" s="13"/>
      <c r="S49" s="21" t="str">
        <v>r16</v>
      </c>
      <c r="U49" s="13" t="n">
        <v>13333333.3333333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/>
      <c r="P50" s="13"/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5</v>
      </c>
      <c r="N58" s="10" t="n">
        <v>6</v>
      </c>
      <c r="O58" s="10"/>
      <c r="P58" s="10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5</v>
      </c>
      <c r="M59" s="1" t="n">
        <f aca="false" t="array" ref="M59:N60">MINVERSE(M48:N49)</f>
        <v>0.012190476190477</v>
      </c>
      <c r="N59" s="1" t="n">
        <v>4.57142857142889E-006</v>
      </c>
      <c r="S59" s="13" t="n">
        <f aca="false" t="array" ref="S59:S60">U48:U49</f>
        <v>-20000.0000000001</v>
      </c>
      <c r="U59" s="36" t="n">
        <f aca="false" t="array" ref="U59:U60">MMULT(M59:N60,S59:S60)</f>
        <v>-182.857142857157</v>
      </c>
      <c r="V59" s="1" t="s">
        <v>12</v>
      </c>
      <c r="W59" s="1" t="s">
        <v>126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6</v>
      </c>
      <c r="M60" s="1" t="n">
        <v>4.57142857142889E-006</v>
      </c>
      <c r="N60" s="13" t="n">
        <v>2.28571428571441E-009</v>
      </c>
      <c r="P60" s="13"/>
      <c r="S60" s="1" t="n">
        <v>13333333.3333333</v>
      </c>
      <c r="U60" s="36" t="n">
        <v>-0.0609523809523862</v>
      </c>
      <c r="V60" s="1" t="s">
        <v>78</v>
      </c>
      <c r="W60" s="1" t="n">
        <f aca="false">1000*U60</f>
        <v>-60.9523809523862</v>
      </c>
      <c r="X60" s="1" t="s">
        <v>79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/>
      <c r="N61" s="13"/>
      <c r="P61" s="13"/>
      <c r="U61" s="36"/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-SIN(RADIANS(Q12))*U59</f>
        <v>129.299525702693</v>
      </c>
      <c r="V66" s="1" t="s">
        <v>12</v>
      </c>
      <c r="W66" s="1" t="n">
        <v>0</v>
      </c>
      <c r="X66" s="1" t="n">
        <f aca="false" t="array" ref="X66:X67">MMULT(W16:X17,W66:W67)</f>
        <v>129.299525702693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COS(RADIANS(Q12))*U59</f>
        <v>-129.299525702693</v>
      </c>
      <c r="V67" s="1" t="s">
        <v>12</v>
      </c>
      <c r="W67" s="36" t="n">
        <f aca="false">U59</f>
        <v>-182.857142857157</v>
      </c>
      <c r="X67" s="1" t="n">
        <v>-129.299525702693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1.22464679914735E-012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0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1.22464679914735E-012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-182.857142857157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-0.0609523809523862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4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5">
      <formula>ABS(M13)&lt;0.1</formula>
    </cfRule>
  </conditionalFormatting>
  <conditionalFormatting sqref="BR166:BR168">
    <cfRule type="cellIs" priority="4" operator="equal" aboveAverage="0" equalAverage="0" bottom="0" percent="0" rank="0" text="" dxfId="16">
      <formula>"VIRHE!"</formula>
    </cfRule>
    <cfRule type="cellIs" priority="5" operator="equal" aboveAverage="0" equalAverage="0" bottom="0" percent="0" rank="0" text="" dxfId="17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6" activeCellId="0" sqref="B46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3"/>
    <col collapsed="false" customWidth="true" hidden="false" outlineLevel="0" max="15" min="15" style="1" width="9.42"/>
    <col collapsed="false" customWidth="true" hidden="false" outlineLevel="0" max="17" min="16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1" min="20" style="1" width="9.14"/>
    <col collapsed="false" customWidth="true" hidden="false" outlineLevel="0" max="24" min="22" style="1" width="9.3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5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5" hidden="false" customHeight="false" outlineLevel="0" collapsed="false">
      <c r="B5" s="8" t="s">
        <v>8</v>
      </c>
      <c r="C5" s="9" t="n">
        <f aca="false">COS(RADIANS(E4))</f>
        <v>6.12323399573677E-017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3.21268866160695E-011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-3.21268866160695E-011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3.21268866160695E-011</v>
      </c>
      <c r="AL7" s="12" t="n">
        <f aca="false">C21</f>
        <v>525000</v>
      </c>
      <c r="AM7" s="12" t="n">
        <f aca="false">D21</f>
        <v>4.01837230970225E-011</v>
      </c>
      <c r="AN7" s="12" t="n">
        <f aca="false">E21</f>
        <v>-3.21268866160695E-011</v>
      </c>
      <c r="AO7" s="12" t="n">
        <f aca="false">F21</f>
        <v>-525000</v>
      </c>
      <c r="AP7" s="12" t="n">
        <f aca="false">G21</f>
        <v>4.01837230970225E-011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-1.22464679914735E-012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4.01837230970225E-011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-4.01837230970225E-011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-3.21268866160695E-011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3.21268866160695E-011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-3.21268866160695E-011</v>
      </c>
      <c r="AL10" s="12" t="n">
        <f aca="false">C24</f>
        <v>-525000</v>
      </c>
      <c r="AM10" s="12" t="n">
        <f aca="false">D24</f>
        <v>-4.01837230970225E-011</v>
      </c>
      <c r="AN10" s="12" t="n">
        <f aca="false">E24</f>
        <v>3.21268866160695E-011</v>
      </c>
      <c r="AO10" s="12" t="n">
        <f aca="false">F24</f>
        <v>525000</v>
      </c>
      <c r="AP10" s="12" t="n">
        <f aca="false">G24</f>
        <v>-4.01837230970225E-011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-1.22464679914735E-012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4.01837230970225E-011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-4.01837230970225E-011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5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5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5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5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5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3.21268866160695E-011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-3.21268866160695E-011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3.21268866160695E-011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-3.21268866160695E-011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5" hidden="false" customHeight="false" outlineLevel="0" collapsed="false">
      <c r="B21" s="22" t="n">
        <f aca="false">$B37*B$45+$C37*B$46+$D37*B$47+$E37*B$48+$F37*B$49+$G37*B$50</f>
        <v>3.21268866160695E-011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4.01837230970225E-011</v>
      </c>
      <c r="E21" s="22" t="n">
        <f aca="false">$B37*E$45+$C37*E$46+$D37*E$47+$E37*E$48+$F37*E$49+$G37*E$50</f>
        <v>-3.21268866160695E-011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4.01837230970225E-011</v>
      </c>
      <c r="I21" s="23" t="n">
        <f aca="false">B55*I28+C55*I29+D55*I30+E55*I31+F55*I32+G55*I33</f>
        <v>-1.22464679914735E-012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3.21268866160695E-011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4.01837230970225E-011</v>
      </c>
      <c r="Y21" s="26" t="n">
        <f aca="false">$V38*E$45+$W38*E$46+$X38*E$47+$Y38*E$48+$Z38*E$49+$AA38*E$50</f>
        <v>-3.21268866160695E-011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4.01837230970225E-011</v>
      </c>
      <c r="AC21" s="25" t="n">
        <f aca="false">V56*AC28+W56*AC29+X56*AC30+Y56*AC31+Z56*AC32+AA56*AC33</f>
        <v>6.12323399573677E-013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5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4.01837230970225E-011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-4.01837230970225E-011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4.01837230970225E-011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-4.01837230970225E-011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-3.21268866160695E-011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3.21268866160695E-011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-3.21268866160695E-011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3.21268866160695E-011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-3.21268866160695E-011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-4.01837230970225E-011</v>
      </c>
      <c r="E24" s="22" t="n">
        <f aca="false">$B40*E$45+$C40*E$46+$D40*E$47+$E40*E$48+$F40*E$49+$G40*E$50</f>
        <v>3.21268866160695E-011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-4.01837230970225E-011</v>
      </c>
      <c r="I24" s="23" t="n">
        <f aca="false">B58*I28+C58*I29+D58*I30+E58*I31+F58*I32+G58*I33</f>
        <v>-1.22464679914735E-012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-3.21268866160695E-011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-4.01837230970225E-011</v>
      </c>
      <c r="Y24" s="26" t="n">
        <f aca="false">$V41*E$45+$W41*E$46+$X41*E$47+$Y41*E$48+$Z41*E$49+$AA41*E$50</f>
        <v>3.21268866160695E-011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-4.01837230970225E-011</v>
      </c>
      <c r="AC24" s="25" t="n">
        <f aca="false">V59*AC28+W59*AC29+X59*AC30+Y59*AC31+Z59*AC32+AA59*AC33</f>
        <v>6.12323399573677E-013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4.01837230970225E-011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-4.01837230970225E-011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4.01837230970225E-011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-4.01837230970225E-011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5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-0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-0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3.21268866160695E-011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-3.21268866160695E-011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3.21268866160695E-011</v>
      </c>
      <c r="AR29" s="31" t="n">
        <f aca="false">W21</f>
        <v>525000</v>
      </c>
      <c r="AS29" s="31" t="n">
        <f aca="false">X21</f>
        <v>4.01837230970225E-011</v>
      </c>
      <c r="AT29" s="31" t="n">
        <f aca="false">Y21</f>
        <v>-3.21268866160695E-011</v>
      </c>
      <c r="AU29" s="31" t="n">
        <f aca="false">Z21</f>
        <v>-525000</v>
      </c>
      <c r="AV29" s="31" t="n">
        <f aca="false">AA21</f>
        <v>4.01837230970225E-011</v>
      </c>
      <c r="AW29" s="7"/>
      <c r="AX29" s="13" t="n">
        <f aca="false">AC21</f>
        <v>6.12323399573677E-013</v>
      </c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4.01837230970225E-011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-4.01837230970225E-011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-0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-0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-3.21268866160695E-011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3.21268866160695E-011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-3.21268866160695E-011</v>
      </c>
      <c r="AR32" s="31" t="n">
        <f aca="false">W24</f>
        <v>-525000</v>
      </c>
      <c r="AS32" s="31" t="n">
        <f aca="false">X24</f>
        <v>-4.01837230970225E-011</v>
      </c>
      <c r="AT32" s="31" t="n">
        <f aca="false">Y24</f>
        <v>3.21268866160695E-011</v>
      </c>
      <c r="AU32" s="31" t="n">
        <f aca="false">Z24</f>
        <v>525000</v>
      </c>
      <c r="AV32" s="31" t="n">
        <f aca="false">AA24</f>
        <v>-4.01837230970225E-011</v>
      </c>
      <c r="AW32" s="7"/>
      <c r="AX32" s="13" t="n">
        <f aca="false">AC24</f>
        <v>6.12323399573677E-013</v>
      </c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4.01837230970225E-011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-4.01837230970225E-011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5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3.2146978477618E-011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-3.2146978477618E-011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5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2.00918615485113E-014</v>
      </c>
      <c r="D37" s="28" t="n">
        <f aca="false">$B55*D28+$C55*D29+$D55*D30+$E55*D31+$F55*D32+$G55*D33</f>
        <v>4.01837230970225E-011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-2.00918615485113E-014</v>
      </c>
      <c r="G37" s="28" t="n">
        <f aca="false">$B55*G28+$C55*G29+$D55*G30+$E55*G31+$F55*G32+$G55*G33</f>
        <v>4.01837230970225E-011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3.2146978477618E-011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-3.2146978477618E-011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2.00918615485113E-014</v>
      </c>
      <c r="X38" s="28" t="n">
        <f aca="false">$V56*X28+$W56*X29+$X56*X30+$Y56*X31+$Z56*X32+$AA56*X33</f>
        <v>4.01837230970225E-011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-2.00918615485113E-014</v>
      </c>
      <c r="AA38" s="28" t="n">
        <f aca="false">$V56*AA28+$W56*AA29+$X56*AA30+$Y56*AA31+$Z56*AA32+$AA56*AA33</f>
        <v>4.01837230970225E-011</v>
      </c>
    </row>
    <row r="39" customFormat="false" ht="15" hidden="false" customHeight="false" outlineLevel="0" collapsed="false">
      <c r="B39" s="28" t="n">
        <f aca="false">$B57*B$28+$C57*B$29+$D57*B$30+$E57*B$31+$F57*B$32+$G57*B$33</f>
        <v>-3.2146978477618E-011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3.2146978477618E-011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5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-2.00918615485113E-014</v>
      </c>
      <c r="D40" s="28" t="n">
        <f aca="false">$B58*D$28+$C58*D$29+$D58*D$30+$E58*D$31+$F58*D$32+$G58*D$33</f>
        <v>-4.01837230970225E-011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2.00918615485113E-014</v>
      </c>
      <c r="G40" s="28" t="n">
        <f aca="false">$B58*G$28+$C58*G$29+$D58*G$30+$E58*G$31+$F58*G$32+$G58*G$33</f>
        <v>-4.01837230970225E-011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-3.2146978477618E-011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3.2146978477618E-011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-2.00918615485113E-014</v>
      </c>
      <c r="X41" s="28" t="n">
        <f aca="false">$V59*D$28+$W59*D$29+$X59*D$30+$Y59*D$31+$Z59*D$32+$AA59*D$33</f>
        <v>-4.01837230970225E-011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2.00918615485113E-014</v>
      </c>
      <c r="AA41" s="28" t="n">
        <f aca="false">$V59*G$28+$W59*G$29+$X59*G$30+$Y59*G$31+$Z59*G$32+$AA59*G$33</f>
        <v>-4.01837230970225E-011</v>
      </c>
      <c r="AJ41" s="2" t="s">
        <v>36</v>
      </c>
      <c r="AS41" s="7"/>
      <c r="AT41" s="7"/>
      <c r="AU41" s="7"/>
      <c r="AV41" s="7"/>
    </row>
    <row r="42" customFormat="false" ht="15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10" t="s">
        <v>40</v>
      </c>
    </row>
    <row r="43" customFormat="false" ht="15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3.21268866160695E-011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-3.21268866160695E-011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v>0</v>
      </c>
      <c r="BC43" s="7"/>
      <c r="BD43" s="69" t="n">
        <f aca="false" t="array" ref="BD43:BD54">MMULT(AK43:AV54,BB43:BB54)-AZ43:AZ54</f>
        <v>-14283.8139746321</v>
      </c>
    </row>
    <row r="44" customFormat="false" ht="15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3.21268866160695E-011</v>
      </c>
      <c r="AL44" s="12" t="n">
        <f aca="false">AL7+BB7+AL23</f>
        <v>525000</v>
      </c>
      <c r="AM44" s="12" t="n">
        <f aca="false">AM7+BC7+AM23</f>
        <v>4.01837230970225E-011</v>
      </c>
      <c r="AN44" s="12" t="n">
        <f aca="false">AN7+BD7+AN23</f>
        <v>-3.21268866160695E-011</v>
      </c>
      <c r="AO44" s="12" t="n">
        <f aca="false">AO7+BE7+AO23</f>
        <v>-525000</v>
      </c>
      <c r="AP44" s="12" t="n">
        <f aca="false">AP7+BF7+AP23</f>
        <v>4.01837230970225E-011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-1.22464679914735E-012</v>
      </c>
      <c r="BA44" s="1" t="s">
        <v>43</v>
      </c>
      <c r="BB44" s="36" t="n">
        <v>0</v>
      </c>
      <c r="BC44" s="37"/>
      <c r="BD44" s="62" t="n">
        <v>8.74631353182468E-013</v>
      </c>
    </row>
    <row r="45" customFormat="false" ht="15" hidden="false" customHeight="false" outlineLevel="0" collapsed="false">
      <c r="B45" s="38" t="n">
        <f aca="false">$C$5</f>
        <v>6.12323399573677E-017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4.01837230970225E-011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-4.01837230970225E-011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>AT116</f>
        <v>-0.00653690088492456</v>
      </c>
      <c r="BC45" s="37"/>
      <c r="BD45" s="62" t="n">
        <v>0</v>
      </c>
    </row>
    <row r="46" customFormat="false" ht="15" hidden="false" customHeight="false" outlineLevel="0" collapsed="false">
      <c r="B46" s="38" t="n">
        <f aca="false">-$E$5</f>
        <v>-1</v>
      </c>
      <c r="C46" s="38" t="n">
        <f aca="false">$C$5</f>
        <v>6.12323399573677E-017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6.12323399573677E-017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-3.21268866160695E-011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3.21268866160695E-011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127</v>
      </c>
      <c r="AZ46" s="13" t="n">
        <f aca="false">AX9+BN9+AX25</f>
        <v>20000</v>
      </c>
      <c r="BB46" s="36" t="n">
        <f aca="false">AZ117</f>
        <v>0.0367374086076685</v>
      </c>
      <c r="BC46" s="37"/>
      <c r="BD46" s="62" t="n">
        <v>0</v>
      </c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-0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6.12323399573677E-017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-3.21268866160695E-011</v>
      </c>
      <c r="AL47" s="12" t="n">
        <f aca="false">AL10+BB10+AL26</f>
        <v>-525000</v>
      </c>
      <c r="AM47" s="12" t="n">
        <f aca="false">AM10+BC10+AM26</f>
        <v>-4.01837230970225E-011</v>
      </c>
      <c r="AN47" s="39" t="n">
        <f aca="false">AN10+BD10+AN26</f>
        <v>3.21268866160695E-011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f aca="false">AZ118</f>
        <v>-2.24951749301748E-018</v>
      </c>
      <c r="BC47" s="34"/>
      <c r="BD47" s="161" t="n">
        <v>31525.588451671</v>
      </c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6.12323399573677E-017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4.01837230970225E-011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f aca="false">AT118</f>
        <v>-0.00219184652470184</v>
      </c>
      <c r="BC48" s="37"/>
      <c r="BD48" s="62" t="n">
        <v>0</v>
      </c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6.12323399573677E-017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6.12323399573677E-017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3.21268866160695E-011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-3.21268866160695E-011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v>0</v>
      </c>
      <c r="BC49" s="37"/>
      <c r="BD49" s="62" t="n">
        <v>6572.19665213855</v>
      </c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-0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6.12323399573677E-017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3.21268866160695E-011</v>
      </c>
      <c r="AR50" s="31" t="n">
        <f aca="false">AR13+BH13+AR29</f>
        <v>525000</v>
      </c>
      <c r="AS50" s="31" t="n">
        <f aca="false">AS13+BI13+AS29</f>
        <v>4.01837230970225E-011</v>
      </c>
      <c r="AT50" s="31" t="n">
        <f aca="false">AT13+BJ13+AT29</f>
        <v>-3.21268866160695E-011</v>
      </c>
      <c r="AU50" s="31" t="n">
        <f aca="false">AU13+BK13+AU29</f>
        <v>-525000</v>
      </c>
      <c r="AV50" s="31" t="n">
        <f aca="false">AV13+BL13+AV29</f>
        <v>4.01837230970225E-011</v>
      </c>
      <c r="AX50" s="7" t="n">
        <v>0</v>
      </c>
      <c r="AZ50" s="13" t="n">
        <f aca="false">AX13+BN13+AX29</f>
        <v>6.12323399573677E-013</v>
      </c>
      <c r="BA50" s="1" t="s">
        <v>49</v>
      </c>
      <c r="BB50" s="36" t="n">
        <v>0</v>
      </c>
      <c r="BC50" s="41"/>
      <c r="BD50" s="69" t="n">
        <v>28474.41154833</v>
      </c>
      <c r="BK50" s="2"/>
      <c r="CW50" s="2"/>
    </row>
    <row r="51" customFormat="false" ht="15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4.01837230970225E-011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-4.01837230970225E-011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>AT119</f>
        <v>0.00239572823183016</v>
      </c>
      <c r="BC51" s="37"/>
      <c r="BD51" s="62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-3.21268866160695E-011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3.21268866160695E-011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f aca="false">AZ120</f>
        <v>-3.32105685335874E-018</v>
      </c>
      <c r="BC52" s="41"/>
      <c r="BD52" s="69" t="n">
        <v>-12288.3826775065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-3.21268866160695E-011</v>
      </c>
      <c r="AR53" s="31" t="n">
        <f aca="false">AR16+BH16+AR32</f>
        <v>-525000</v>
      </c>
      <c r="AS53" s="31" t="n">
        <f aca="false">AS16+BI16+AS32</f>
        <v>-4.01837230970225E-011</v>
      </c>
      <c r="AT53" s="43" t="n">
        <f aca="false">AT16+BJ16+AT32</f>
        <v>3.21268866160695E-011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128</v>
      </c>
      <c r="AZ53" s="13" t="n">
        <f aca="false">AX16+BN16+AX32</f>
        <v>-30000</v>
      </c>
      <c r="BB53" s="36" t="n">
        <f aca="false">AZ121</f>
        <v>-0.0542369743777714</v>
      </c>
      <c r="BC53" s="41"/>
      <c r="BD53" s="69" t="n">
        <v>-9.78616299107671E-010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5" hidden="false" customHeight="false" outlineLevel="0" collapsed="false">
      <c r="B54" s="38" t="n">
        <f aca="false">$C$5</f>
        <v>6.12323399573677E-017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4.01837230970225E-011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f aca="false">AT121</f>
        <v>0.00282759115538729</v>
      </c>
      <c r="BC54" s="41"/>
      <c r="BD54" s="69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f aca="false">$E$5</f>
        <v>1</v>
      </c>
      <c r="C55" s="38" t="n">
        <f aca="false">$C$5</f>
        <v>6.12323399573677E-017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-0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6.12323399573677E-017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6.12323399573677E-017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6.12323399573677E-017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6.12323399573677E-017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-0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6.12323399573677E-017</v>
      </c>
      <c r="Z58" s="38" t="n">
        <f aca="false">-$E$5</f>
        <v>-1</v>
      </c>
      <c r="AA58" s="38" t="n">
        <v>0</v>
      </c>
      <c r="AB58" s="7"/>
      <c r="AE58" s="1" t="s">
        <v>129</v>
      </c>
      <c r="AF58" s="1" t="s">
        <v>130</v>
      </c>
      <c r="AG58" s="1" t="s">
        <v>131</v>
      </c>
      <c r="AH58" s="1" t="s">
        <v>132</v>
      </c>
      <c r="AJ58" s="2" t="s">
        <v>133</v>
      </c>
      <c r="AX58" s="2" t="s">
        <v>134</v>
      </c>
      <c r="BB58" s="20"/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6.12323399573677E-017</v>
      </c>
      <c r="AA59" s="38" t="n">
        <v>0</v>
      </c>
      <c r="AB59" s="7"/>
      <c r="AE59" s="1" t="n">
        <v>1</v>
      </c>
      <c r="AF59" s="1" t="n">
        <v>0</v>
      </c>
      <c r="AG59" s="1" t="n">
        <f aca="false">COS(RADIANS(AF59))</f>
        <v>1</v>
      </c>
      <c r="AH59" s="1" t="n">
        <f aca="false">SIN(RADIANS(AF59))</f>
        <v>0</v>
      </c>
      <c r="AJ59" s="10"/>
      <c r="AK59" s="11" t="n">
        <v>1</v>
      </c>
      <c r="AL59" s="11" t="n">
        <v>2</v>
      </c>
      <c r="AM59" s="11" t="n">
        <v>3</v>
      </c>
      <c r="AN59" s="11" t="n">
        <v>4</v>
      </c>
      <c r="AO59" s="11" t="n">
        <v>5</v>
      </c>
      <c r="AP59" s="11" t="n">
        <v>6</v>
      </c>
      <c r="AQ59" s="11" t="n">
        <v>7</v>
      </c>
      <c r="AR59" s="11" t="n">
        <v>8</v>
      </c>
      <c r="AS59" s="11" t="n">
        <v>9</v>
      </c>
      <c r="AT59" s="11" t="n">
        <v>10</v>
      </c>
      <c r="AU59" s="11" t="n">
        <v>11</v>
      </c>
      <c r="AV59" s="11" t="n">
        <v>12</v>
      </c>
      <c r="AX59" s="10"/>
      <c r="AY59" s="11" t="n">
        <v>1</v>
      </c>
      <c r="AZ59" s="11" t="n">
        <v>2</v>
      </c>
      <c r="BA59" s="11" t="n">
        <v>3</v>
      </c>
      <c r="BB59" s="11" t="n">
        <v>4</v>
      </c>
      <c r="BC59" s="11" t="n">
        <v>5</v>
      </c>
      <c r="BD59" s="11" t="n">
        <v>6</v>
      </c>
      <c r="BE59" s="11" t="n">
        <v>7</v>
      </c>
      <c r="BF59" s="11" t="n">
        <v>8</v>
      </c>
      <c r="BG59" s="11" t="n">
        <v>9</v>
      </c>
      <c r="BH59" s="11" t="n">
        <v>10</v>
      </c>
      <c r="BI59" s="11" t="n">
        <v>11</v>
      </c>
      <c r="BJ59" s="11" t="n">
        <v>12</v>
      </c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E60" s="1" t="n">
        <v>2</v>
      </c>
      <c r="AF60" s="1" t="n">
        <v>90</v>
      </c>
      <c r="AG60" s="1" t="n">
        <f aca="false">COS(RADIANS(AF60))</f>
        <v>6.12323399573677E-017</v>
      </c>
      <c r="AH60" s="1" t="n">
        <f aca="false">SIN(RADIANS(AF60))</f>
        <v>1</v>
      </c>
      <c r="AJ60" s="11" t="n">
        <v>1</v>
      </c>
      <c r="AK60" s="17" t="n">
        <f aca="false">AG59</f>
        <v>1</v>
      </c>
      <c r="AL60" s="17" t="n">
        <f aca="false">AH59</f>
        <v>0</v>
      </c>
      <c r="AM60" s="17" t="n">
        <v>0</v>
      </c>
      <c r="AN60" s="17" t="n">
        <v>0</v>
      </c>
      <c r="AO60" s="17" t="n">
        <v>0</v>
      </c>
      <c r="AP60" s="17" t="n">
        <v>0</v>
      </c>
      <c r="AQ60" s="17" t="n">
        <v>0</v>
      </c>
      <c r="AR60" s="17" t="n">
        <v>0</v>
      </c>
      <c r="AS60" s="17" t="n">
        <v>0</v>
      </c>
      <c r="AT60" s="17" t="n">
        <v>0</v>
      </c>
      <c r="AU60" s="17" t="n">
        <v>0</v>
      </c>
      <c r="AV60" s="17" t="n">
        <v>0</v>
      </c>
      <c r="AX60" s="11" t="n">
        <v>1</v>
      </c>
      <c r="AY60" s="7" t="n">
        <f aca="false" t="array" ref="AY60:BJ71">TRANSPOSE(AK60:AV71)</f>
        <v>1</v>
      </c>
      <c r="AZ60" s="7" t="n">
        <v>-0</v>
      </c>
      <c r="BA60" s="7" t="n">
        <v>0</v>
      </c>
      <c r="BB60" s="20" t="n">
        <v>0</v>
      </c>
      <c r="BC60" s="7" t="n">
        <v>0</v>
      </c>
      <c r="BD60" s="7" t="n">
        <v>0</v>
      </c>
      <c r="BE60" s="20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V61" s="7"/>
      <c r="AC61" s="7"/>
      <c r="AE61" s="1" t="n">
        <v>3</v>
      </c>
      <c r="AF61" s="1" t="n">
        <v>0</v>
      </c>
      <c r="AG61" s="1" t="n">
        <f aca="false">COS(RADIANS(AF61))</f>
        <v>1</v>
      </c>
      <c r="AH61" s="1" t="n">
        <f aca="false">SIN(RADIANS(AF61))</f>
        <v>0</v>
      </c>
      <c r="AJ61" s="11" t="n">
        <v>2</v>
      </c>
      <c r="AK61" s="17" t="n">
        <f aca="false">-AH59</f>
        <v>-0</v>
      </c>
      <c r="AL61" s="17" t="n">
        <f aca="false">AG59</f>
        <v>1</v>
      </c>
      <c r="AM61" s="17" t="n">
        <v>0</v>
      </c>
      <c r="AN61" s="17" t="n">
        <v>0</v>
      </c>
      <c r="AO61" s="17" t="n">
        <v>0</v>
      </c>
      <c r="AP61" s="17" t="n">
        <v>0</v>
      </c>
      <c r="AQ61" s="17" t="n">
        <v>0</v>
      </c>
      <c r="AR61" s="17" t="n">
        <v>0</v>
      </c>
      <c r="AS61" s="17" t="n">
        <v>0</v>
      </c>
      <c r="AT61" s="17" t="n">
        <v>0</v>
      </c>
      <c r="AU61" s="17" t="n">
        <v>0</v>
      </c>
      <c r="AV61" s="17" t="n">
        <v>0</v>
      </c>
      <c r="AX61" s="11" t="n">
        <v>2</v>
      </c>
      <c r="AY61" s="7" t="n">
        <v>0</v>
      </c>
      <c r="AZ61" s="7" t="n">
        <v>1</v>
      </c>
      <c r="BA61" s="7" t="n">
        <v>0</v>
      </c>
      <c r="BB61" s="20" t="n">
        <v>0</v>
      </c>
      <c r="BC61" s="7" t="n">
        <v>0</v>
      </c>
      <c r="BD61" s="7" t="n">
        <v>0</v>
      </c>
      <c r="BE61" s="20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E62" s="1" t="n">
        <v>4</v>
      </c>
      <c r="AF62" s="1" t="n">
        <v>90</v>
      </c>
      <c r="AG62" s="1" t="n">
        <f aca="false">COS(RADIANS(AF62))</f>
        <v>6.12323399573677E-017</v>
      </c>
      <c r="AH62" s="1" t="n">
        <f aca="false">SIN(RADIANS(AF62))</f>
        <v>1</v>
      </c>
      <c r="AJ62" s="11" t="n">
        <v>3</v>
      </c>
      <c r="AK62" s="17" t="n">
        <v>0</v>
      </c>
      <c r="AL62" s="17" t="n">
        <v>0</v>
      </c>
      <c r="AM62" s="17" t="n">
        <v>1</v>
      </c>
      <c r="AN62" s="17" t="n">
        <v>0</v>
      </c>
      <c r="AO62" s="17" t="n">
        <v>0</v>
      </c>
      <c r="AP62" s="17" t="n">
        <v>0</v>
      </c>
      <c r="AQ62" s="17" t="n">
        <v>0</v>
      </c>
      <c r="AR62" s="17" t="n">
        <v>0</v>
      </c>
      <c r="AS62" s="17" t="n">
        <v>0</v>
      </c>
      <c r="AT62" s="17" t="n">
        <v>0</v>
      </c>
      <c r="AU62" s="17" t="n">
        <v>0</v>
      </c>
      <c r="AV62" s="17" t="n">
        <v>0</v>
      </c>
      <c r="AX62" s="11" t="n">
        <v>3</v>
      </c>
      <c r="AY62" s="7" t="n">
        <v>0</v>
      </c>
      <c r="AZ62" s="7" t="n">
        <v>0</v>
      </c>
      <c r="BA62" s="7" t="n">
        <v>1</v>
      </c>
      <c r="BB62" s="20" t="n">
        <v>0</v>
      </c>
      <c r="BC62" s="7" t="n">
        <v>0</v>
      </c>
      <c r="BD62" s="7" t="n">
        <v>0</v>
      </c>
      <c r="BE62" s="20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1" t="n">
        <v>4</v>
      </c>
      <c r="AK63" s="17" t="n">
        <v>0</v>
      </c>
      <c r="AL63" s="17" t="n">
        <v>0</v>
      </c>
      <c r="AM63" s="17" t="n">
        <v>0</v>
      </c>
      <c r="AN63" s="17" t="n">
        <f aca="false">AG60</f>
        <v>6.12323399573677E-017</v>
      </c>
      <c r="AO63" s="17" t="n">
        <f aca="false">AH60</f>
        <v>1</v>
      </c>
      <c r="AP63" s="17" t="n">
        <v>0</v>
      </c>
      <c r="AQ63" s="17" t="n">
        <v>0</v>
      </c>
      <c r="AR63" s="17" t="n">
        <v>0</v>
      </c>
      <c r="AS63" s="17" t="n">
        <v>0</v>
      </c>
      <c r="AT63" s="17" t="n">
        <v>0</v>
      </c>
      <c r="AU63" s="17" t="n">
        <v>0</v>
      </c>
      <c r="AV63" s="17" t="n">
        <v>0</v>
      </c>
      <c r="AX63" s="11" t="n">
        <v>4</v>
      </c>
      <c r="AY63" s="7" t="n">
        <v>0</v>
      </c>
      <c r="AZ63" s="7" t="n">
        <v>0</v>
      </c>
      <c r="BA63" s="7" t="n">
        <v>0</v>
      </c>
      <c r="BB63" s="7" t="n">
        <v>6.12323399573677E-017</v>
      </c>
      <c r="BC63" s="7" t="n">
        <v>-1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6.12323399573677E-013</v>
      </c>
      <c r="M64" s="8" t="s">
        <v>66</v>
      </c>
      <c r="N64" s="35" t="n">
        <f aca="false">-I67/E6*L64</f>
        <v>-3.06161699786838E-013</v>
      </c>
      <c r="O64" s="35" t="n">
        <f aca="false">-I66/E6*L64</f>
        <v>-3.06161699786838E-013</v>
      </c>
      <c r="P64" s="1" t="s">
        <v>67</v>
      </c>
      <c r="AJ64" s="11" t="n">
        <v>5</v>
      </c>
      <c r="AK64" s="17" t="n">
        <v>0</v>
      </c>
      <c r="AL64" s="17" t="n">
        <v>0</v>
      </c>
      <c r="AM64" s="17" t="n">
        <v>0</v>
      </c>
      <c r="AN64" s="17" t="n">
        <f aca="false">-AH60</f>
        <v>-1</v>
      </c>
      <c r="AO64" s="17" t="n">
        <f aca="false">AG60</f>
        <v>6.12323399573677E-017</v>
      </c>
      <c r="AP64" s="17" t="n">
        <v>0</v>
      </c>
      <c r="AQ64" s="17" t="n">
        <v>0</v>
      </c>
      <c r="AR64" s="17" t="n">
        <v>0</v>
      </c>
      <c r="AS64" s="17" t="n">
        <v>0</v>
      </c>
      <c r="AT64" s="17" t="n">
        <v>0</v>
      </c>
      <c r="AU64" s="17" t="n">
        <v>0</v>
      </c>
      <c r="AV64" s="17" t="n">
        <v>0</v>
      </c>
      <c r="AX64" s="11" t="n">
        <v>5</v>
      </c>
      <c r="AY64" s="7" t="n">
        <v>0</v>
      </c>
      <c r="AZ64" s="7" t="n">
        <v>0</v>
      </c>
      <c r="BA64" s="7" t="n">
        <v>0</v>
      </c>
      <c r="BB64" s="7" t="n">
        <v>1</v>
      </c>
      <c r="BC64" s="7" t="n">
        <v>6.12323399573677E-017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R64" s="54"/>
    </row>
    <row r="65" customFormat="false" ht="15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6</v>
      </c>
      <c r="AK65" s="17" t="n">
        <v>0</v>
      </c>
      <c r="AL65" s="17" t="n">
        <v>0</v>
      </c>
      <c r="AM65" s="17" t="n">
        <v>0</v>
      </c>
      <c r="AN65" s="17" t="n">
        <v>0</v>
      </c>
      <c r="AO65" s="17" t="n">
        <v>0</v>
      </c>
      <c r="AP65" s="17" t="n">
        <v>1</v>
      </c>
      <c r="AQ65" s="17" t="n">
        <v>0</v>
      </c>
      <c r="AR65" s="17" t="n">
        <v>0</v>
      </c>
      <c r="AS65" s="17" t="n">
        <v>0</v>
      </c>
      <c r="AT65" s="17" t="n">
        <v>0</v>
      </c>
      <c r="AU65" s="17" t="n">
        <v>0</v>
      </c>
      <c r="AV65" s="17" t="n">
        <v>0</v>
      </c>
      <c r="AX65" s="11" t="n">
        <v>6</v>
      </c>
      <c r="AY65" s="7" t="n">
        <v>0</v>
      </c>
      <c r="AZ65" s="7" t="n">
        <v>0</v>
      </c>
      <c r="BA65" s="7" t="n">
        <v>0</v>
      </c>
      <c r="BB65" s="7" t="n">
        <v>0</v>
      </c>
      <c r="BC65" s="42" t="n">
        <v>0</v>
      </c>
      <c r="BD65" s="42" t="n">
        <v>1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R65" s="54"/>
    </row>
    <row r="66" customFormat="false" ht="15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7</v>
      </c>
      <c r="AK66" s="17" t="n">
        <v>0</v>
      </c>
      <c r="AL66" s="17" t="n">
        <v>0</v>
      </c>
      <c r="AM66" s="17" t="n">
        <v>0</v>
      </c>
      <c r="AN66" s="17" t="n">
        <v>0</v>
      </c>
      <c r="AO66" s="17" t="n">
        <v>0</v>
      </c>
      <c r="AP66" s="17" t="n">
        <v>0</v>
      </c>
      <c r="AQ66" s="17" t="n">
        <f aca="false">AG61</f>
        <v>1</v>
      </c>
      <c r="AR66" s="17" t="n">
        <f aca="false">AH61</f>
        <v>0</v>
      </c>
      <c r="AS66" s="17" t="n">
        <v>0</v>
      </c>
      <c r="AT66" s="17" t="n">
        <v>0</v>
      </c>
      <c r="AU66" s="17" t="n">
        <v>0</v>
      </c>
      <c r="AV66" s="17" t="n">
        <v>0</v>
      </c>
      <c r="AX66" s="11" t="n">
        <v>7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1</v>
      </c>
      <c r="BF66" s="7" t="n">
        <v>-0</v>
      </c>
      <c r="BG66" s="7" t="n">
        <v>0</v>
      </c>
      <c r="BH66" s="7" t="n">
        <v>0</v>
      </c>
      <c r="BI66" s="7" t="n">
        <v>0</v>
      </c>
      <c r="BJ66" s="7" t="n">
        <v>0</v>
      </c>
      <c r="BR66" s="54"/>
    </row>
    <row r="67" customFormat="false" ht="15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8</v>
      </c>
      <c r="AK67" s="17" t="n">
        <v>0</v>
      </c>
      <c r="AL67" s="17" t="n">
        <v>0</v>
      </c>
      <c r="AM67" s="17" t="n">
        <v>0</v>
      </c>
      <c r="AN67" s="17" t="n">
        <v>0</v>
      </c>
      <c r="AO67" s="17" t="n">
        <v>0</v>
      </c>
      <c r="AP67" s="17" t="n">
        <v>0</v>
      </c>
      <c r="AQ67" s="17" t="n">
        <f aca="false">-AH61</f>
        <v>-0</v>
      </c>
      <c r="AR67" s="17" t="n">
        <f aca="false">AG61</f>
        <v>1</v>
      </c>
      <c r="AS67" s="17" t="n">
        <v>0</v>
      </c>
      <c r="AT67" s="17" t="n">
        <v>0</v>
      </c>
      <c r="AU67" s="17" t="n">
        <v>0</v>
      </c>
      <c r="AV67" s="17" t="n">
        <v>0</v>
      </c>
      <c r="AX67" s="11" t="n">
        <v>8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1</v>
      </c>
      <c r="BG67" s="7" t="n">
        <v>0</v>
      </c>
      <c r="BH67" s="7" t="n">
        <v>0</v>
      </c>
      <c r="BI67" s="7" t="n">
        <v>0</v>
      </c>
      <c r="BJ67" s="7" t="n">
        <v>0</v>
      </c>
      <c r="BR67" s="54"/>
    </row>
    <row r="68" customFormat="false" ht="15" hidden="false" customHeight="false" outlineLevel="0" collapsed="false">
      <c r="H68" s="1" t="s">
        <v>76</v>
      </c>
      <c r="M68" s="8" t="s">
        <v>66</v>
      </c>
      <c r="AJ68" s="11" t="n">
        <v>9</v>
      </c>
      <c r="AK68" s="17" t="n">
        <v>0</v>
      </c>
      <c r="AL68" s="17" t="n">
        <v>0</v>
      </c>
      <c r="AM68" s="17" t="n">
        <v>0</v>
      </c>
      <c r="AN68" s="17" t="n">
        <v>0</v>
      </c>
      <c r="AO68" s="17" t="n">
        <v>0</v>
      </c>
      <c r="AP68" s="17" t="n">
        <v>0</v>
      </c>
      <c r="AQ68" s="17" t="n">
        <v>0</v>
      </c>
      <c r="AR68" s="17" t="n">
        <v>0</v>
      </c>
      <c r="AS68" s="17" t="n">
        <v>1</v>
      </c>
      <c r="AT68" s="17" t="n">
        <v>0</v>
      </c>
      <c r="AU68" s="17" t="n">
        <v>0</v>
      </c>
      <c r="AV68" s="17" t="n">
        <v>0</v>
      </c>
      <c r="AX68" s="11" t="n">
        <v>9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1</v>
      </c>
      <c r="BH68" s="7" t="n">
        <v>0</v>
      </c>
      <c r="BI68" s="7" t="n">
        <v>0</v>
      </c>
      <c r="BJ68" s="7" t="n">
        <v>0</v>
      </c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AJ69" s="11" t="n">
        <v>10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f aca="false">AG62</f>
        <v>6.12323399573677E-017</v>
      </c>
      <c r="AU69" s="17" t="n">
        <f aca="false">AH62</f>
        <v>1</v>
      </c>
      <c r="AV69" s="17" t="n">
        <v>0</v>
      </c>
      <c r="AX69" s="11" t="n">
        <v>10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6.12323399573677E-017</v>
      </c>
      <c r="BI69" s="7" t="n">
        <v>-1</v>
      </c>
      <c r="BJ69" s="7" t="n">
        <v>0</v>
      </c>
      <c r="BR69" s="54"/>
    </row>
    <row r="70" customFormat="false" ht="15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J70" s="11" t="n">
        <v>11</v>
      </c>
      <c r="AK70" s="17" t="n">
        <v>0</v>
      </c>
      <c r="AL70" s="17" t="n">
        <v>0</v>
      </c>
      <c r="AM70" s="17" t="n">
        <v>0</v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f aca="false">-AH62</f>
        <v>-1</v>
      </c>
      <c r="AU70" s="17" t="n">
        <f aca="false">AG62</f>
        <v>6.12323399573677E-017</v>
      </c>
      <c r="AV70" s="17" t="n">
        <v>0</v>
      </c>
      <c r="AX70" s="11" t="n">
        <v>11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1</v>
      </c>
      <c r="BI70" s="7" t="n">
        <v>6.12323399573677E-017</v>
      </c>
      <c r="BJ70" s="7" t="n">
        <v>0</v>
      </c>
    </row>
    <row r="71" customFormat="false" ht="15" hidden="false" customHeight="false" outlineLevel="0" collapsed="false">
      <c r="AG71" s="2"/>
      <c r="AJ71" s="11" t="n">
        <v>12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1</v>
      </c>
      <c r="AX71" s="11" t="n">
        <v>12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</v>
      </c>
    </row>
    <row r="72" customFormat="false" ht="12" hidden="false" customHeight="true" outlineLevel="0" collapsed="false">
      <c r="H72" s="1" t="s">
        <v>80</v>
      </c>
      <c r="M72" s="8" t="s">
        <v>66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2" t="s">
        <v>135</v>
      </c>
      <c r="BB73" s="7"/>
      <c r="BK73" s="2"/>
    </row>
    <row r="74" customFormat="false" ht="15" hidden="false" customHeight="false" outlineLevel="0" collapsed="false">
      <c r="M74" s="55" t="s">
        <v>73</v>
      </c>
      <c r="AJ74" s="10"/>
      <c r="AK74" s="11" t="n">
        <v>1</v>
      </c>
      <c r="AL74" s="11" t="n">
        <v>2</v>
      </c>
      <c r="AM74" s="11" t="n">
        <v>3</v>
      </c>
      <c r="AN74" s="11" t="n">
        <v>4</v>
      </c>
      <c r="AO74" s="11" t="n">
        <v>5</v>
      </c>
      <c r="AP74" s="11" t="n">
        <v>6</v>
      </c>
      <c r="AQ74" s="11" t="n">
        <v>7</v>
      </c>
      <c r="AR74" s="11" t="n">
        <v>8</v>
      </c>
      <c r="AS74" s="11" t="n">
        <v>9</v>
      </c>
      <c r="AT74" s="11" t="n">
        <v>10</v>
      </c>
      <c r="AU74" s="11" t="n">
        <v>11</v>
      </c>
      <c r="AV74" s="11" t="n">
        <v>12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5" hidden="false" customHeight="false" outlineLevel="0" collapsed="false">
      <c r="G75" s="59"/>
      <c r="M75" s="8"/>
      <c r="AJ75" s="11" t="n">
        <v>1</v>
      </c>
      <c r="AK75" s="12" t="n">
        <f aca="false" t="array" ref="AK75:AV86">MMULT(AK43:AV54,AY60:BJ71)</f>
        <v>328.125</v>
      </c>
      <c r="AL75" s="12" t="n">
        <v>3.21268866160695E-011</v>
      </c>
      <c r="AM75" s="12" t="n">
        <v>-656250</v>
      </c>
      <c r="AN75" s="12" t="n">
        <v>-3.2146978477618E-011</v>
      </c>
      <c r="AO75" s="12" t="n">
        <v>328.125</v>
      </c>
      <c r="AP75" s="12" t="n">
        <v>-656250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F76" s="1" t="s">
        <v>82</v>
      </c>
      <c r="M76" s="8"/>
      <c r="AJ76" s="11" t="n">
        <v>2</v>
      </c>
      <c r="AK76" s="12" t="n">
        <v>3.21268866160695E-011</v>
      </c>
      <c r="AL76" s="12" t="n">
        <v>525000</v>
      </c>
      <c r="AM76" s="12" t="n">
        <v>4.01837230970225E-011</v>
      </c>
      <c r="AN76" s="12" t="n">
        <v>-525000</v>
      </c>
      <c r="AO76" s="12" t="n">
        <v>-2.00918615485432E-014</v>
      </c>
      <c r="AP76" s="12" t="n">
        <v>4.01837230970225E-011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M77" s="55"/>
      <c r="AJ77" s="11" t="n">
        <v>3</v>
      </c>
      <c r="AK77" s="12" t="n">
        <v>-656250</v>
      </c>
      <c r="AL77" s="12" t="n">
        <v>4.01837230970225E-011</v>
      </c>
      <c r="AM77" s="12" t="n">
        <v>1750000000</v>
      </c>
      <c r="AN77" s="12" t="n">
        <v>0</v>
      </c>
      <c r="AO77" s="12" t="n">
        <v>-656250</v>
      </c>
      <c r="AP77" s="12" t="n">
        <v>875000000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AJ78" s="11" t="n">
        <v>4</v>
      </c>
      <c r="AK78" s="12" t="n">
        <v>-328.125</v>
      </c>
      <c r="AL78" s="12" t="n">
        <v>-3.21268866160695E-011</v>
      </c>
      <c r="AM78" s="12" t="n">
        <v>656250</v>
      </c>
      <c r="AN78" s="39" t="n">
        <v>7.50096164477754E-011</v>
      </c>
      <c r="AO78" s="39" t="n">
        <v>-700328.125</v>
      </c>
      <c r="AP78" s="39" t="n">
        <v>656250</v>
      </c>
      <c r="AQ78" s="17" t="n">
        <v>0</v>
      </c>
      <c r="AR78" s="21" t="n">
        <v>0</v>
      </c>
      <c r="AS78" s="21" t="n">
        <v>0</v>
      </c>
      <c r="AT78" s="24" t="n">
        <v>-4.28626379701574E-011</v>
      </c>
      <c r="AU78" s="16" t="n">
        <v>700000</v>
      </c>
      <c r="AV78" s="16" t="n">
        <v>0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AJ79" s="11" t="n">
        <v>5</v>
      </c>
      <c r="AK79" s="12" t="n">
        <v>-3.21268866160695E-011</v>
      </c>
      <c r="AL79" s="12" t="n">
        <v>-525000</v>
      </c>
      <c r="AM79" s="12" t="n">
        <v>-4.01837230970225E-011</v>
      </c>
      <c r="AN79" s="39" t="n">
        <v>525777.777777778</v>
      </c>
      <c r="AO79" s="39" t="n">
        <v>6.7717014848732E-014</v>
      </c>
      <c r="AP79" s="39" t="n">
        <v>2333333.33333333</v>
      </c>
      <c r="AQ79" s="17" t="n">
        <v>0</v>
      </c>
      <c r="AR79" s="21" t="n">
        <v>0</v>
      </c>
      <c r="AS79" s="21" t="n">
        <v>0</v>
      </c>
      <c r="AT79" s="24" t="n">
        <v>-777.777777777778</v>
      </c>
      <c r="AU79" s="16" t="n">
        <v>-4.76251533001749E-014</v>
      </c>
      <c r="AV79" s="16" t="n">
        <v>2333333.33333333</v>
      </c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AJ80" s="11" t="n">
        <v>6</v>
      </c>
      <c r="AK80" s="12" t="n">
        <v>-656250</v>
      </c>
      <c r="AL80" s="12" t="n">
        <v>4.01837230970225E-011</v>
      </c>
      <c r="AM80" s="12" t="n">
        <v>875000000</v>
      </c>
      <c r="AN80" s="39" t="n">
        <v>2333333.33333333</v>
      </c>
      <c r="AO80" s="39" t="n">
        <v>-656250</v>
      </c>
      <c r="AP80" s="39" t="n">
        <v>11083333333.3333</v>
      </c>
      <c r="AQ80" s="21" t="n">
        <v>0</v>
      </c>
      <c r="AR80" s="21" t="n">
        <v>0</v>
      </c>
      <c r="AS80" s="21" t="n">
        <v>0</v>
      </c>
      <c r="AT80" s="24" t="n">
        <v>-2333333.33333333</v>
      </c>
      <c r="AU80" s="24" t="n">
        <v>-1.42875459900524E-010</v>
      </c>
      <c r="AV80" s="24" t="n">
        <v>4666666666.66667</v>
      </c>
      <c r="AZ80" s="60"/>
      <c r="BA80" s="7"/>
      <c r="BB80" s="7"/>
      <c r="BC80" s="46"/>
      <c r="BD80" s="46"/>
      <c r="BE80" s="20"/>
    </row>
    <row r="81" customFormat="false" ht="15" hidden="false" customHeight="false" outlineLevel="0" collapsed="false">
      <c r="AJ81" s="11" t="n">
        <v>7</v>
      </c>
      <c r="AK81" s="21" t="n">
        <v>0</v>
      </c>
      <c r="AL81" s="21" t="n">
        <v>0</v>
      </c>
      <c r="AM81" s="21" t="n">
        <v>0</v>
      </c>
      <c r="AN81" s="17" t="n">
        <v>0</v>
      </c>
      <c r="AO81" s="17" t="n">
        <v>0</v>
      </c>
      <c r="AP81" s="21" t="n">
        <v>0</v>
      </c>
      <c r="AQ81" s="31" t="n">
        <v>328.125</v>
      </c>
      <c r="AR81" s="26" t="n">
        <v>3.21268866160695E-011</v>
      </c>
      <c r="AS81" s="26" t="n">
        <v>-656250</v>
      </c>
      <c r="AT81" s="26" t="n">
        <v>-3.2146978477618E-011</v>
      </c>
      <c r="AU81" s="31" t="n">
        <v>328.125</v>
      </c>
      <c r="AV81" s="31" t="n">
        <v>-656250</v>
      </c>
      <c r="AZ81" s="7"/>
      <c r="BB81" s="20"/>
      <c r="BE81" s="20"/>
      <c r="BK81" s="2"/>
    </row>
    <row r="82" customFormat="false" ht="15" hidden="false" customHeight="false" outlineLevel="0" collapsed="false">
      <c r="AJ82" s="11" t="n">
        <v>8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6" t="n">
        <v>3.21268866160695E-011</v>
      </c>
      <c r="AR82" s="31" t="n">
        <v>525000</v>
      </c>
      <c r="AS82" s="31" t="n">
        <v>4.01837230970225E-011</v>
      </c>
      <c r="AT82" s="31" t="n">
        <v>-525000</v>
      </c>
      <c r="AU82" s="31" t="n">
        <v>-2.00918615485432E-014</v>
      </c>
      <c r="AV82" s="31" t="n">
        <v>4.01837230970225E-011</v>
      </c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AJ83" s="11" t="n">
        <v>9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6" t="n">
        <v>-656250</v>
      </c>
      <c r="AR83" s="31" t="n">
        <v>4.01837230970225E-011</v>
      </c>
      <c r="AS83" s="31" t="n">
        <v>1750000000</v>
      </c>
      <c r="AT83" s="31" t="n">
        <v>0</v>
      </c>
      <c r="AU83" s="31" t="n">
        <v>-656250</v>
      </c>
      <c r="AV83" s="31" t="n">
        <v>875000000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1" t="n">
        <v>10</v>
      </c>
      <c r="AK84" s="21" t="n">
        <v>0</v>
      </c>
      <c r="AL84" s="21" t="n">
        <v>0</v>
      </c>
      <c r="AM84" s="21" t="n">
        <v>0</v>
      </c>
      <c r="AN84" s="24" t="n">
        <v>-4.28626379701574E-011</v>
      </c>
      <c r="AO84" s="24" t="n">
        <v>700000</v>
      </c>
      <c r="AP84" s="24" t="n">
        <v>0</v>
      </c>
      <c r="AQ84" s="26" t="n">
        <v>-328.125</v>
      </c>
      <c r="AR84" s="31" t="n">
        <v>-3.21268866160695E-011</v>
      </c>
      <c r="AS84" s="31" t="n">
        <v>656250</v>
      </c>
      <c r="AT84" s="43" t="n">
        <v>7.50096164477754E-011</v>
      </c>
      <c r="AU84" s="43" t="n">
        <v>-700328.125</v>
      </c>
      <c r="AV84" s="43" t="n">
        <v>656250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AJ85" s="11" t="n">
        <v>11</v>
      </c>
      <c r="AK85" s="21" t="n">
        <v>0</v>
      </c>
      <c r="AL85" s="21" t="n">
        <v>0</v>
      </c>
      <c r="AM85" s="21" t="n">
        <v>0</v>
      </c>
      <c r="AN85" s="16" t="n">
        <v>-777.777777777778</v>
      </c>
      <c r="AO85" s="16" t="n">
        <v>-4.76251533001749E-014</v>
      </c>
      <c r="AP85" s="24" t="n">
        <v>-2333333.33333333</v>
      </c>
      <c r="AQ85" s="31" t="n">
        <v>-3.21268866160695E-011</v>
      </c>
      <c r="AR85" s="31" t="n">
        <v>-525000</v>
      </c>
      <c r="AS85" s="31" t="n">
        <v>-4.01837230970225E-011</v>
      </c>
      <c r="AT85" s="43" t="n">
        <v>525777.777777778</v>
      </c>
      <c r="AU85" s="43" t="n">
        <v>6.7717014848732E-014</v>
      </c>
      <c r="AV85" s="43" t="n">
        <v>-2333333.33333333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AJ86" s="11" t="n">
        <v>12</v>
      </c>
      <c r="AK86" s="21" t="n">
        <v>0</v>
      </c>
      <c r="AL86" s="21" t="n">
        <v>0</v>
      </c>
      <c r="AM86" s="21" t="n">
        <v>0</v>
      </c>
      <c r="AN86" s="16" t="n">
        <v>2333333.33333333</v>
      </c>
      <c r="AO86" s="16" t="n">
        <v>1.42875459900524E-010</v>
      </c>
      <c r="AP86" s="24" t="n">
        <v>4666666666.66667</v>
      </c>
      <c r="AQ86" s="31" t="n">
        <v>-656250</v>
      </c>
      <c r="AR86" s="31" t="n">
        <v>4.01837230970225E-011</v>
      </c>
      <c r="AS86" s="31" t="n">
        <v>875000000</v>
      </c>
      <c r="AT86" s="43" t="n">
        <v>-2333333.33333333</v>
      </c>
      <c r="AU86" s="43" t="n">
        <v>-656250</v>
      </c>
      <c r="AV86" s="43" t="n">
        <v>11083333333.3333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5" hidden="false" customHeight="false" outlineLevel="0" collapsed="false">
      <c r="AJ88" s="2" t="s">
        <v>136</v>
      </c>
      <c r="AX88" s="1" t="s">
        <v>137</v>
      </c>
      <c r="AZ88" s="1" t="s">
        <v>138</v>
      </c>
      <c r="BB88" s="1" t="s">
        <v>139</v>
      </c>
    </row>
    <row r="89" customFormat="false" ht="15" hidden="false" customHeight="false" outlineLevel="0" collapsed="false">
      <c r="AJ89" s="10"/>
      <c r="AK89" s="11" t="n">
        <v>1</v>
      </c>
      <c r="AL89" s="11" t="n">
        <v>2</v>
      </c>
      <c r="AM89" s="11" t="n">
        <v>3</v>
      </c>
      <c r="AN89" s="11" t="n">
        <v>4</v>
      </c>
      <c r="AO89" s="11" t="n">
        <v>5</v>
      </c>
      <c r="AP89" s="11" t="n">
        <v>6</v>
      </c>
      <c r="AQ89" s="11" t="n">
        <v>7</v>
      </c>
      <c r="AR89" s="11" t="n">
        <v>8</v>
      </c>
      <c r="AS89" s="11" t="n">
        <v>9</v>
      </c>
      <c r="AT89" s="11" t="n">
        <v>10</v>
      </c>
      <c r="AU89" s="11" t="n">
        <v>11</v>
      </c>
      <c r="AV89" s="11" t="n">
        <v>12</v>
      </c>
    </row>
    <row r="90" customFormat="false" ht="15" hidden="false" customHeight="false" outlineLevel="0" collapsed="false">
      <c r="AJ90" s="11" t="n">
        <v>1</v>
      </c>
      <c r="AK90" s="12" t="n">
        <f aca="false" t="array" ref="AK90:AV101">MMULT(AK60:AV71,AK75:AV86)</f>
        <v>328.125</v>
      </c>
      <c r="AL90" s="12" t="n">
        <v>3.21268866160695E-011</v>
      </c>
      <c r="AM90" s="12" t="n">
        <v>-656250</v>
      </c>
      <c r="AN90" s="12" t="n">
        <v>-3.2146978477618E-011</v>
      </c>
      <c r="AO90" s="12" t="n">
        <v>328.125</v>
      </c>
      <c r="AP90" s="12" t="n">
        <v>-656250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X90" s="1" t="n">
        <v>0</v>
      </c>
      <c r="AZ90" s="13" t="n">
        <f aca="false" t="array" ref="AZ90:AZ101">MMULT(AK60:AV71,AZ43:AZ54)</f>
        <v>20000</v>
      </c>
      <c r="BB90" s="63" t="n">
        <f aca="false" t="array" ref="BB90:BB101">MMULT(AK90:AV101,AX90:AX101)-AZ90:AZ101</f>
        <v>-14283.8139746321</v>
      </c>
    </row>
    <row r="91" customFormat="false" ht="15" hidden="false" customHeight="false" outlineLevel="0" collapsed="false">
      <c r="AJ91" s="11" t="n">
        <v>2</v>
      </c>
      <c r="AK91" s="12" t="n">
        <v>3.21268866160695E-011</v>
      </c>
      <c r="AL91" s="12" t="n">
        <v>525000</v>
      </c>
      <c r="AM91" s="12" t="n">
        <v>4.01837230970225E-011</v>
      </c>
      <c r="AN91" s="12" t="n">
        <v>-525000</v>
      </c>
      <c r="AO91" s="12" t="n">
        <v>-2.00918615485432E-014</v>
      </c>
      <c r="AP91" s="12" t="n">
        <v>4.01837230970225E-011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X91" s="1" t="n">
        <v>0</v>
      </c>
      <c r="AZ91" s="13" t="n">
        <v>-1.22464679914735E-012</v>
      </c>
      <c r="BB91" s="63" t="n">
        <v>8.74631353182468E-013</v>
      </c>
    </row>
    <row r="92" customFormat="false" ht="15" hidden="false" customHeight="false" outlineLevel="0" collapsed="false">
      <c r="AJ92" s="11" t="n">
        <v>3</v>
      </c>
      <c r="AK92" s="12" t="n">
        <v>-656250</v>
      </c>
      <c r="AL92" s="12" t="n">
        <v>4.01837230970225E-011</v>
      </c>
      <c r="AM92" s="12" t="n">
        <v>1750000000</v>
      </c>
      <c r="AN92" s="12" t="n">
        <v>0</v>
      </c>
      <c r="AO92" s="12" t="n">
        <v>-656250</v>
      </c>
      <c r="AP92" s="12" t="n">
        <v>875000000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X92" s="162" t="n">
        <f aca="false">AT116</f>
        <v>-0.00653690088492456</v>
      </c>
      <c r="AZ92" s="13" t="n">
        <v>-13333333.3333333</v>
      </c>
      <c r="BB92" s="63" t="n">
        <v>0</v>
      </c>
    </row>
    <row r="93" customFormat="false" ht="15" hidden="false" customHeight="false" outlineLevel="0" collapsed="false">
      <c r="AJ93" s="11" t="n">
        <v>4</v>
      </c>
      <c r="AK93" s="12" t="n">
        <v>-3.2146978477618E-011</v>
      </c>
      <c r="AL93" s="12" t="n">
        <v>-525000</v>
      </c>
      <c r="AM93" s="12" t="n">
        <v>0</v>
      </c>
      <c r="AN93" s="39" t="n">
        <v>525777.777777778</v>
      </c>
      <c r="AO93" s="39" t="n">
        <v>-4.28150128168572E-011</v>
      </c>
      <c r="AP93" s="39" t="n">
        <v>2333333.33333333</v>
      </c>
      <c r="AQ93" s="17" t="n">
        <v>0</v>
      </c>
      <c r="AR93" s="21" t="n">
        <v>0</v>
      </c>
      <c r="AS93" s="21" t="n">
        <v>0</v>
      </c>
      <c r="AT93" s="24" t="n">
        <v>-777.777777777778</v>
      </c>
      <c r="AU93" s="16" t="n">
        <v>4.28150128168572E-011</v>
      </c>
      <c r="AV93" s="16" t="n">
        <v>2333333.33333333</v>
      </c>
      <c r="AX93" s="1" t="n">
        <v>0</v>
      </c>
      <c r="AZ93" s="13" t="n">
        <v>-30000</v>
      </c>
      <c r="BB93" s="63" t="n">
        <v>31525.588451671</v>
      </c>
    </row>
    <row r="94" customFormat="false" ht="15" hidden="false" customHeight="false" outlineLevel="0" collapsed="false">
      <c r="AJ94" s="11" t="n">
        <v>5</v>
      </c>
      <c r="AK94" s="12" t="n">
        <v>328.125</v>
      </c>
      <c r="AL94" s="12" t="n">
        <v>-2.00918615485432E-014</v>
      </c>
      <c r="AM94" s="12" t="n">
        <v>-656250</v>
      </c>
      <c r="AN94" s="39" t="n">
        <v>-4.28150128168572E-011</v>
      </c>
      <c r="AO94" s="39" t="n">
        <v>700328.125</v>
      </c>
      <c r="AP94" s="39" t="n">
        <v>-656250</v>
      </c>
      <c r="AQ94" s="17" t="n">
        <v>0</v>
      </c>
      <c r="AR94" s="21" t="n">
        <v>0</v>
      </c>
      <c r="AS94" s="21" t="n">
        <v>0</v>
      </c>
      <c r="AT94" s="24" t="n">
        <v>4.28150128168572E-011</v>
      </c>
      <c r="AU94" s="16" t="n">
        <v>-700000</v>
      </c>
      <c r="AV94" s="16" t="n">
        <v>1.42875459900524E-010</v>
      </c>
      <c r="AX94" s="162" t="n">
        <f aca="false">AT117</f>
        <v>-0.0367374086076685</v>
      </c>
      <c r="AZ94" s="13" t="n">
        <v>-20000</v>
      </c>
      <c r="BB94" s="63" t="n">
        <v>0</v>
      </c>
      <c r="BC94" s="56"/>
      <c r="BD94" s="56"/>
    </row>
    <row r="95" customFormat="false" ht="15" hidden="false" customHeight="false" outlineLevel="0" collapsed="false">
      <c r="AJ95" s="11" t="n">
        <v>6</v>
      </c>
      <c r="AK95" s="12" t="n">
        <v>-656250</v>
      </c>
      <c r="AL95" s="12" t="n">
        <v>4.01837230970225E-011</v>
      </c>
      <c r="AM95" s="12" t="n">
        <v>875000000</v>
      </c>
      <c r="AN95" s="39" t="n">
        <v>2333333.33333333</v>
      </c>
      <c r="AO95" s="39" t="n">
        <v>-656250</v>
      </c>
      <c r="AP95" s="39" t="n">
        <v>11083333333.3333</v>
      </c>
      <c r="AQ95" s="21" t="n">
        <v>0</v>
      </c>
      <c r="AR95" s="21" t="n">
        <v>0</v>
      </c>
      <c r="AS95" s="21" t="n">
        <v>0</v>
      </c>
      <c r="AT95" s="24" t="n">
        <v>-2333333.33333333</v>
      </c>
      <c r="AU95" s="24" t="n">
        <v>-1.42875459900524E-010</v>
      </c>
      <c r="AV95" s="24" t="n">
        <v>4666666666.66667</v>
      </c>
      <c r="AX95" s="162" t="n">
        <f aca="false">AT118</f>
        <v>-0.00219184652470184</v>
      </c>
      <c r="AZ95" s="13" t="n">
        <v>-16666666.6666667</v>
      </c>
      <c r="BB95" s="63" t="n">
        <v>0</v>
      </c>
    </row>
    <row r="96" customFormat="false" ht="15" hidden="false" customHeight="false" outlineLevel="0" collapsed="false">
      <c r="AJ96" s="11" t="n">
        <v>7</v>
      </c>
      <c r="AK96" s="21" t="n">
        <v>0</v>
      </c>
      <c r="AL96" s="21" t="n">
        <v>0</v>
      </c>
      <c r="AM96" s="21" t="n">
        <v>0</v>
      </c>
      <c r="AN96" s="17" t="n">
        <v>0</v>
      </c>
      <c r="AO96" s="17" t="n">
        <v>0</v>
      </c>
      <c r="AP96" s="21" t="n">
        <v>0</v>
      </c>
      <c r="AQ96" s="31" t="n">
        <v>328.125</v>
      </c>
      <c r="AR96" s="26" t="n">
        <v>3.21268866160695E-011</v>
      </c>
      <c r="AS96" s="26" t="n">
        <v>-656250</v>
      </c>
      <c r="AT96" s="26" t="n">
        <v>-3.2146978477618E-011</v>
      </c>
      <c r="AU96" s="31" t="n">
        <v>328.125</v>
      </c>
      <c r="AV96" s="31" t="n">
        <v>-656250</v>
      </c>
      <c r="AX96" s="1" t="n">
        <v>0</v>
      </c>
      <c r="AZ96" s="13" t="n">
        <v>-10000</v>
      </c>
      <c r="BB96" s="63" t="n">
        <v>6572.19665213855</v>
      </c>
    </row>
    <row r="97" customFormat="false" ht="15" hidden="false" customHeight="false" outlineLevel="0" collapsed="false">
      <c r="AJ97" s="11" t="n">
        <v>8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6" t="n">
        <v>3.21268866160695E-011</v>
      </c>
      <c r="AR97" s="31" t="n">
        <v>525000</v>
      </c>
      <c r="AS97" s="31" t="n">
        <v>4.01837230970225E-011</v>
      </c>
      <c r="AT97" s="31" t="n">
        <v>-525000</v>
      </c>
      <c r="AU97" s="31" t="n">
        <v>-2.00918615485432E-014</v>
      </c>
      <c r="AV97" s="31" t="n">
        <v>4.01837230970225E-011</v>
      </c>
      <c r="AX97" s="1" t="n">
        <v>0</v>
      </c>
      <c r="AZ97" s="13" t="n">
        <v>6.12323399573677E-013</v>
      </c>
      <c r="BB97" s="63" t="n">
        <v>28474.41154833</v>
      </c>
    </row>
    <row r="98" customFormat="false" ht="15" hidden="false" customHeight="false" outlineLevel="0" collapsed="false">
      <c r="AJ98" s="11" t="n">
        <v>9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6" t="n">
        <v>-656250</v>
      </c>
      <c r="AR98" s="31" t="n">
        <v>4.01837230970225E-011</v>
      </c>
      <c r="AS98" s="31" t="n">
        <v>1750000000</v>
      </c>
      <c r="AT98" s="31" t="n">
        <v>0</v>
      </c>
      <c r="AU98" s="31" t="n">
        <v>-656250</v>
      </c>
      <c r="AV98" s="31" t="n">
        <v>875000000</v>
      </c>
      <c r="AX98" s="162" t="n">
        <f aca="false">AT119</f>
        <v>0.00239572823183016</v>
      </c>
      <c r="AZ98" s="13" t="n">
        <v>6666666.66666667</v>
      </c>
      <c r="BB98" s="63" t="n">
        <v>0</v>
      </c>
    </row>
    <row r="99" customFormat="false" ht="15" hidden="false" customHeight="false" outlineLevel="0" collapsed="false">
      <c r="AJ99" s="11" t="n">
        <v>10</v>
      </c>
      <c r="AK99" s="21" t="n">
        <v>0</v>
      </c>
      <c r="AL99" s="21" t="n">
        <v>0</v>
      </c>
      <c r="AM99" s="21" t="n">
        <v>0</v>
      </c>
      <c r="AN99" s="24" t="n">
        <v>-777.777777777778</v>
      </c>
      <c r="AO99" s="24" t="n">
        <v>4.28150128168572E-011</v>
      </c>
      <c r="AP99" s="24" t="n">
        <v>-2333333.33333333</v>
      </c>
      <c r="AQ99" s="26" t="n">
        <v>-3.2146978477618E-011</v>
      </c>
      <c r="AR99" s="31" t="n">
        <v>-525000</v>
      </c>
      <c r="AS99" s="31" t="n">
        <v>0</v>
      </c>
      <c r="AT99" s="43" t="n">
        <v>525777.777777778</v>
      </c>
      <c r="AU99" s="43" t="n">
        <v>-4.28150128168572E-011</v>
      </c>
      <c r="AV99" s="43" t="n">
        <v>-2333333.33333333</v>
      </c>
      <c r="AX99" s="162" t="n">
        <f aca="false">AT120</f>
        <v>-0.0542369743777714</v>
      </c>
      <c r="AZ99" s="13" t="n">
        <v>-30000</v>
      </c>
      <c r="BB99" s="63" t="n">
        <v>-9.78616299107671E-010</v>
      </c>
    </row>
    <row r="100" customFormat="false" ht="15" hidden="false" customHeight="false" outlineLevel="0" collapsed="false">
      <c r="AJ100" s="11" t="n">
        <v>11</v>
      </c>
      <c r="AK100" s="21" t="n">
        <v>0</v>
      </c>
      <c r="AL100" s="21" t="n">
        <v>0</v>
      </c>
      <c r="AM100" s="21" t="n">
        <v>0</v>
      </c>
      <c r="AN100" s="16" t="n">
        <v>4.28150128168572E-011</v>
      </c>
      <c r="AO100" s="16" t="n">
        <v>-700000</v>
      </c>
      <c r="AP100" s="24" t="n">
        <v>-1.42875459900524E-010</v>
      </c>
      <c r="AQ100" s="31" t="n">
        <v>328.125</v>
      </c>
      <c r="AR100" s="31" t="n">
        <v>-2.00918615485432E-014</v>
      </c>
      <c r="AS100" s="31" t="n">
        <v>-656250</v>
      </c>
      <c r="AT100" s="43" t="n">
        <v>-4.28150128168572E-011</v>
      </c>
      <c r="AU100" s="43" t="n">
        <v>700328.125</v>
      </c>
      <c r="AV100" s="43" t="n">
        <v>-656250</v>
      </c>
      <c r="AX100" s="1" t="n">
        <v>0</v>
      </c>
      <c r="AZ100" s="13" t="n">
        <v>10000</v>
      </c>
      <c r="BB100" s="63" t="n">
        <v>12288.3826775065</v>
      </c>
    </row>
    <row r="101" customFormat="false" ht="15" hidden="false" customHeight="false" outlineLevel="0" collapsed="false">
      <c r="AJ101" s="11" t="n">
        <v>12</v>
      </c>
      <c r="AK101" s="21" t="n">
        <v>0</v>
      </c>
      <c r="AL101" s="21" t="n">
        <v>0</v>
      </c>
      <c r="AM101" s="21" t="n">
        <v>0</v>
      </c>
      <c r="AN101" s="16" t="n">
        <v>2333333.33333333</v>
      </c>
      <c r="AO101" s="16" t="n">
        <v>1.42875459900524E-010</v>
      </c>
      <c r="AP101" s="24" t="n">
        <v>4666666666.66667</v>
      </c>
      <c r="AQ101" s="31" t="n">
        <v>-656250</v>
      </c>
      <c r="AR101" s="31" t="n">
        <v>4.01837230970225E-011</v>
      </c>
      <c r="AS101" s="31" t="n">
        <v>875000000</v>
      </c>
      <c r="AT101" s="43" t="n">
        <v>-2333333.33333333</v>
      </c>
      <c r="AU101" s="43" t="n">
        <v>-656250</v>
      </c>
      <c r="AV101" s="43" t="n">
        <v>11083333333.3333</v>
      </c>
      <c r="AX101" s="162" t="n">
        <f aca="false">AT121</f>
        <v>0.00282759115538729</v>
      </c>
      <c r="AZ101" s="13" t="n">
        <v>23333333.3333333</v>
      </c>
      <c r="BB101" s="63" t="n">
        <v>0</v>
      </c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J103" s="2" t="s">
        <v>55</v>
      </c>
      <c r="AY103" s="7"/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J104" s="10"/>
      <c r="AK104" s="10" t="n">
        <v>3</v>
      </c>
      <c r="AL104" s="10" t="n">
        <v>5</v>
      </c>
      <c r="AM104" s="10" t="n">
        <v>6</v>
      </c>
      <c r="AN104" s="10" t="n">
        <v>9</v>
      </c>
      <c r="AO104" s="10" t="n">
        <v>10</v>
      </c>
      <c r="AP104" s="10" t="n">
        <v>12</v>
      </c>
      <c r="AQ104" s="7" t="s">
        <v>37</v>
      </c>
      <c r="AR104" s="10" t="s">
        <v>38</v>
      </c>
      <c r="AS104" s="7" t="s">
        <v>39</v>
      </c>
      <c r="AT104" s="4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J105" s="11" t="n">
        <v>3</v>
      </c>
      <c r="AK105" s="13" t="n">
        <f aca="false">AM92</f>
        <v>1750000000</v>
      </c>
      <c r="AL105" s="13" t="n">
        <f aca="false">AO92</f>
        <v>-656250</v>
      </c>
      <c r="AM105" s="13" t="n">
        <f aca="false">AP92</f>
        <v>875000000</v>
      </c>
      <c r="AN105" s="13" t="n">
        <f aca="false">AS92</f>
        <v>0</v>
      </c>
      <c r="AO105" s="13" t="n">
        <f aca="false">AT92</f>
        <v>0</v>
      </c>
      <c r="AP105" s="13" t="n">
        <f aca="false">AV92</f>
        <v>0</v>
      </c>
      <c r="AQ105" s="13"/>
      <c r="AR105" s="13" t="str">
        <f aca="false">AX45</f>
        <v>r13</v>
      </c>
      <c r="AS105" s="13"/>
      <c r="AT105" s="21"/>
      <c r="AV105" s="50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J106" s="11" t="n">
        <v>5</v>
      </c>
      <c r="AK106" s="13" t="n">
        <f aca="false">AM94</f>
        <v>-656250</v>
      </c>
      <c r="AL106" s="13" t="n">
        <f aca="false">AO94</f>
        <v>700328.125</v>
      </c>
      <c r="AM106" s="13" t="n">
        <f aca="false">AP94</f>
        <v>-656250</v>
      </c>
      <c r="AN106" s="13" t="n">
        <f aca="false">AS94</f>
        <v>0</v>
      </c>
      <c r="AO106" s="13" t="n">
        <f aca="false">AT94</f>
        <v>4.28150128168572E-011</v>
      </c>
      <c r="AP106" s="13" t="n">
        <f aca="false">AV94</f>
        <v>1.42875459900524E-010</v>
      </c>
      <c r="AQ106" s="13"/>
      <c r="AR106" s="13" t="s">
        <v>140</v>
      </c>
      <c r="AS106" s="13"/>
      <c r="AT106" s="21"/>
      <c r="AV106" s="5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J107" s="11" t="n">
        <v>6</v>
      </c>
      <c r="AK107" s="13" t="n">
        <f aca="false">AM95</f>
        <v>875000000</v>
      </c>
      <c r="AL107" s="13" t="n">
        <f aca="false">AO95</f>
        <v>-656250</v>
      </c>
      <c r="AM107" s="13" t="n">
        <f aca="false">AP95</f>
        <v>11083333333.3333</v>
      </c>
      <c r="AN107" s="13" t="n">
        <f aca="false">AS95</f>
        <v>0</v>
      </c>
      <c r="AO107" s="13" t="n">
        <f aca="false">AT95</f>
        <v>-2333333.33333333</v>
      </c>
      <c r="AP107" s="13" t="n">
        <f aca="false">AV95</f>
        <v>4666666666.66667</v>
      </c>
      <c r="AQ107" s="13"/>
      <c r="AR107" s="13" t="str">
        <f aca="false">AX48</f>
        <v>r23</v>
      </c>
      <c r="AS107" s="13"/>
      <c r="AT107" s="21"/>
      <c r="AV107" s="51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J108" s="11" t="n">
        <v>9</v>
      </c>
      <c r="AK108" s="13" t="n">
        <f aca="false">AM98</f>
        <v>0</v>
      </c>
      <c r="AL108" s="13" t="n">
        <f aca="false">AO98</f>
        <v>0</v>
      </c>
      <c r="AM108" s="13" t="n">
        <f aca="false">AP98</f>
        <v>0</v>
      </c>
      <c r="AN108" s="13" t="n">
        <f aca="false">AS98</f>
        <v>1750000000</v>
      </c>
      <c r="AO108" s="13" t="n">
        <f aca="false">AT98</f>
        <v>0</v>
      </c>
      <c r="AP108" s="13" t="n">
        <f aca="false">AV98</f>
        <v>875000000</v>
      </c>
      <c r="AQ108" s="13"/>
      <c r="AR108" s="13" t="str">
        <f aca="false">AX51</f>
        <v>r33</v>
      </c>
      <c r="AS108" s="13"/>
      <c r="AT108" s="21"/>
      <c r="AV108" s="5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J109" s="11" t="n">
        <v>10</v>
      </c>
      <c r="AK109" s="13" t="n">
        <f aca="false">AM99</f>
        <v>0</v>
      </c>
      <c r="AL109" s="13" t="n">
        <f aca="false">AO99</f>
        <v>4.28150128168572E-011</v>
      </c>
      <c r="AM109" s="13" t="n">
        <f aca="false">AP99</f>
        <v>-2333333.33333333</v>
      </c>
      <c r="AN109" s="13" t="n">
        <f aca="false">AS99</f>
        <v>0</v>
      </c>
      <c r="AO109" s="13" t="n">
        <f aca="false">AT99</f>
        <v>525777.777777778</v>
      </c>
      <c r="AP109" s="13" t="n">
        <f aca="false">AV99</f>
        <v>-2333333.33333333</v>
      </c>
      <c r="AR109" s="1" t="s">
        <v>141</v>
      </c>
      <c r="AT109" s="7"/>
      <c r="AV109" s="13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J110" s="11" t="n">
        <v>12</v>
      </c>
      <c r="AK110" s="13" t="n">
        <f aca="false">AM101</f>
        <v>0</v>
      </c>
      <c r="AL110" s="13" t="n">
        <f aca="false">AO101</f>
        <v>1.42875459900524E-010</v>
      </c>
      <c r="AM110" s="13" t="n">
        <f aca="false">AP101</f>
        <v>4666666666.66667</v>
      </c>
      <c r="AN110" s="13" t="n">
        <f aca="false">AS101</f>
        <v>875000000</v>
      </c>
      <c r="AO110" s="13" t="n">
        <f aca="false">AT101</f>
        <v>-2333333.33333333</v>
      </c>
      <c r="AP110" s="13" t="n">
        <f aca="false">AV101</f>
        <v>11083333333.3333</v>
      </c>
      <c r="AR110" s="1" t="str">
        <f aca="false">AX54</f>
        <v>r43</v>
      </c>
      <c r="AT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T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T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J113" s="10"/>
      <c r="AK113" s="10"/>
      <c r="AL113" s="10"/>
      <c r="AM113" s="10"/>
      <c r="AN113" s="10"/>
      <c r="AO113" s="10"/>
      <c r="AP113" s="10"/>
      <c r="AQ113" s="10"/>
      <c r="AR113" s="10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163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J115" s="10"/>
      <c r="AK115" s="10" t="n">
        <v>3</v>
      </c>
      <c r="AL115" s="10" t="n">
        <v>5</v>
      </c>
      <c r="AM115" s="10" t="n">
        <v>6</v>
      </c>
      <c r="AN115" s="10" t="n">
        <v>9</v>
      </c>
      <c r="AO115" s="10" t="n">
        <v>10</v>
      </c>
      <c r="AP115" s="10" t="n">
        <v>12</v>
      </c>
      <c r="AQ115" s="7" t="s">
        <v>37</v>
      </c>
      <c r="AR115" s="47" t="s">
        <v>10</v>
      </c>
      <c r="AS115" s="7" t="s">
        <v>39</v>
      </c>
      <c r="AT115" s="10" t="s">
        <v>38</v>
      </c>
      <c r="AZ115" s="7" t="s">
        <v>142</v>
      </c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AJ116" s="10" t="n">
        <v>3</v>
      </c>
      <c r="AK116" s="1" t="n">
        <f aca="false" t="array" ref="AK116:AP121">MINVERSE(AK105:AP110)</f>
        <v>6.00689763919317E-010</v>
      </c>
      <c r="AL116" s="1" t="n">
        <v>5.08401074255991E-010</v>
      </c>
      <c r="AM116" s="1" t="n">
        <v>-5.81410841757989E-011</v>
      </c>
      <c r="AN116" s="1" t="n">
        <v>-1.27273545725198E-011</v>
      </c>
      <c r="AO116" s="1" t="n">
        <v>-1.45057877355441E-010</v>
      </c>
      <c r="AP116" s="1" t="n">
        <v>2.54547091450395E-011</v>
      </c>
      <c r="AR116" s="13" t="n">
        <f aca="false">AZ92</f>
        <v>-13333333.3333333</v>
      </c>
      <c r="AT116" s="36" t="n">
        <f aca="false" t="array" ref="AT116:AT121">MMULT(AK116:AP121,AR116:AR121)</f>
        <v>-0.00653690088492456</v>
      </c>
      <c r="AU116" s="1" t="s">
        <v>78</v>
      </c>
      <c r="AV116" s="1" t="n">
        <f aca="false">1000*AT116</f>
        <v>-6.53690088492456</v>
      </c>
      <c r="AW116" s="1" t="s">
        <v>79</v>
      </c>
      <c r="AZ116" s="1" t="s">
        <v>143</v>
      </c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7" customFormat="false" ht="15" hidden="false" customHeight="false" outlineLevel="0" collapsed="false">
      <c r="AJ117" s="10" t="n">
        <v>5</v>
      </c>
      <c r="AK117" s="1" t="n">
        <v>5.08401074255991E-010</v>
      </c>
      <c r="AL117" s="13" t="n">
        <v>1.42842959074965E-006</v>
      </c>
      <c r="AM117" s="13" t="n">
        <v>5.45200445502529E-011</v>
      </c>
      <c r="AN117" s="1" t="n">
        <v>1.19346921051994E-011</v>
      </c>
      <c r="AO117" s="1" t="n">
        <v>1.36023640561366E-010</v>
      </c>
      <c r="AP117" s="1" t="n">
        <v>-2.38693842103989E-011</v>
      </c>
      <c r="AR117" s="13" t="n">
        <f aca="false">AZ94</f>
        <v>-20000</v>
      </c>
      <c r="AT117" s="36" t="n">
        <v>-0.0367374086076685</v>
      </c>
      <c r="AU117" s="1" t="s">
        <v>12</v>
      </c>
      <c r="AX117" s="1" t="s">
        <v>45</v>
      </c>
      <c r="AY117" s="1" t="n">
        <v>0</v>
      </c>
      <c r="AZ117" s="164" t="n">
        <f aca="false" t="array" ref="AZ117:AZ118">MMULT(BB63:BC64,AY117:AY118)</f>
        <v>0.0367374086076685</v>
      </c>
    </row>
    <row r="118" customFormat="false" ht="15" hidden="false" customHeight="false" outlineLevel="0" collapsed="false">
      <c r="B118" s="2"/>
      <c r="AF118" s="2"/>
      <c r="AJ118" s="10" t="n">
        <v>6</v>
      </c>
      <c r="AK118" s="1" t="n">
        <v>-5.81410841757989E-011</v>
      </c>
      <c r="AL118" s="13" t="n">
        <v>5.45200445502529E-011</v>
      </c>
      <c r="AM118" s="13" t="n">
        <v>1.1632305838501E-010</v>
      </c>
      <c r="AN118" s="1" t="n">
        <v>2.54636601641184E-011</v>
      </c>
      <c r="AO118" s="1" t="n">
        <v>2.90217772441303E-010</v>
      </c>
      <c r="AP118" s="1" t="n">
        <v>-5.09273203282368E-011</v>
      </c>
      <c r="AR118" s="13" t="n">
        <f aca="false">AZ95</f>
        <v>-16666666.6666667</v>
      </c>
      <c r="AT118" s="36" t="n">
        <v>-0.00219184652470184</v>
      </c>
      <c r="AU118" s="1" t="s">
        <v>78</v>
      </c>
      <c r="AV118" s="1" t="n">
        <f aca="false">1000*AT118</f>
        <v>-2.19184652470184</v>
      </c>
      <c r="AW118" s="1" t="s">
        <v>79</v>
      </c>
      <c r="AX118" s="1" t="s">
        <v>46</v>
      </c>
      <c r="AY118" s="36" t="n">
        <f aca="false">AT117</f>
        <v>-0.0367374086076685</v>
      </c>
      <c r="AZ118" s="164" t="n">
        <v>-2.24951749301748E-018</v>
      </c>
    </row>
    <row r="119" customFormat="false" ht="15" hidden="false" customHeight="false" outlineLevel="0" collapsed="false">
      <c r="E119" s="15"/>
      <c r="F119" s="9"/>
      <c r="V119" s="7"/>
      <c r="AJ119" s="10" t="n">
        <v>9</v>
      </c>
      <c r="AK119" s="1" t="n">
        <v>-1.27273545725198E-011</v>
      </c>
      <c r="AL119" s="1" t="n">
        <v>1.19346921051994E-011</v>
      </c>
      <c r="AM119" s="1" t="n">
        <v>2.54636601641184E-011</v>
      </c>
      <c r="AN119" s="1" t="n">
        <v>6.00508915512716E-010</v>
      </c>
      <c r="AO119" s="1" t="n">
        <v>-1.4510515386466E-010</v>
      </c>
      <c r="AP119" s="1" t="n">
        <v>-5.81606881682886E-011</v>
      </c>
      <c r="AR119" s="13" t="n">
        <f aca="false">AZ98</f>
        <v>6666666.66666667</v>
      </c>
      <c r="AT119" s="36" t="n">
        <v>0.00239572823183016</v>
      </c>
      <c r="AU119" s="1" t="s">
        <v>78</v>
      </c>
      <c r="AV119" s="1" t="n">
        <f aca="false">1000*AT119</f>
        <v>2.39572823183016</v>
      </c>
      <c r="AW119" s="1" t="s">
        <v>79</v>
      </c>
    </row>
    <row r="120" customFormat="false" ht="15" hidden="false" customHeight="false" outlineLevel="0" collapsed="false">
      <c r="E120" s="15"/>
      <c r="F120" s="9"/>
      <c r="V120" s="7"/>
      <c r="AJ120" s="10" t="n">
        <v>10</v>
      </c>
      <c r="AK120" s="1" t="n">
        <v>-1.45057877355456E-010</v>
      </c>
      <c r="AL120" s="1" t="n">
        <v>1.36023640561362E-010</v>
      </c>
      <c r="AM120" s="1" t="n">
        <v>2.90217772441327E-010</v>
      </c>
      <c r="AN120" s="1" t="n">
        <v>-1.45105153864619E-010</v>
      </c>
      <c r="AO120" s="1" t="n">
        <v>1.90452007389763E-006</v>
      </c>
      <c r="AP120" s="1" t="n">
        <v>2.90210307729238E-010</v>
      </c>
      <c r="AR120" s="13" t="n">
        <f aca="false">AZ99</f>
        <v>-30000</v>
      </c>
      <c r="AT120" s="36" t="n">
        <v>-0.0542369743777714</v>
      </c>
      <c r="AU120" s="1" t="s">
        <v>12</v>
      </c>
      <c r="AX120" s="1" t="s">
        <v>51</v>
      </c>
      <c r="AY120" s="36" t="n">
        <f aca="false">AT120</f>
        <v>-0.0542369743777714</v>
      </c>
      <c r="AZ120" s="164" t="n">
        <f aca="false" t="array" ref="AZ120:AZ121">MMULT(BH69:BI70,AY120:AY121)</f>
        <v>-3.32105685335874E-018</v>
      </c>
    </row>
    <row r="121" customFormat="false" ht="15" hidden="false" customHeight="false" outlineLevel="0" collapsed="false">
      <c r="E121" s="15"/>
      <c r="F121" s="9"/>
      <c r="V121" s="7"/>
      <c r="AJ121" s="10" t="n">
        <v>12</v>
      </c>
      <c r="AK121" s="1" t="n">
        <v>2.54547091450395E-011</v>
      </c>
      <c r="AL121" s="1" t="n">
        <v>-2.38693842103989E-011</v>
      </c>
      <c r="AM121" s="1" t="n">
        <v>-5.09273203282368E-011</v>
      </c>
      <c r="AN121" s="1" t="n">
        <v>-5.81606881682886E-011</v>
      </c>
      <c r="AO121" s="13" t="n">
        <v>2.90210307729321E-010</v>
      </c>
      <c r="AP121" s="1" t="n">
        <v>1.16321376336577E-010</v>
      </c>
      <c r="AR121" s="13" t="n">
        <f aca="false">AZ101</f>
        <v>23333333.3333333</v>
      </c>
      <c r="AT121" s="36" t="n">
        <v>0.00282759115538729</v>
      </c>
      <c r="AU121" s="1" t="s">
        <v>78</v>
      </c>
      <c r="AV121" s="1" t="n">
        <f aca="false">1000*AT121</f>
        <v>2.82759115538729</v>
      </c>
      <c r="AW121" s="1" t="s">
        <v>79</v>
      </c>
      <c r="AX121" s="1" t="s">
        <v>53</v>
      </c>
      <c r="AY121" s="1" t="n">
        <v>0</v>
      </c>
      <c r="AZ121" s="164" t="n">
        <v>-0.0542369743777714</v>
      </c>
      <c r="BB121" s="20"/>
      <c r="BE121" s="62"/>
    </row>
    <row r="122" customFormat="false" ht="15" hidden="false" customHeight="false" outlineLevel="0" collapsed="false">
      <c r="V122" s="7"/>
      <c r="AO122" s="13"/>
      <c r="AT122" s="36"/>
      <c r="AZ122" s="20"/>
      <c r="BB122" s="20"/>
      <c r="BE122" s="62"/>
    </row>
    <row r="123" customFormat="false" ht="15" hidden="false" customHeight="false" outlineLevel="0" collapsed="false">
      <c r="V123" s="7"/>
      <c r="AT123" s="36"/>
      <c r="AV123" s="1" t="n">
        <f aca="false">1000*AT123</f>
        <v>0</v>
      </c>
      <c r="AW123" s="1" t="s">
        <v>79</v>
      </c>
      <c r="AZ123" s="20"/>
      <c r="BB123" s="20"/>
      <c r="BE123" s="62"/>
    </row>
    <row r="124" customFormat="false" ht="15" hidden="false" customHeight="false" outlineLevel="0" collapsed="false">
      <c r="V124" s="7"/>
      <c r="AJ124" s="10"/>
      <c r="AK124" s="10"/>
      <c r="AL124" s="10"/>
      <c r="AM124" s="10"/>
      <c r="AN124" s="10"/>
      <c r="AO124" s="10"/>
      <c r="AP124" s="10"/>
      <c r="AQ124" s="10"/>
      <c r="AR124" s="10"/>
      <c r="AY124" s="7"/>
      <c r="AZ124" s="60"/>
      <c r="BB124" s="21"/>
      <c r="BE124" s="62"/>
    </row>
    <row r="125" customFormat="false" ht="15" hidden="false" customHeight="false" outlineLevel="0" collapsed="false">
      <c r="V125" s="7"/>
      <c r="AY125" s="7"/>
      <c r="AZ125" s="60"/>
      <c r="BB125" s="21"/>
      <c r="BE125" s="62"/>
    </row>
    <row r="126" customFormat="false" ht="15" hidden="false" customHeight="false" outlineLevel="0" collapsed="false">
      <c r="V126" s="7"/>
      <c r="AZ126" s="60"/>
      <c r="BB126" s="20"/>
      <c r="BE126" s="62"/>
    </row>
    <row r="127" customFormat="false" ht="15" hidden="false" customHeight="false" outlineLevel="0" collapsed="false">
      <c r="V127" s="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J128" s="1" t="s">
        <v>83</v>
      </c>
      <c r="AZ128" s="60"/>
      <c r="BB128" s="20"/>
      <c r="BE128" s="62"/>
    </row>
    <row r="129" customFormat="false" ht="12.75" hidden="false" customHeight="true" outlineLevel="0" collapsed="false">
      <c r="V129" s="7"/>
      <c r="AJ129" s="1" t="s">
        <v>84</v>
      </c>
      <c r="AT129" s="61" t="s">
        <v>85</v>
      </c>
      <c r="AZ129" s="60"/>
      <c r="BB129" s="20"/>
      <c r="BE129" s="62"/>
    </row>
    <row r="130" customFormat="false" ht="15" hidden="false" customHeight="false" outlineLevel="0" collapsed="false">
      <c r="V130" s="7"/>
      <c r="AJ130" s="10"/>
      <c r="AK130" s="10" t="n">
        <v>1</v>
      </c>
      <c r="AL130" s="10" t="n">
        <v>2</v>
      </c>
      <c r="AM130" s="10" t="n">
        <v>3</v>
      </c>
      <c r="AN130" s="10" t="n">
        <v>4</v>
      </c>
      <c r="AO130" s="10" t="n">
        <v>5</v>
      </c>
      <c r="AP130" s="10" t="n">
        <v>6</v>
      </c>
      <c r="AQ130" s="7" t="s">
        <v>37</v>
      </c>
      <c r="AR130" s="10" t="s">
        <v>86</v>
      </c>
      <c r="AS130" s="7" t="s">
        <v>87</v>
      </c>
      <c r="AT130" s="61"/>
      <c r="AU130" s="7" t="s">
        <v>39</v>
      </c>
      <c r="AV130" s="10" t="s">
        <v>88</v>
      </c>
      <c r="AZ130" s="60"/>
      <c r="BB130" s="20"/>
      <c r="BE130" s="62"/>
    </row>
    <row r="131" customFormat="false" ht="15" hidden="false" customHeight="false" outlineLevel="0" collapsed="false">
      <c r="V131" s="7"/>
      <c r="AJ131" s="10" t="n">
        <v>1</v>
      </c>
      <c r="AK131" s="13" t="n">
        <f aca="false">B28</f>
        <v>525000</v>
      </c>
      <c r="AL131" s="13" t="n">
        <f aca="false">C28</f>
        <v>0</v>
      </c>
      <c r="AM131" s="13" t="n">
        <f aca="false">D28</f>
        <v>0</v>
      </c>
      <c r="AN131" s="13" t="n">
        <f aca="false">E28</f>
        <v>-525000</v>
      </c>
      <c r="AO131" s="13" t="n">
        <f aca="false">F28</f>
        <v>0</v>
      </c>
      <c r="AP131" s="13" t="n">
        <f aca="false">G28</f>
        <v>0</v>
      </c>
      <c r="AR131" s="1" t="n">
        <f aca="false" t="array" ref="AR131:AR136">MMULT(B45:G50,BB43:BB48)</f>
        <v>0</v>
      </c>
      <c r="AT131" s="13" t="n">
        <f aca="false">I28</f>
        <v>-0</v>
      </c>
      <c r="AV131" s="13" t="e">
        <f aca="false" t="array" ref="AV131:AV136">MMULT(AK131:AP136,_xlfn.anchorarray(AR131))-AT131:AT136</f>
        <v>#NAME?</v>
      </c>
      <c r="AZ131" s="60"/>
      <c r="BB131" s="21"/>
      <c r="BE131" s="62"/>
    </row>
    <row r="132" customFormat="false" ht="15" hidden="false" customHeight="false" outlineLevel="0" collapsed="false">
      <c r="V132" s="7"/>
      <c r="AJ132" s="10" t="n">
        <v>2</v>
      </c>
      <c r="AK132" s="13" t="n">
        <f aca="false">B29</f>
        <v>0</v>
      </c>
      <c r="AL132" s="13" t="n">
        <f aca="false">C29</f>
        <v>328.125</v>
      </c>
      <c r="AM132" s="13" t="n">
        <f aca="false">D29</f>
        <v>656250</v>
      </c>
      <c r="AN132" s="13" t="n">
        <f aca="false">E29</f>
        <v>0</v>
      </c>
      <c r="AO132" s="13" t="n">
        <f aca="false">F29</f>
        <v>-328.125</v>
      </c>
      <c r="AP132" s="13" t="n">
        <f aca="false">G29</f>
        <v>656250</v>
      </c>
      <c r="AR132" s="1" t="n">
        <v>0</v>
      </c>
      <c r="AT132" s="13" t="n">
        <f aca="false">I29</f>
        <v>-20000</v>
      </c>
      <c r="AV132" s="1" t="e">
        <v>#NAME?</v>
      </c>
      <c r="AZ132" s="60"/>
      <c r="BB132" s="21"/>
      <c r="BE132" s="62"/>
    </row>
    <row r="133" customFormat="false" ht="15" hidden="false" customHeight="false" outlineLevel="0" collapsed="false">
      <c r="V133" s="7"/>
      <c r="AJ133" s="10" t="n">
        <v>3</v>
      </c>
      <c r="AK133" s="13" t="n">
        <f aca="false">B30</f>
        <v>0</v>
      </c>
      <c r="AL133" s="13" t="n">
        <f aca="false">C30</f>
        <v>656250</v>
      </c>
      <c r="AM133" s="13" t="n">
        <f aca="false">D30</f>
        <v>1750000000</v>
      </c>
      <c r="AN133" s="13" t="n">
        <f aca="false">E30</f>
        <v>0</v>
      </c>
      <c r="AO133" s="13" t="n">
        <f aca="false">F30</f>
        <v>-656250</v>
      </c>
      <c r="AP133" s="13" t="n">
        <f aca="false">G30</f>
        <v>875000000</v>
      </c>
      <c r="AR133" s="1" t="n">
        <v>-0.00653690088492456</v>
      </c>
      <c r="AT133" s="13" t="n">
        <f aca="false">I30</f>
        <v>-13333333.3333333</v>
      </c>
      <c r="AV133" s="1" t="e">
        <v>#NAME?</v>
      </c>
      <c r="AZ133" s="60"/>
      <c r="BB133" s="20"/>
      <c r="BE133" s="62"/>
    </row>
    <row r="134" customFormat="false" ht="15" hidden="false" customHeight="false" outlineLevel="0" collapsed="false">
      <c r="V134" s="7"/>
      <c r="AJ134" s="10" t="n">
        <v>4</v>
      </c>
      <c r="AK134" s="13" t="n">
        <f aca="false">B31</f>
        <v>-525000</v>
      </c>
      <c r="AL134" s="13" t="n">
        <f aca="false">C31</f>
        <v>0</v>
      </c>
      <c r="AM134" s="13" t="n">
        <f aca="false">D31</f>
        <v>0</v>
      </c>
      <c r="AN134" s="13" t="n">
        <f aca="false">E31</f>
        <v>525000</v>
      </c>
      <c r="AO134" s="13" t="n">
        <f aca="false">F31</f>
        <v>0</v>
      </c>
      <c r="AP134" s="13" t="n">
        <f aca="false">G31</f>
        <v>0</v>
      </c>
      <c r="AR134" s="1" t="n">
        <v>0</v>
      </c>
      <c r="AT134" s="13" t="n">
        <f aca="false">I31</f>
        <v>-0</v>
      </c>
      <c r="AV134" s="1" t="e">
        <v>#NAME?</v>
      </c>
      <c r="AZ134" s="60"/>
      <c r="BB134" s="20"/>
      <c r="BE134" s="62"/>
    </row>
    <row r="135" customFormat="false" ht="15" hidden="false" customHeight="false" outlineLevel="0" collapsed="false">
      <c r="V135" s="7"/>
      <c r="AJ135" s="10" t="n">
        <v>5</v>
      </c>
      <c r="AK135" s="13" t="n">
        <f aca="false">B32</f>
        <v>0</v>
      </c>
      <c r="AL135" s="13" t="n">
        <f aca="false">C32</f>
        <v>-328.125</v>
      </c>
      <c r="AM135" s="13" t="n">
        <f aca="false">D32</f>
        <v>-656250</v>
      </c>
      <c r="AN135" s="13" t="n">
        <f aca="false">E32</f>
        <v>0</v>
      </c>
      <c r="AO135" s="13" t="n">
        <f aca="false">F32</f>
        <v>328.125</v>
      </c>
      <c r="AP135" s="13" t="n">
        <f aca="false">G32</f>
        <v>-656250</v>
      </c>
      <c r="AR135" s="1" t="n">
        <v>-0.0367374086076685</v>
      </c>
      <c r="AT135" s="13" t="n">
        <f aca="false">I32</f>
        <v>-20000</v>
      </c>
      <c r="AV135" s="1" t="e">
        <v>#NAME?</v>
      </c>
    </row>
    <row r="136" customFormat="false" ht="15" hidden="false" customHeight="false" outlineLevel="0" collapsed="false">
      <c r="V136" s="7"/>
      <c r="AJ136" s="10" t="n">
        <v>6</v>
      </c>
      <c r="AK136" s="13" t="n">
        <f aca="false">B33</f>
        <v>0</v>
      </c>
      <c r="AL136" s="13" t="n">
        <f aca="false">C33</f>
        <v>656250</v>
      </c>
      <c r="AM136" s="13" t="n">
        <f aca="false">D33</f>
        <v>875000000</v>
      </c>
      <c r="AN136" s="13" t="n">
        <f aca="false">E33</f>
        <v>0</v>
      </c>
      <c r="AO136" s="13" t="n">
        <f aca="false">F33</f>
        <v>-656250</v>
      </c>
      <c r="AP136" s="13" t="n">
        <f aca="false">G33</f>
        <v>1750000000</v>
      </c>
      <c r="AR136" s="1" t="n">
        <v>-0.00219184652470184</v>
      </c>
      <c r="AT136" s="13" t="n">
        <f aca="false">I33</f>
        <v>13333333.3333333</v>
      </c>
      <c r="AV136" s="1" t="e">
        <v>#NAME?</v>
      </c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mergeCells count="1">
    <mergeCell ref="AT129:AT130"/>
  </mergeCells>
  <conditionalFormatting sqref="AZ43:AZ54 AZ90:AZ101">
    <cfRule type="expression" priority="2" aboveAverage="0" equalAverage="0" bottom="0" percent="0" rank="0" text="" dxfId="18">
      <formula>ABS(AZ43)&lt;0.1</formula>
    </cfRule>
  </conditionalFormatting>
  <conditionalFormatting sqref="AK43:AV54 AK60:AV71 AK75:AV86 AK90:AV101">
    <cfRule type="expression" priority="3" aboveAverage="0" equalAverage="0" bottom="0" percent="0" rank="0" text="" dxfId="19">
      <formula>ABS(AK43)&lt;0.1</formula>
    </cfRule>
  </conditionalFormatting>
  <conditionalFormatting sqref="BR166:BR168">
    <cfRule type="cellIs" priority="4" operator="equal" aboveAverage="0" equalAverage="0" bottom="0" percent="0" rank="0" text="" dxfId="20">
      <formula>"VIRHE!"</formula>
    </cfRule>
    <cfRule type="cellIs" priority="5" operator="equal" aboveAverage="0" equalAverage="0" bottom="0" percent="0" rank="0" text="" dxfId="21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M37" activeCellId="0" sqref="M37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3"/>
    <col collapsed="false" customWidth="true" hidden="false" outlineLevel="0" max="5" min="5" style="1" width="9.42"/>
    <col collapsed="false" customWidth="true" hidden="false" outlineLevel="0" max="7" min="6" style="1" width="9.3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3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3"/>
    <col collapsed="false" customWidth="false" hidden="false" outlineLevel="0" max="18" min="18" style="1" width="9.14"/>
    <col collapsed="false" customWidth="true" hidden="false" outlineLevel="0" max="19" min="19" style="1" width="9.3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3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3"/>
    <col collapsed="false" customWidth="false" hidden="false" outlineLevel="0" max="28" min="28" style="1" width="9.14"/>
    <col collapsed="false" customWidth="true" hidden="false" outlineLevel="0" max="29" min="29" style="1" width="9.3"/>
    <col collapsed="false" customWidth="false" hidden="false" outlineLevel="0" max="35" min="30" style="1" width="9.14"/>
    <col collapsed="false" customWidth="true" hidden="false" outlineLevel="0" max="36" min="36" style="1" width="9.3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3"/>
    <col collapsed="false" customWidth="false" hidden="false" outlineLevel="0" max="49" min="49" style="1" width="9.14"/>
    <col collapsed="false" customWidth="true" hidden="false" outlineLevel="0" max="53" min="50" style="1" width="9.3"/>
    <col collapsed="false" customWidth="true" hidden="false" outlineLevel="0" max="54" min="54" style="1" width="12.42"/>
    <col collapsed="false" customWidth="true" hidden="false" outlineLevel="0" max="55" min="55" style="1" width="9.3"/>
    <col collapsed="false" customWidth="true" hidden="false" outlineLevel="0" max="56" min="56" style="1" width="11"/>
    <col collapsed="false" customWidth="true" hidden="false" outlineLevel="0" max="62" min="57" style="1" width="9.3"/>
    <col collapsed="false" customWidth="false" hidden="false" outlineLevel="0" max="101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3.8" hidden="false" customHeight="false" outlineLevel="0" collapsed="false">
      <c r="B3" s="2" t="s">
        <v>1</v>
      </c>
      <c r="E3" s="3"/>
      <c r="F3" s="4"/>
      <c r="L3" s="2" t="s">
        <v>6</v>
      </c>
      <c r="S3" s="157"/>
      <c r="Z3" s="4"/>
      <c r="AC3" s="1" t="s">
        <v>144</v>
      </c>
      <c r="AD3" s="1" t="s">
        <v>145</v>
      </c>
      <c r="AE3" s="1" t="s">
        <v>146</v>
      </c>
      <c r="AF3" s="1" t="s">
        <v>147</v>
      </c>
      <c r="AG3" s="1" t="s">
        <v>148</v>
      </c>
      <c r="AH3" s="1" t="s">
        <v>149</v>
      </c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C4" s="1" t="n">
        <v>1</v>
      </c>
      <c r="AD4" s="1" t="n">
        <v>2</v>
      </c>
      <c r="AE4" s="1" t="n">
        <v>3</v>
      </c>
      <c r="AF4" s="1" t="n">
        <v>5</v>
      </c>
      <c r="AG4" s="1" t="n">
        <v>6</v>
      </c>
      <c r="AH4" s="1" t="n">
        <v>7</v>
      </c>
      <c r="AZ4" s="2"/>
    </row>
    <row r="5" customFormat="false" ht="13.8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57" t="n">
        <v>0</v>
      </c>
      <c r="Q5" s="12" t="n">
        <f aca="false">F20</f>
        <v>-262335.9375</v>
      </c>
      <c r="R5" s="12" t="n">
        <f aca="false">G20</f>
        <v>-464038.825153672</v>
      </c>
      <c r="S5" s="165" t="n">
        <f aca="false">E20</f>
        <v>-262664.0625</v>
      </c>
      <c r="T5" s="21" t="n">
        <f aca="false">I20</f>
        <v>-14142.135623731</v>
      </c>
      <c r="U5" s="7"/>
      <c r="V5" s="7"/>
      <c r="W5" s="7"/>
      <c r="X5" s="0"/>
      <c r="Y5" s="0"/>
      <c r="Z5" s="0"/>
      <c r="AA5" s="0" t="s">
        <v>144</v>
      </c>
      <c r="AB5" s="0" t="n">
        <v>1</v>
      </c>
      <c r="AC5" s="0" t="n">
        <v>0</v>
      </c>
      <c r="AD5" s="0" t="n">
        <v>0</v>
      </c>
      <c r="AE5" s="0" t="n">
        <v>0</v>
      </c>
      <c r="AF5" s="0" t="n">
        <v>-262335.9375</v>
      </c>
      <c r="AG5" s="0" t="n">
        <v>0</v>
      </c>
      <c r="AH5" s="0" t="n">
        <v>-262664.0625</v>
      </c>
      <c r="AI5" s="0"/>
      <c r="AK5" s="1" t="n">
        <f aca="false" t="array" ref="AK5:AK7">AA14:AA16</f>
        <v>0</v>
      </c>
      <c r="AL5" s="0"/>
      <c r="AM5" s="1" t="n">
        <f aca="false" t="array" ref="AM5:AM10">MMULT(AC5:AH10,AK5:AK10)</f>
        <v>-371231.060122938</v>
      </c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3.8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57" t="n">
        <v>0</v>
      </c>
      <c r="Q6" s="12" t="n">
        <f aca="false">F21</f>
        <v>-262664.0625</v>
      </c>
      <c r="R6" s="12" t="n">
        <f aca="false">G21</f>
        <v>464038.825153672</v>
      </c>
      <c r="S6" s="165" t="n">
        <f aca="false">E21</f>
        <v>-262335.9375</v>
      </c>
      <c r="T6" s="21" t="n">
        <f aca="false">I21</f>
        <v>-14142.135623731</v>
      </c>
      <c r="U6" s="7"/>
      <c r="V6" s="7"/>
      <c r="W6" s="7"/>
      <c r="X6" s="0"/>
      <c r="Y6" s="0"/>
      <c r="Z6" s="0"/>
      <c r="AA6" s="0" t="s">
        <v>145</v>
      </c>
      <c r="AB6" s="0" t="n">
        <v>2</v>
      </c>
      <c r="AC6" s="0" t="n">
        <v>0</v>
      </c>
      <c r="AD6" s="0" t="n">
        <v>0</v>
      </c>
      <c r="AE6" s="0" t="n">
        <v>0</v>
      </c>
      <c r="AF6" s="0" t="n">
        <v>-262664.0625</v>
      </c>
      <c r="AG6" s="0" t="n">
        <v>0</v>
      </c>
      <c r="AH6" s="0" t="n">
        <v>-262335.9375</v>
      </c>
      <c r="AI6" s="0"/>
      <c r="AK6" s="1" t="n">
        <v>0</v>
      </c>
      <c r="AL6" s="0"/>
      <c r="AM6" s="1" t="n">
        <v>-371231.060122938</v>
      </c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3.8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57" t="n">
        <v>0</v>
      </c>
      <c r="Q7" s="12" t="n">
        <f aca="false">F22</f>
        <v>-464038.825153672</v>
      </c>
      <c r="R7" s="12" t="n">
        <f aca="false">G22</f>
        <v>875000000</v>
      </c>
      <c r="S7" s="165" t="n">
        <f aca="false">E22</f>
        <v>464038.825153672</v>
      </c>
      <c r="T7" s="21" t="n">
        <f aca="false">I22</f>
        <v>1.63286239886314E-009</v>
      </c>
      <c r="U7" s="7"/>
      <c r="V7" s="7"/>
      <c r="W7" s="41"/>
      <c r="X7" s="0"/>
      <c r="Y7" s="0"/>
      <c r="Z7" s="0"/>
      <c r="AA7" s="0" t="s">
        <v>146</v>
      </c>
      <c r="AB7" s="0" t="n">
        <v>3</v>
      </c>
      <c r="AC7" s="0" t="n">
        <v>0</v>
      </c>
      <c r="AD7" s="0" t="n">
        <v>0</v>
      </c>
      <c r="AE7" s="0" t="n">
        <v>0</v>
      </c>
      <c r="AF7" s="0" t="n">
        <v>-464038.825153672</v>
      </c>
      <c r="AG7" s="0" t="n">
        <v>0</v>
      </c>
      <c r="AH7" s="0" t="n">
        <v>464038.825153672</v>
      </c>
      <c r="AI7" s="0"/>
      <c r="AK7" s="1" t="n">
        <v>0</v>
      </c>
      <c r="AL7" s="0"/>
      <c r="AM7" s="1" t="n">
        <v>0</v>
      </c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3.8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57" t="n">
        <v>0</v>
      </c>
      <c r="N8" s="157" t="n">
        <v>0</v>
      </c>
      <c r="O8" s="157" t="n">
        <v>0</v>
      </c>
      <c r="P8" s="157" t="n">
        <v>0</v>
      </c>
      <c r="Q8" s="157" t="n">
        <v>0</v>
      </c>
      <c r="R8" s="157" t="n">
        <v>0</v>
      </c>
      <c r="S8" s="157" t="n">
        <v>0</v>
      </c>
      <c r="T8" s="157"/>
      <c r="U8" s="7"/>
      <c r="V8" s="7"/>
      <c r="W8" s="7"/>
      <c r="X8" s="0"/>
      <c r="Y8" s="0"/>
      <c r="Z8" s="0"/>
      <c r="AA8" s="0" t="s">
        <v>147</v>
      </c>
      <c r="AB8" s="0" t="n">
        <v>4</v>
      </c>
      <c r="AC8" s="0" t="n">
        <v>0</v>
      </c>
      <c r="AD8" s="0" t="n">
        <v>0</v>
      </c>
      <c r="AE8" s="0" t="n">
        <v>0</v>
      </c>
      <c r="AF8" s="0" t="n">
        <v>262664.0625</v>
      </c>
      <c r="AG8" s="0" t="n">
        <v>0</v>
      </c>
      <c r="AH8" s="0" t="n">
        <v>262335.9375</v>
      </c>
      <c r="AI8" s="0"/>
      <c r="AJ8" s="1" t="s">
        <v>9</v>
      </c>
      <c r="AK8" s="1" t="n">
        <f aca="false" t="array" ref="AK8:AK10">AA18:AA20</f>
        <v>0.707106781186548</v>
      </c>
      <c r="AL8" s="0"/>
      <c r="AM8" s="1" t="n">
        <v>371231.060122938</v>
      </c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3.8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57" t="n">
        <v>0</v>
      </c>
      <c r="Q9" s="12" t="n">
        <f aca="false">F24</f>
        <v>262664.0625</v>
      </c>
      <c r="R9" s="12" t="n">
        <f aca="false">G24</f>
        <v>-464038.825153672</v>
      </c>
      <c r="S9" s="165" t="n">
        <f aca="false">E24</f>
        <v>262335.9375</v>
      </c>
      <c r="T9" s="21" t="n">
        <f aca="false">I24</f>
        <v>-14142.135623731</v>
      </c>
      <c r="U9" s="7"/>
      <c r="V9" s="7"/>
      <c r="W9" s="7"/>
      <c r="X9" s="0"/>
      <c r="Y9" s="0"/>
      <c r="Z9" s="0"/>
      <c r="AA9" s="0" t="s">
        <v>148</v>
      </c>
      <c r="AB9" s="0" t="n">
        <v>5</v>
      </c>
      <c r="AC9" s="0" t="n">
        <v>0</v>
      </c>
      <c r="AD9" s="0" t="n">
        <v>0</v>
      </c>
      <c r="AE9" s="0" t="n">
        <v>0</v>
      </c>
      <c r="AF9" s="0" t="n">
        <v>-464038.825153672</v>
      </c>
      <c r="AG9" s="0" t="n">
        <v>0</v>
      </c>
      <c r="AH9" s="0" t="n">
        <v>464038.825153672</v>
      </c>
      <c r="AI9" s="0"/>
      <c r="AK9" s="1" t="n">
        <v>0</v>
      </c>
      <c r="AL9" s="0"/>
      <c r="AM9" s="1" t="n">
        <v>0</v>
      </c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3.8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57" t="n">
        <v>0</v>
      </c>
      <c r="Q10" s="12" t="n">
        <f aca="false">F25</f>
        <v>-464038.825153672</v>
      </c>
      <c r="R10" s="12" t="n">
        <f aca="false">G25</f>
        <v>1750000000</v>
      </c>
      <c r="S10" s="165" t="n">
        <f aca="false">E25</f>
        <v>464038.825153672</v>
      </c>
      <c r="T10" s="21" t="n">
        <f aca="false">I25</f>
        <v>-1.63286239886314E-009</v>
      </c>
      <c r="U10" s="7"/>
      <c r="V10" s="7"/>
      <c r="W10" s="7"/>
      <c r="X10" s="0"/>
      <c r="Y10" s="0"/>
      <c r="Z10" s="0"/>
      <c r="AA10" s="0" t="s">
        <v>149</v>
      </c>
      <c r="AB10" s="0" t="n">
        <v>6</v>
      </c>
      <c r="AC10" s="0" t="n">
        <v>0</v>
      </c>
      <c r="AD10" s="0" t="n">
        <v>0</v>
      </c>
      <c r="AE10" s="0" t="n">
        <v>0</v>
      </c>
      <c r="AF10" s="0" t="n">
        <v>262335.9375</v>
      </c>
      <c r="AG10" s="0" t="n">
        <v>0</v>
      </c>
      <c r="AH10" s="0" t="n">
        <v>262664.0625</v>
      </c>
      <c r="AI10" s="166"/>
      <c r="AJ10" s="1" t="s">
        <v>8</v>
      </c>
      <c r="AK10" s="1" t="n">
        <v>0.707106781186548</v>
      </c>
      <c r="AL10" s="0"/>
      <c r="AM10" s="1" t="n">
        <v>371231.060122938</v>
      </c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3.8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65" t="n">
        <f aca="false">B23</f>
        <v>-262664.0625</v>
      </c>
      <c r="N11" s="165" t="n">
        <f aca="false">C23</f>
        <v>-262335.9375</v>
      </c>
      <c r="O11" s="165" t="n">
        <f aca="false">D23</f>
        <v>464038.825153672</v>
      </c>
      <c r="P11" s="157" t="n">
        <v>0</v>
      </c>
      <c r="Q11" s="165" t="n">
        <f aca="false">F23</f>
        <v>262335.9375</v>
      </c>
      <c r="R11" s="165" t="n">
        <f aca="false">G23</f>
        <v>464038.825153672</v>
      </c>
      <c r="S11" s="165" t="n">
        <f aca="false">E23</f>
        <v>262664.0625</v>
      </c>
      <c r="T11" s="21" t="n">
        <f aca="false">I23</f>
        <v>-14142.135623731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3.8" hidden="false" customHeight="false" outlineLevel="0" collapsed="false"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3.8" hidden="false" customHeight="false" outlineLevel="0" collapsed="false">
      <c r="B13" s="2" t="s">
        <v>26</v>
      </c>
      <c r="L13" s="2" t="s">
        <v>150</v>
      </c>
      <c r="M13" s="7"/>
      <c r="N13" s="7" t="s">
        <v>110</v>
      </c>
      <c r="O13" s="159" t="n">
        <v>0</v>
      </c>
      <c r="P13" s="7" t="s">
        <v>111</v>
      </c>
      <c r="Q13" s="159" t="n">
        <v>0</v>
      </c>
      <c r="R13" s="7"/>
      <c r="S13" s="157"/>
      <c r="T13" s="7"/>
      <c r="U13" s="2" t="s">
        <v>151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67" t="n">
        <f aca="false">COS(RADIANS(O13))</f>
        <v>1</v>
      </c>
      <c r="N14" s="167" t="n">
        <f aca="false">SIN(RADIANS(O13))</f>
        <v>0</v>
      </c>
      <c r="O14" s="167" t="n">
        <v>0</v>
      </c>
      <c r="P14" s="167" t="n">
        <v>0</v>
      </c>
      <c r="Q14" s="167" t="n">
        <v>0</v>
      </c>
      <c r="R14" s="167" t="n">
        <v>0</v>
      </c>
      <c r="S14" s="167" t="n">
        <v>0</v>
      </c>
      <c r="T14" s="7"/>
      <c r="U14" s="167" t="n">
        <f aca="false" t="array" ref="U14:AA20">TRANSPOSE(M14:S20)</f>
        <v>1</v>
      </c>
      <c r="V14" s="167" t="n">
        <v>-0</v>
      </c>
      <c r="W14" s="167" t="n">
        <v>0</v>
      </c>
      <c r="X14" s="167" t="n">
        <v>0</v>
      </c>
      <c r="Y14" s="167" t="n">
        <v>0</v>
      </c>
      <c r="Z14" s="167" t="n">
        <v>0</v>
      </c>
      <c r="AA14" s="167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67" t="n">
        <f aca="false">-SIN(RADIANS(O13))</f>
        <v>-0</v>
      </c>
      <c r="N15" s="167" t="n">
        <f aca="false">COS(RADIANS(O13))</f>
        <v>1</v>
      </c>
      <c r="O15" s="167" t="n">
        <v>0</v>
      </c>
      <c r="P15" s="167" t="n">
        <v>0</v>
      </c>
      <c r="Q15" s="167" t="n">
        <v>0</v>
      </c>
      <c r="R15" s="167" t="n">
        <v>0</v>
      </c>
      <c r="S15" s="167" t="n">
        <v>0</v>
      </c>
      <c r="T15" s="7"/>
      <c r="U15" s="167" t="n">
        <v>0</v>
      </c>
      <c r="V15" s="167" t="n">
        <v>1</v>
      </c>
      <c r="W15" s="167" t="n">
        <v>0</v>
      </c>
      <c r="X15" s="167" t="n">
        <v>0</v>
      </c>
      <c r="Y15" s="167" t="n">
        <v>0</v>
      </c>
      <c r="Z15" s="167" t="n">
        <v>0</v>
      </c>
      <c r="AA15" s="167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3</v>
      </c>
      <c r="M16" s="167" t="n">
        <v>0</v>
      </c>
      <c r="N16" s="167" t="n">
        <v>0</v>
      </c>
      <c r="O16" s="167" t="n">
        <v>1</v>
      </c>
      <c r="P16" s="167" t="n">
        <v>0</v>
      </c>
      <c r="Q16" s="167" t="n">
        <v>0</v>
      </c>
      <c r="R16" s="167" t="n">
        <v>0</v>
      </c>
      <c r="S16" s="167" t="n">
        <v>0</v>
      </c>
      <c r="T16" s="7"/>
      <c r="U16" s="167" t="n">
        <v>0</v>
      </c>
      <c r="V16" s="167" t="n">
        <v>0</v>
      </c>
      <c r="W16" s="167" t="n">
        <v>1</v>
      </c>
      <c r="X16" s="167" t="n">
        <v>0</v>
      </c>
      <c r="Y16" s="167" t="n">
        <v>0</v>
      </c>
      <c r="Z16" s="167" t="n">
        <v>0</v>
      </c>
      <c r="AA16" s="167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4</v>
      </c>
      <c r="M17" s="167" t="n">
        <v>0</v>
      </c>
      <c r="N17" s="167" t="n">
        <v>0</v>
      </c>
      <c r="O17" s="167" t="n">
        <v>0</v>
      </c>
      <c r="P17" s="167" t="n">
        <f aca="false">COS(RADIANS(Q13))</f>
        <v>1</v>
      </c>
      <c r="Q17" s="167" t="n">
        <f aca="false">SIN(RADIANS(Q13))</f>
        <v>0</v>
      </c>
      <c r="R17" s="167" t="n">
        <v>0</v>
      </c>
      <c r="S17" s="167" t="n">
        <v>0</v>
      </c>
      <c r="U17" s="167" t="n">
        <v>0</v>
      </c>
      <c r="V17" s="167" t="n">
        <v>0</v>
      </c>
      <c r="W17" s="167" t="n">
        <v>0</v>
      </c>
      <c r="X17" s="167" t="n">
        <v>1</v>
      </c>
      <c r="Y17" s="167" t="n">
        <v>-0</v>
      </c>
      <c r="Z17" s="167" t="n">
        <v>0</v>
      </c>
      <c r="AA17" s="167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5</v>
      </c>
      <c r="M18" s="167" t="n">
        <v>0</v>
      </c>
      <c r="N18" s="167" t="n">
        <v>0</v>
      </c>
      <c r="O18" s="167" t="n">
        <v>0</v>
      </c>
      <c r="P18" s="167" t="n">
        <f aca="false">-SIN(RADIANS(Q13))</f>
        <v>-0</v>
      </c>
      <c r="Q18" s="167" t="n">
        <f aca="false">COS(RADIANS(Q13))</f>
        <v>1</v>
      </c>
      <c r="R18" s="167" t="n">
        <v>0</v>
      </c>
      <c r="S18" s="167" t="n">
        <v>0</v>
      </c>
      <c r="U18" s="167" t="n">
        <v>0</v>
      </c>
      <c r="V18" s="167" t="n">
        <v>0</v>
      </c>
      <c r="W18" s="167" t="n">
        <v>0</v>
      </c>
      <c r="X18" s="167" t="n">
        <v>0</v>
      </c>
      <c r="Y18" s="167" t="n">
        <v>1</v>
      </c>
      <c r="Z18" s="167" t="n">
        <v>0</v>
      </c>
      <c r="AA18" s="167" t="n">
        <v>0.707106781186548</v>
      </c>
      <c r="AK18" s="7"/>
      <c r="AL18" s="7" t="n">
        <v>1</v>
      </c>
      <c r="AM18" s="7" t="n">
        <v>2</v>
      </c>
      <c r="AN18" s="7" t="n">
        <v>3</v>
      </c>
      <c r="AO18" s="7" t="n">
        <v>4</v>
      </c>
      <c r="AP18" s="7" t="n">
        <v>5</v>
      </c>
      <c r="AQ18" s="7" t="n">
        <v>6</v>
      </c>
      <c r="AR18" s="7" t="n">
        <v>111</v>
      </c>
      <c r="AS18" s="7" t="n">
        <v>112</v>
      </c>
      <c r="AT18" s="7" t="n">
        <v>113</v>
      </c>
      <c r="AU18" s="7" t="n">
        <v>114</v>
      </c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3.8" hidden="false" customHeight="false" outlineLevel="0" collapsed="false">
      <c r="B19" s="2" t="s">
        <v>30</v>
      </c>
      <c r="I19" s="2" t="s">
        <v>31</v>
      </c>
      <c r="L19" s="11" t="n">
        <v>6</v>
      </c>
      <c r="M19" s="167" t="n">
        <v>0</v>
      </c>
      <c r="N19" s="167" t="n">
        <v>0</v>
      </c>
      <c r="O19" s="167" t="n">
        <v>0</v>
      </c>
      <c r="P19" s="167" t="n">
        <v>0</v>
      </c>
      <c r="Q19" s="167" t="n">
        <v>0</v>
      </c>
      <c r="R19" s="167" t="n">
        <v>1</v>
      </c>
      <c r="S19" s="167" t="n">
        <v>0</v>
      </c>
      <c r="U19" s="167" t="n">
        <v>0</v>
      </c>
      <c r="V19" s="167" t="n">
        <v>0</v>
      </c>
      <c r="W19" s="167" t="n">
        <v>0</v>
      </c>
      <c r="X19" s="167" t="n">
        <v>0</v>
      </c>
      <c r="Y19" s="167" t="n">
        <v>0</v>
      </c>
      <c r="Z19" s="167" t="n">
        <v>1</v>
      </c>
      <c r="AA19" s="167" t="n">
        <v>0</v>
      </c>
      <c r="AK19" s="7" t="n">
        <v>1</v>
      </c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3.8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11" t="n">
        <v>7</v>
      </c>
      <c r="M20" s="167" t="n">
        <v>0</v>
      </c>
      <c r="N20" s="167" t="n">
        <v>0</v>
      </c>
      <c r="O20" s="167" t="n">
        <v>0</v>
      </c>
      <c r="P20" s="167" t="n">
        <v>0</v>
      </c>
      <c r="Q20" s="167" t="n">
        <f aca="false">E5</f>
        <v>0.707106781186548</v>
      </c>
      <c r="R20" s="167" t="n">
        <v>0</v>
      </c>
      <c r="S20" s="167" t="n">
        <f aca="false">C5</f>
        <v>0.707106781186548</v>
      </c>
      <c r="U20" s="167" t="n">
        <v>0</v>
      </c>
      <c r="V20" s="167" t="n">
        <v>0</v>
      </c>
      <c r="W20" s="167" t="n">
        <v>0</v>
      </c>
      <c r="X20" s="167" t="n">
        <v>0</v>
      </c>
      <c r="Y20" s="167" t="n">
        <v>0</v>
      </c>
      <c r="Z20" s="167" t="n">
        <v>0</v>
      </c>
      <c r="AA20" s="167" t="n">
        <v>0.707106781186548</v>
      </c>
      <c r="AD20" s="2"/>
      <c r="AK20" s="7" t="n">
        <v>2</v>
      </c>
      <c r="AL20" s="0"/>
      <c r="AM20" s="7" t="s">
        <v>8</v>
      </c>
      <c r="AN20" s="7" t="n">
        <v>0</v>
      </c>
      <c r="AO20" s="0"/>
      <c r="AP20" s="0"/>
      <c r="AQ20" s="7" t="n">
        <v>0</v>
      </c>
      <c r="AR20" s="7" t="s">
        <v>152</v>
      </c>
      <c r="AS20" s="0"/>
      <c r="AT20" s="7" t="n">
        <v>0</v>
      </c>
      <c r="AU20" s="7" t="n">
        <v>0</v>
      </c>
    </row>
    <row r="21" customFormat="false" ht="13.8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K21" s="7" t="n">
        <v>3</v>
      </c>
      <c r="AL21" s="0"/>
      <c r="AM21" s="7" t="n">
        <v>0</v>
      </c>
      <c r="AN21" s="7" t="n">
        <v>1</v>
      </c>
      <c r="AO21" s="0"/>
      <c r="AP21" s="0"/>
      <c r="AQ21" s="7" t="n">
        <v>0</v>
      </c>
      <c r="AR21" s="7" t="n">
        <v>0</v>
      </c>
      <c r="AS21" s="0"/>
      <c r="AT21" s="7" t="n">
        <v>0</v>
      </c>
      <c r="AU21" s="7" t="n">
        <v>0</v>
      </c>
      <c r="AV21" s="7"/>
      <c r="AW21" s="7"/>
    </row>
    <row r="22" customFormat="false" ht="13.8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2" t="s">
        <v>36</v>
      </c>
      <c r="S22" s="157"/>
      <c r="T22" s="7"/>
      <c r="U22" s="7"/>
      <c r="V22" s="7"/>
      <c r="W22" s="7"/>
      <c r="X22" s="7"/>
      <c r="Y22" s="7"/>
      <c r="Z22" s="13"/>
      <c r="AK22" s="7" t="n">
        <v>4</v>
      </c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7"/>
      <c r="AW22" s="7"/>
    </row>
    <row r="23" customFormat="false" ht="13.8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 t="n">
        <v>5</v>
      </c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7"/>
      <c r="AW23" s="7"/>
    </row>
    <row r="24" customFormat="false" ht="13.8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1</v>
      </c>
      <c r="M24" s="167" t="n">
        <f aca="false" t="array" ref="M24:S30">M5:S11</f>
        <v>262664.0625</v>
      </c>
      <c r="N24" s="167" t="n">
        <v>262335.9375</v>
      </c>
      <c r="O24" s="167" t="n">
        <v>-464038.825153672</v>
      </c>
      <c r="P24" s="168" t="n">
        <v>0</v>
      </c>
      <c r="Q24" s="167" t="n">
        <v>-262335.9375</v>
      </c>
      <c r="R24" s="167" t="n">
        <v>-464038.825153672</v>
      </c>
      <c r="S24" s="169" t="n">
        <v>-262664.0625</v>
      </c>
      <c r="U24" s="7" t="n">
        <v>0</v>
      </c>
      <c r="W24" s="13" t="n">
        <f aca="false">T5</f>
        <v>-14142.135623731</v>
      </c>
      <c r="X24" s="1" t="s">
        <v>41</v>
      </c>
      <c r="Y24" s="36" t="n">
        <f aca="false" t="array" ref="Y24:Y25">U24:U25</f>
        <v>0</v>
      </c>
      <c r="Z24" s="7"/>
      <c r="AA24" s="7" t="n">
        <f aca="false" t="array" ref="AA24:AA29">MMULT(M24:R29,Y24:Y29)-W24:W29</f>
        <v>14142.135623731</v>
      </c>
      <c r="AK24" s="7" t="n">
        <v>6</v>
      </c>
      <c r="AL24" s="0"/>
      <c r="AM24" s="7" t="n">
        <v>0</v>
      </c>
      <c r="AN24" s="7" t="n">
        <v>0</v>
      </c>
      <c r="AO24" s="0"/>
      <c r="AP24" s="0"/>
      <c r="AQ24" s="7" t="n">
        <v>1</v>
      </c>
      <c r="AR24" s="7" t="n">
        <v>0</v>
      </c>
      <c r="AS24" s="0"/>
      <c r="AT24" s="7" t="n">
        <v>0</v>
      </c>
      <c r="AU24" s="7" t="n">
        <v>0</v>
      </c>
      <c r="AV24" s="7"/>
      <c r="AW24" s="7"/>
    </row>
    <row r="25" customFormat="false" ht="13.8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2</v>
      </c>
      <c r="M25" s="167" t="n">
        <v>262335.9375</v>
      </c>
      <c r="N25" s="167" t="n">
        <v>262664.0625</v>
      </c>
      <c r="O25" s="167" t="n">
        <v>464038.825153672</v>
      </c>
      <c r="P25" s="168" t="n">
        <v>0</v>
      </c>
      <c r="Q25" s="167" t="n">
        <v>-262664.0625</v>
      </c>
      <c r="R25" s="167" t="n">
        <v>464038.825153672</v>
      </c>
      <c r="S25" s="169" t="n">
        <v>-262335.9375</v>
      </c>
      <c r="U25" s="7" t="n">
        <v>0</v>
      </c>
      <c r="W25" s="13" t="n">
        <f aca="false">T6</f>
        <v>-14142.135623731</v>
      </c>
      <c r="X25" s="1" t="s">
        <v>43</v>
      </c>
      <c r="Y25" s="36" t="n">
        <v>0</v>
      </c>
      <c r="Z25" s="37"/>
      <c r="AA25" s="20" t="n">
        <v>14142.135623731</v>
      </c>
      <c r="AK25" s="7" t="n">
        <v>111</v>
      </c>
      <c r="AL25" s="170"/>
      <c r="AM25" s="7" t="s">
        <v>9</v>
      </c>
      <c r="AN25" s="7" t="n">
        <v>0</v>
      </c>
      <c r="AO25" s="0"/>
      <c r="AP25" s="0"/>
      <c r="AQ25" s="7" t="n">
        <v>0</v>
      </c>
      <c r="AR25" s="7" t="s">
        <v>8</v>
      </c>
      <c r="AS25" s="0"/>
      <c r="AT25" s="7" t="n">
        <v>0</v>
      </c>
      <c r="AU25" s="7" t="n">
        <v>0</v>
      </c>
      <c r="AV25" s="7"/>
      <c r="AW25" s="7"/>
    </row>
    <row r="26" customFormat="false" ht="13.8" hidden="false" customHeight="false" outlineLevel="0" collapsed="false">
      <c r="I26" s="13"/>
      <c r="L26" s="11" t="n">
        <v>3</v>
      </c>
      <c r="M26" s="167" t="n">
        <v>-464038.825153672</v>
      </c>
      <c r="N26" s="167" t="n">
        <v>464038.825153672</v>
      </c>
      <c r="O26" s="167" t="n">
        <v>1750000000</v>
      </c>
      <c r="P26" s="168" t="n">
        <v>0</v>
      </c>
      <c r="Q26" s="167" t="n">
        <v>-464038.825153672</v>
      </c>
      <c r="R26" s="167" t="n">
        <v>875000000</v>
      </c>
      <c r="S26" s="169" t="n">
        <v>464038.825153672</v>
      </c>
      <c r="U26" s="7" t="s">
        <v>44</v>
      </c>
      <c r="W26" s="13" t="n">
        <f aca="false">T7</f>
        <v>1.63286239886314E-009</v>
      </c>
      <c r="Y26" s="36" t="n">
        <f aca="false">V58</f>
        <v>1.86612845584359E-018</v>
      </c>
      <c r="Z26" s="37"/>
      <c r="AA26" s="20" t="n">
        <v>0</v>
      </c>
      <c r="AK26" s="7" t="n">
        <v>112</v>
      </c>
      <c r="AL26" s="7"/>
      <c r="AM26" s="0"/>
      <c r="AN26" s="0"/>
      <c r="AO26" s="0"/>
      <c r="AP26" s="0"/>
      <c r="AQ26" s="0"/>
      <c r="AR26" s="0"/>
      <c r="AS26" s="0"/>
      <c r="AT26" s="0"/>
      <c r="AU26" s="0"/>
      <c r="AV26" s="7"/>
      <c r="AW26" s="7"/>
      <c r="AY26" s="2"/>
    </row>
    <row r="27" customFormat="false" ht="13.8" hidden="false" customHeight="false" outlineLevel="0" collapsed="false">
      <c r="B27" s="2" t="s">
        <v>33</v>
      </c>
      <c r="I27" s="27" t="s">
        <v>34</v>
      </c>
      <c r="L27" s="11" t="n">
        <v>4</v>
      </c>
      <c r="M27" s="168" t="n">
        <v>0</v>
      </c>
      <c r="N27" s="168" t="n">
        <v>0</v>
      </c>
      <c r="O27" s="168" t="n">
        <v>0</v>
      </c>
      <c r="P27" s="168" t="n">
        <v>0</v>
      </c>
      <c r="Q27" s="168" t="n">
        <v>0</v>
      </c>
      <c r="R27" s="168" t="n">
        <v>0</v>
      </c>
      <c r="S27" s="171" t="n">
        <v>0</v>
      </c>
      <c r="U27" s="7" t="n">
        <v>0</v>
      </c>
      <c r="W27" s="0" t="n">
        <v>0</v>
      </c>
      <c r="X27" s="1" t="s">
        <v>113</v>
      </c>
      <c r="Y27" s="36" t="n">
        <v>0</v>
      </c>
      <c r="Z27" s="37"/>
      <c r="AA27" s="20" t="n">
        <v>0</v>
      </c>
      <c r="AK27" s="7" t="n">
        <v>113</v>
      </c>
      <c r="AL27" s="7"/>
      <c r="AM27" s="7" t="n">
        <v>0</v>
      </c>
      <c r="AN27" s="7" t="n">
        <v>0</v>
      </c>
      <c r="AO27" s="0"/>
      <c r="AP27" s="0"/>
      <c r="AQ27" s="7" t="n">
        <v>0</v>
      </c>
      <c r="AR27" s="7" t="n">
        <v>0</v>
      </c>
      <c r="AS27" s="0"/>
      <c r="AT27" s="7" t="s">
        <v>8</v>
      </c>
      <c r="AU27" s="7" t="s">
        <v>9</v>
      </c>
      <c r="AV27" s="7"/>
      <c r="AW27" s="7"/>
      <c r="AY27" s="2"/>
    </row>
    <row r="28" customFormat="false" ht="13.8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L28" s="11" t="n">
        <v>5</v>
      </c>
      <c r="M28" s="167" t="n">
        <v>-262335.9375</v>
      </c>
      <c r="N28" s="167" t="n">
        <v>-262664.0625</v>
      </c>
      <c r="O28" s="167" t="n">
        <v>-464038.825153672</v>
      </c>
      <c r="P28" s="168" t="n">
        <v>0</v>
      </c>
      <c r="Q28" s="167" t="n">
        <v>262664.0625</v>
      </c>
      <c r="R28" s="167" t="n">
        <v>-464038.825153672</v>
      </c>
      <c r="S28" s="169" t="n">
        <v>262335.9375</v>
      </c>
      <c r="U28" s="7" t="n">
        <v>0</v>
      </c>
      <c r="W28" s="13" t="n">
        <f aca="false">T9</f>
        <v>-14142.135623731</v>
      </c>
      <c r="X28" s="1" t="s">
        <v>114</v>
      </c>
      <c r="Y28" s="36" t="n">
        <v>0</v>
      </c>
      <c r="Z28" s="34"/>
      <c r="AA28" s="34" t="n">
        <v>14142.135623731</v>
      </c>
      <c r="AK28" s="7" t="n">
        <v>114</v>
      </c>
      <c r="AL28" s="7"/>
      <c r="AM28" s="7" t="n">
        <v>0</v>
      </c>
      <c r="AN28" s="7" t="n">
        <v>0</v>
      </c>
      <c r="AO28" s="0"/>
      <c r="AP28" s="0"/>
      <c r="AQ28" s="7" t="n">
        <v>0</v>
      </c>
      <c r="AR28" s="7" t="n">
        <v>0</v>
      </c>
      <c r="AS28" s="0"/>
      <c r="AT28" s="7" t="s">
        <v>152</v>
      </c>
      <c r="AU28" s="7" t="s">
        <v>8</v>
      </c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11" t="n">
        <v>6</v>
      </c>
      <c r="M29" s="167" t="n">
        <v>-464038.825153672</v>
      </c>
      <c r="N29" s="167" t="n">
        <v>464038.825153672</v>
      </c>
      <c r="O29" s="167" t="n">
        <v>875000000</v>
      </c>
      <c r="P29" s="168" t="n">
        <v>0</v>
      </c>
      <c r="Q29" s="167" t="n">
        <v>-464038.825153672</v>
      </c>
      <c r="R29" s="167" t="n">
        <v>1750000000</v>
      </c>
      <c r="S29" s="169" t="n">
        <v>464038.825153672</v>
      </c>
      <c r="U29" s="7" t="s">
        <v>115</v>
      </c>
      <c r="W29" s="13" t="n">
        <f aca="false">T10</f>
        <v>-1.63286239886314E-009</v>
      </c>
      <c r="Y29" s="40" t="n">
        <f aca="false">V59</f>
        <v>-1.86612845584359E-018</v>
      </c>
      <c r="Z29" s="37"/>
      <c r="AA29" s="20" t="n">
        <v>0</v>
      </c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1" t="n">
        <v>7</v>
      </c>
      <c r="M30" s="169" t="n">
        <v>-262664.0625</v>
      </c>
      <c r="N30" s="169" t="n">
        <v>-262335.9375</v>
      </c>
      <c r="O30" s="169" t="n">
        <v>464038.825153672</v>
      </c>
      <c r="P30" s="171" t="n">
        <v>0</v>
      </c>
      <c r="Q30" s="169" t="n">
        <v>262335.9375</v>
      </c>
      <c r="R30" s="169" t="n">
        <v>464038.825153672</v>
      </c>
      <c r="S30" s="169" t="n">
        <v>262664.0625</v>
      </c>
      <c r="U30" s="7" t="s">
        <v>153</v>
      </c>
      <c r="W30" s="13" t="n">
        <f aca="false">T11</f>
        <v>-14142.135623731</v>
      </c>
      <c r="Y30" s="36" t="n">
        <f aca="false">V60</f>
        <v>-0.0380952380952381</v>
      </c>
      <c r="Z30" s="37"/>
      <c r="AA30" s="20" t="n">
        <v>0</v>
      </c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3.8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3.8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2" t="s">
        <v>116</v>
      </c>
      <c r="S32" s="157"/>
      <c r="U32" s="7"/>
      <c r="W32" s="10" t="s">
        <v>117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1</v>
      </c>
      <c r="M34" s="165" t="n">
        <f aca="false" t="array" ref="M34:S40">MMULT(M24:S30,U14:AA20)</f>
        <v>262664.0625</v>
      </c>
      <c r="N34" s="165" t="n">
        <v>262335.9375</v>
      </c>
      <c r="O34" s="165" t="n">
        <v>-464038.825153672</v>
      </c>
      <c r="P34" s="165" t="n">
        <v>0</v>
      </c>
      <c r="Q34" s="165" t="n">
        <v>-262335.9375</v>
      </c>
      <c r="R34" s="165" t="n">
        <v>-464038.825153672</v>
      </c>
      <c r="S34" s="172" t="n">
        <v>-371231.060122938</v>
      </c>
      <c r="U34" s="7"/>
      <c r="W34" s="13" t="n">
        <f aca="false" t="array" ref="W34:W40">MMULT(M14:S20,W24:W30)</f>
        <v>-14142.135623731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2</v>
      </c>
      <c r="M35" s="165" t="n">
        <v>262335.9375</v>
      </c>
      <c r="N35" s="165" t="n">
        <v>262664.0625</v>
      </c>
      <c r="O35" s="165" t="n">
        <v>464038.825153672</v>
      </c>
      <c r="P35" s="165" t="n">
        <v>0</v>
      </c>
      <c r="Q35" s="165" t="n">
        <v>-262664.0625</v>
      </c>
      <c r="R35" s="165" t="n">
        <v>464038.825153672</v>
      </c>
      <c r="S35" s="172" t="n">
        <v>-371231.060122938</v>
      </c>
      <c r="W35" s="13" t="n">
        <v>-14142.135623731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3</v>
      </c>
      <c r="M36" s="165" t="n">
        <v>-464038.825153672</v>
      </c>
      <c r="N36" s="165" t="n">
        <v>464038.825153672</v>
      </c>
      <c r="O36" s="165" t="n">
        <v>1750000000</v>
      </c>
      <c r="P36" s="165" t="n">
        <v>0</v>
      </c>
      <c r="Q36" s="165" t="n">
        <v>-464038.825153672</v>
      </c>
      <c r="R36" s="165" t="n">
        <v>875000000</v>
      </c>
      <c r="S36" s="172" t="n">
        <v>0</v>
      </c>
      <c r="W36" s="13" t="n">
        <v>1.63286239886314E-009</v>
      </c>
      <c r="AC36" s="20"/>
      <c r="AE36" s="36"/>
      <c r="AF36" s="34"/>
      <c r="AG36" s="34"/>
    </row>
    <row r="37" customFormat="false" ht="12" hidden="false" customHeight="false" outlineLevel="0" collapsed="false">
      <c r="B37" s="28" t="n">
        <f aca="false">$B55*B28+$C55*B29+$D55*B30+$E55*B31+$F55*B32+$G55*B33</f>
        <v>371231.060122938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-371231.060122938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11" t="n">
        <v>4</v>
      </c>
      <c r="M37" s="165" t="n">
        <v>0</v>
      </c>
      <c r="N37" s="165" t="n">
        <v>0</v>
      </c>
      <c r="O37" s="165" t="n">
        <v>0</v>
      </c>
      <c r="P37" s="165" t="n">
        <v>0</v>
      </c>
      <c r="Q37" s="165" t="n">
        <v>0</v>
      </c>
      <c r="R37" s="165" t="n">
        <v>0</v>
      </c>
      <c r="S37" s="172" t="n">
        <v>0</v>
      </c>
      <c r="W37" s="13" t="n">
        <v>0</v>
      </c>
      <c r="AC37" s="20"/>
      <c r="AE37" s="7"/>
    </row>
    <row r="38" customFormat="false" ht="13.8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1" t="n">
        <v>5</v>
      </c>
      <c r="M38" s="165" t="n">
        <v>-262335.9375</v>
      </c>
      <c r="N38" s="165" t="n">
        <v>-262664.0625</v>
      </c>
      <c r="O38" s="165" t="n">
        <v>-464038.825153672</v>
      </c>
      <c r="P38" s="165" t="n">
        <v>0</v>
      </c>
      <c r="Q38" s="165" t="n">
        <v>262664.0625</v>
      </c>
      <c r="R38" s="165" t="n">
        <v>-464038.825153672</v>
      </c>
      <c r="S38" s="172" t="n">
        <v>371231.060122938</v>
      </c>
      <c r="W38" s="13" t="n">
        <v>-14142.135623731</v>
      </c>
      <c r="AC38" s="20"/>
      <c r="AD38" s="7" t="n">
        <f aca="false" t="array" ref="AD38:AF38">M20:O20</f>
        <v>0</v>
      </c>
      <c r="AE38" s="20" t="n">
        <v>0</v>
      </c>
      <c r="AF38" s="46" t="n">
        <v>0</v>
      </c>
      <c r="AG38" s="46" t="n">
        <f aca="false" t="array" ref="AG38:AI38">Q20:S20</f>
        <v>0.707106781186548</v>
      </c>
      <c r="AH38" s="1" t="n">
        <v>0</v>
      </c>
      <c r="AI38" s="1" t="n">
        <v>0.707106781186548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0"/>
    </row>
    <row r="39" customFormat="false" ht="13.8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6</v>
      </c>
      <c r="M39" s="165" t="n">
        <v>-464038.825153672</v>
      </c>
      <c r="N39" s="165" t="n">
        <v>464038.825153672</v>
      </c>
      <c r="O39" s="165" t="n">
        <v>875000000</v>
      </c>
      <c r="P39" s="165" t="n">
        <v>0</v>
      </c>
      <c r="Q39" s="165" t="n">
        <v>-464038.825153672</v>
      </c>
      <c r="R39" s="165" t="n">
        <v>1750000000</v>
      </c>
      <c r="S39" s="172" t="n">
        <v>0</v>
      </c>
      <c r="W39" s="13" t="n">
        <v>-1.63286239886314E-009</v>
      </c>
      <c r="AE39" s="20"/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0"/>
    </row>
    <row r="40" customFormat="false" ht="13.8" hidden="false" customHeight="false" outlineLevel="0" collapsed="false">
      <c r="B40" s="28" t="n">
        <f aca="false">$B58*B$28+$C58*B$29+$D58*B$30+$E58*B$31+$F58*B$32+$G58*B$33</f>
        <v>-371231.060122938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371231.060122938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72" t="n">
        <v>-262664.0625</v>
      </c>
      <c r="N40" s="172" t="n">
        <v>-262335.9375</v>
      </c>
      <c r="O40" s="172" t="n">
        <v>464038.825153672</v>
      </c>
      <c r="P40" s="172" t="n">
        <v>0</v>
      </c>
      <c r="Q40" s="172" t="n">
        <v>262335.9375</v>
      </c>
      <c r="R40" s="172" t="n">
        <v>464038.825153672</v>
      </c>
      <c r="S40" s="172" t="n">
        <v>371231.060122938</v>
      </c>
      <c r="T40" s="157"/>
      <c r="U40" s="157"/>
      <c r="V40" s="157"/>
      <c r="W40" s="158" t="n">
        <v>-20000</v>
      </c>
      <c r="X40" s="157"/>
      <c r="Y40" s="157"/>
      <c r="Z40" s="157"/>
      <c r="AA40" s="157"/>
      <c r="AD40" s="1" t="n">
        <f aca="false" t="array" ref="AD40:AI40">MMULT(AD38:AI38,AK38:AP43)</f>
        <v>-371231.060122938</v>
      </c>
      <c r="AE40" s="1" t="n">
        <v>-633731.060122938</v>
      </c>
      <c r="AF40" s="56" t="n">
        <v>0</v>
      </c>
      <c r="AG40" s="56" t="n">
        <v>371231.060122938</v>
      </c>
      <c r="AH40" s="1" t="n">
        <v>0</v>
      </c>
      <c r="AI40" s="1" t="n">
        <v>525000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0"/>
    </row>
    <row r="41" customFormat="false" ht="13.8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120</v>
      </c>
      <c r="S41" s="157"/>
      <c r="AD41" s="7"/>
      <c r="AE41" s="20"/>
      <c r="AF41" s="7"/>
      <c r="AG41" s="7"/>
      <c r="AK41" s="1" t="n">
        <v>-262335.9375</v>
      </c>
      <c r="AL41" s="1" t="n">
        <v>-448163.58285518</v>
      </c>
      <c r="AM41" s="1" t="n">
        <v>-464038.825153672</v>
      </c>
      <c r="AN41" s="1" t="n">
        <v>262664.0625</v>
      </c>
      <c r="AO41" s="1" t="n">
        <v>-464038.825153672</v>
      </c>
      <c r="AP41" s="1" t="n">
        <v>371231.060122938</v>
      </c>
      <c r="AQ41" s="0"/>
    </row>
    <row r="42" customFormat="false" ht="13.8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E42" s="20"/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0"/>
    </row>
    <row r="43" customFormat="false" ht="13.8" hidden="false" customHeight="false" outlineLevel="0" collapsed="false">
      <c r="H43" s="35"/>
      <c r="L43" s="11" t="n">
        <v>1</v>
      </c>
      <c r="M43" s="165" t="n">
        <f aca="false" t="array" ref="M43:S49">MMULT(M14:S20,M34:S40)</f>
        <v>262664.0625</v>
      </c>
      <c r="N43" s="165" t="n">
        <v>262335.9375</v>
      </c>
      <c r="O43" s="165" t="n">
        <v>-464038.825153672</v>
      </c>
      <c r="P43" s="165" t="n">
        <v>0</v>
      </c>
      <c r="Q43" s="165" t="n">
        <v>-262335.9375</v>
      </c>
      <c r="R43" s="165" t="n">
        <v>-464038.825153672</v>
      </c>
      <c r="S43" s="172" t="n">
        <v>-371231.060122938</v>
      </c>
      <c r="U43" s="1" t="n">
        <v>0</v>
      </c>
      <c r="W43" s="69"/>
      <c r="AE43" s="20"/>
      <c r="AK43" s="1" t="n">
        <v>-262664.0625</v>
      </c>
      <c r="AL43" s="1" t="n">
        <v>-448067.477267757</v>
      </c>
      <c r="AM43" s="1" t="n">
        <v>464038.825153672</v>
      </c>
      <c r="AN43" s="1" t="n">
        <v>262335.9375</v>
      </c>
      <c r="AO43" s="1" t="n">
        <v>464038.825153672</v>
      </c>
      <c r="AP43" s="1" t="n">
        <v>371231.060122938</v>
      </c>
      <c r="AQ43" s="0"/>
    </row>
    <row r="44" customFormat="false" ht="12" hidden="false" customHeight="false" outlineLevel="0" collapsed="false">
      <c r="B44" s="2" t="s">
        <v>42</v>
      </c>
      <c r="L44" s="11" t="n">
        <v>2</v>
      </c>
      <c r="M44" s="165" t="n">
        <v>262335.9375</v>
      </c>
      <c r="N44" s="165" t="n">
        <v>262664.0625</v>
      </c>
      <c r="O44" s="165" t="n">
        <v>464038.825153672</v>
      </c>
      <c r="P44" s="165" t="n">
        <v>0</v>
      </c>
      <c r="Q44" s="165" t="n">
        <v>-262664.0625</v>
      </c>
      <c r="R44" s="165" t="n">
        <v>464038.825153672</v>
      </c>
      <c r="S44" s="172" t="n">
        <v>-371231.060122938</v>
      </c>
      <c r="U44" s="1" t="n">
        <v>0</v>
      </c>
      <c r="W44" s="69"/>
    </row>
    <row r="45" customFormat="false" ht="13.8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65" t="n">
        <v>-464038.825153672</v>
      </c>
      <c r="N45" s="165" t="n">
        <v>464038.825153672</v>
      </c>
      <c r="O45" s="165" t="n">
        <v>1750000000</v>
      </c>
      <c r="P45" s="165" t="n">
        <v>0</v>
      </c>
      <c r="Q45" s="165" t="n">
        <v>-464038.825153672</v>
      </c>
      <c r="R45" s="165" t="n">
        <v>875000000</v>
      </c>
      <c r="S45" s="172" t="n">
        <v>0</v>
      </c>
      <c r="U45" s="36" t="n">
        <f aca="false">V58</f>
        <v>1.86612845584359E-018</v>
      </c>
      <c r="W45" s="69"/>
      <c r="AK45" s="0"/>
      <c r="AL45" s="0"/>
      <c r="AM45" s="0"/>
      <c r="AN45" s="0"/>
      <c r="AO45" s="0"/>
      <c r="AP45" s="0"/>
    </row>
    <row r="46" customFormat="false" ht="13.8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65" t="n">
        <v>0</v>
      </c>
      <c r="N46" s="165" t="n">
        <v>0</v>
      </c>
      <c r="O46" s="165" t="n">
        <v>0</v>
      </c>
      <c r="P46" s="165" t="n">
        <v>0</v>
      </c>
      <c r="Q46" s="165" t="n">
        <v>0</v>
      </c>
      <c r="R46" s="165" t="n">
        <v>0</v>
      </c>
      <c r="S46" s="172" t="n">
        <v>0</v>
      </c>
      <c r="U46" s="36" t="n">
        <f aca="false">V59</f>
        <v>-1.86612845584359E-018</v>
      </c>
      <c r="W46" s="69"/>
      <c r="AD46" s="0"/>
      <c r="AE46" s="0"/>
      <c r="AF46" s="0"/>
      <c r="AG46" s="0"/>
      <c r="AH46" s="0"/>
      <c r="AI46" s="0"/>
      <c r="AK46" s="0"/>
      <c r="AL46" s="0"/>
      <c r="AM46" s="0"/>
      <c r="AN46" s="0"/>
      <c r="AO46" s="0"/>
      <c r="AP46" s="0"/>
      <c r="CE46" s="2"/>
    </row>
    <row r="47" customFormat="false" ht="13.8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65" t="n">
        <v>-262335.9375</v>
      </c>
      <c r="N47" s="165" t="n">
        <v>-262664.0625</v>
      </c>
      <c r="O47" s="165" t="n">
        <v>-464038.825153672</v>
      </c>
      <c r="P47" s="165" t="n">
        <v>0</v>
      </c>
      <c r="Q47" s="165" t="n">
        <v>262664.0625</v>
      </c>
      <c r="R47" s="165" t="n">
        <v>-464038.825153672</v>
      </c>
      <c r="S47" s="172" t="n">
        <v>371231.060122938</v>
      </c>
      <c r="U47" s="1" t="n">
        <v>0</v>
      </c>
      <c r="W47" s="69"/>
      <c r="AK47" s="0"/>
      <c r="AL47" s="0"/>
      <c r="AM47" s="0"/>
      <c r="AN47" s="0"/>
      <c r="AO47" s="0"/>
      <c r="AP47" s="0"/>
      <c r="BS47" s="13"/>
      <c r="CE47" s="2"/>
    </row>
    <row r="48" customFormat="false" ht="13.8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65" t="n">
        <v>-464038.825153672</v>
      </c>
      <c r="N48" s="165" t="n">
        <v>464038.825153672</v>
      </c>
      <c r="O48" s="165" t="n">
        <v>875000000</v>
      </c>
      <c r="P48" s="165" t="n">
        <v>0</v>
      </c>
      <c r="Q48" s="165" t="n">
        <v>-464038.825153672</v>
      </c>
      <c r="R48" s="165" t="n">
        <v>1750000000</v>
      </c>
      <c r="S48" s="172" t="n">
        <v>0</v>
      </c>
      <c r="U48" s="1" t="n">
        <v>0</v>
      </c>
      <c r="W48" s="69"/>
      <c r="AK48" s="0"/>
      <c r="AL48" s="0"/>
      <c r="AM48" s="0"/>
      <c r="AN48" s="0"/>
      <c r="AO48" s="0"/>
      <c r="AP48" s="0"/>
    </row>
    <row r="49" customFormat="false" ht="13.8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72" t="n">
        <v>-371231.060122938</v>
      </c>
      <c r="N49" s="172" t="n">
        <v>-371231.060122938</v>
      </c>
      <c r="O49" s="172" t="n">
        <v>0</v>
      </c>
      <c r="P49" s="172" t="n">
        <v>0</v>
      </c>
      <c r="Q49" s="172" t="n">
        <v>371231.060122938</v>
      </c>
      <c r="R49" s="172" t="n">
        <v>0</v>
      </c>
      <c r="S49" s="172" t="n">
        <v>525000</v>
      </c>
      <c r="U49" s="36" t="n">
        <f aca="false">V60</f>
        <v>-0.0380952380952381</v>
      </c>
      <c r="AK49" s="0"/>
      <c r="AL49" s="0"/>
      <c r="AM49" s="0"/>
      <c r="AN49" s="0"/>
      <c r="AO49" s="0"/>
      <c r="AP49" s="0"/>
      <c r="CW49" s="2"/>
    </row>
    <row r="50" customFormat="false" ht="13.8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S50" s="157"/>
      <c r="AI50" s="2"/>
      <c r="AJ50" s="2"/>
      <c r="AK50" s="0"/>
      <c r="AL50" s="0"/>
      <c r="AM50" s="0"/>
      <c r="AN50" s="0"/>
      <c r="AO50" s="0"/>
      <c r="AP50" s="0"/>
      <c r="BK50" s="2"/>
      <c r="CW50" s="2"/>
    </row>
    <row r="51" customFormat="false" ht="13.8" hidden="false" customHeight="false" outlineLevel="0" collapsed="false">
      <c r="E51" s="7"/>
      <c r="F51" s="7"/>
      <c r="L51" s="10"/>
      <c r="M51" s="10" t="n">
        <v>3</v>
      </c>
      <c r="N51" s="10" t="n">
        <v>6</v>
      </c>
      <c r="O51" s="10" t="n">
        <v>7</v>
      </c>
      <c r="R51" s="7" t="s">
        <v>37</v>
      </c>
      <c r="S51" s="157"/>
      <c r="T51" s="10" t="s">
        <v>38</v>
      </c>
      <c r="U51" s="7" t="s">
        <v>39</v>
      </c>
      <c r="V51" s="47" t="s">
        <v>10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3.8" hidden="false" customHeight="false" outlineLevel="0" collapsed="false">
      <c r="L52" s="10" t="n">
        <v>3</v>
      </c>
      <c r="M52" s="173" t="n">
        <f aca="false">O45</f>
        <v>1750000000</v>
      </c>
      <c r="N52" s="173" t="n">
        <f aca="false">R45</f>
        <v>875000000</v>
      </c>
      <c r="O52" s="174" t="n">
        <f aca="false">S45</f>
        <v>0</v>
      </c>
      <c r="P52" s="13"/>
      <c r="Q52" s="13"/>
      <c r="R52" s="13"/>
      <c r="S52" s="157"/>
      <c r="T52" s="21" t="s">
        <v>44</v>
      </c>
      <c r="V52" s="50" t="n">
        <f aca="false">W36</f>
        <v>1.63286239886314E-009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3.8" hidden="false" customHeight="false" outlineLevel="0" collapsed="false">
      <c r="B53" s="2" t="s">
        <v>52</v>
      </c>
      <c r="I53" s="13"/>
      <c r="L53" s="10" t="n">
        <v>6</v>
      </c>
      <c r="M53" s="173" t="n">
        <f aca="false">O48</f>
        <v>875000000</v>
      </c>
      <c r="N53" s="173" t="n">
        <f aca="false">R48</f>
        <v>1750000000</v>
      </c>
      <c r="O53" s="174" t="n">
        <f aca="false">S48</f>
        <v>0</v>
      </c>
      <c r="P53" s="13"/>
      <c r="Q53" s="13"/>
      <c r="R53" s="13"/>
      <c r="S53" s="157"/>
      <c r="T53" s="21" t="s">
        <v>115</v>
      </c>
      <c r="V53" s="50" t="n">
        <f aca="false">W39</f>
        <v>-1.63286239886314E-009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0" t="n">
        <v>7</v>
      </c>
      <c r="M54" s="174" t="n">
        <f aca="false">O49</f>
        <v>0</v>
      </c>
      <c r="N54" s="174" t="n">
        <f aca="false">P49</f>
        <v>0</v>
      </c>
      <c r="O54" s="174" t="n">
        <f aca="false">S49</f>
        <v>525000</v>
      </c>
      <c r="P54" s="13"/>
      <c r="S54" s="157"/>
      <c r="T54" s="21" t="s">
        <v>153</v>
      </c>
      <c r="V54" s="13" t="n">
        <f aca="false">W40</f>
        <v>-20000</v>
      </c>
      <c r="AB54" s="7"/>
      <c r="AC54" s="20"/>
      <c r="AE54" s="20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3.8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S55" s="157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3.8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S56" s="157"/>
      <c r="V56" s="10" t="s">
        <v>117</v>
      </c>
      <c r="AC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3.8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/>
      <c r="M57" s="10" t="n">
        <v>3</v>
      </c>
      <c r="N57" s="10" t="n">
        <v>6</v>
      </c>
      <c r="O57" s="10" t="n">
        <v>7</v>
      </c>
      <c r="R57" s="7" t="s">
        <v>37</v>
      </c>
      <c r="S57" s="157"/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3.8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3</v>
      </c>
      <c r="M58" s="175" t="n">
        <f aca="false" t="array" ref="M58:O60">MINVERSE(M52:O54)</f>
        <v>7.61904761904762E-010</v>
      </c>
      <c r="N58" s="175" t="n">
        <v>-3.80952380952381E-010</v>
      </c>
      <c r="O58" s="175" t="n">
        <v>0</v>
      </c>
      <c r="S58" s="157"/>
      <c r="T58" s="13" t="n">
        <f aca="false">W36</f>
        <v>1.63286239886314E-009</v>
      </c>
      <c r="V58" s="36" t="n">
        <f aca="false" t="array" ref="V58:V60">MMULT(M58:O60,T58:T60)</f>
        <v>1.86612845584359E-018</v>
      </c>
      <c r="W58" s="1" t="s">
        <v>78</v>
      </c>
      <c r="X58" s="1" t="n">
        <f aca="false">1000*V58</f>
        <v>1.86612845584359E-015</v>
      </c>
      <c r="Y58" s="1" t="s">
        <v>79</v>
      </c>
      <c r="AC58" s="7"/>
      <c r="AE58" s="7"/>
      <c r="BE58" s="20"/>
      <c r="BK58" s="2"/>
    </row>
    <row r="59" customFormat="false" ht="13.8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6</v>
      </c>
      <c r="M59" s="175" t="n">
        <v>-3.80952380952381E-010</v>
      </c>
      <c r="N59" s="176" t="n">
        <v>7.61904761904762E-010</v>
      </c>
      <c r="O59" s="175" t="n">
        <v>0</v>
      </c>
      <c r="P59" s="13"/>
      <c r="S59" s="157"/>
      <c r="T59" s="13" t="n">
        <f aca="false">W39</f>
        <v>-1.63286239886314E-009</v>
      </c>
      <c r="V59" s="36" t="n">
        <v>-1.86612845584359E-018</v>
      </c>
      <c r="W59" s="1" t="s">
        <v>78</v>
      </c>
      <c r="X59" s="1" t="n">
        <f aca="false">1000*V59</f>
        <v>-1.86612845584359E-015</v>
      </c>
      <c r="Y59" s="1" t="s">
        <v>79</v>
      </c>
      <c r="AC59" s="60"/>
      <c r="AD59" s="7"/>
      <c r="AE59" s="7"/>
      <c r="AF59" s="46"/>
      <c r="AG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3.8" hidden="false" customHeight="false" outlineLevel="0" collapsed="false">
      <c r="L60" s="10" t="n">
        <v>7</v>
      </c>
      <c r="M60" s="175" t="n">
        <v>0</v>
      </c>
      <c r="N60" s="176" t="n">
        <v>0</v>
      </c>
      <c r="O60" s="175" t="n">
        <v>1.9047619047619E-006</v>
      </c>
      <c r="P60" s="13"/>
      <c r="S60" s="157"/>
      <c r="T60" s="13" t="n">
        <f aca="false">W40</f>
        <v>-20000</v>
      </c>
      <c r="V60" s="36" t="n">
        <v>-0.0380952380952381</v>
      </c>
      <c r="W60" s="1" t="s">
        <v>12</v>
      </c>
      <c r="X60" s="1" t="s">
        <v>154</v>
      </c>
      <c r="Y60" s="0"/>
      <c r="AC60" s="60"/>
      <c r="AD60" s="7"/>
      <c r="AE60" s="7"/>
      <c r="AF60" s="46"/>
      <c r="AG60" s="46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3.8" hidden="false" customHeight="false" outlineLevel="0" collapsed="false">
      <c r="S61" s="157"/>
      <c r="V61" s="36"/>
      <c r="AC61" s="7"/>
      <c r="AE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3.8" hidden="false" customHeight="false" outlineLevel="0" collapsed="false">
      <c r="S62" s="157"/>
      <c r="W62" s="13"/>
      <c r="Y62" s="36"/>
      <c r="AC62" s="7"/>
      <c r="AE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3.8" hidden="false" customHeight="false" outlineLevel="0" collapsed="false">
      <c r="L63" s="13" t="n">
        <f aca="false">M49</f>
        <v>-371231.060122938</v>
      </c>
      <c r="Q63" s="13"/>
      <c r="S63" s="157"/>
      <c r="V63" s="10" t="s">
        <v>122</v>
      </c>
      <c r="Y63" s="36"/>
      <c r="AC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3.8" hidden="false" customHeight="false" outlineLevel="0" collapsed="false">
      <c r="S64" s="157"/>
      <c r="V64" s="10" t="s">
        <v>38</v>
      </c>
      <c r="AC64" s="20"/>
      <c r="AE64" s="20"/>
      <c r="BR64" s="54"/>
    </row>
    <row r="65" customFormat="false" ht="13.8" hidden="false" customHeight="false" outlineLevel="0" collapsed="false">
      <c r="S65" s="157"/>
      <c r="U65" s="1" t="s">
        <v>102</v>
      </c>
      <c r="V65" s="1" t="n">
        <f aca="false">COS(RADIANS(Q13))*V59</f>
        <v>-1.86612845584359E-018</v>
      </c>
      <c r="W65" s="1" t="s">
        <v>12</v>
      </c>
      <c r="Y65" s="36" t="n">
        <f aca="false">V59</f>
        <v>-1.86612845584359E-018</v>
      </c>
      <c r="Z65" s="1" t="n">
        <f aca="false" t="array" ref="Z65:Z66">MMULT(X17:Y18,Y65:Y66)</f>
        <v>-1.86612845584359E-018</v>
      </c>
      <c r="AC65" s="7"/>
      <c r="AE65" s="7"/>
      <c r="BR65" s="54"/>
    </row>
    <row r="66" customFormat="false" ht="13.8" hidden="false" customHeight="false" outlineLevel="0" collapsed="false">
      <c r="S66" s="157"/>
      <c r="U66" s="1" t="s">
        <v>123</v>
      </c>
      <c r="V66" s="1" t="n">
        <f aca="false">SIN(RADIANS(Q13))*V59</f>
        <v>-0</v>
      </c>
      <c r="W66" s="1" t="s">
        <v>12</v>
      </c>
      <c r="Y66" s="1" t="n">
        <v>0</v>
      </c>
      <c r="Z66" s="1" t="n">
        <v>0</v>
      </c>
      <c r="AC66" s="7"/>
      <c r="AE66" s="7"/>
      <c r="BR66" s="54"/>
    </row>
    <row r="67" customFormat="false" ht="13.8" hidden="false" customHeight="false" outlineLevel="0" collapsed="false">
      <c r="I67" s="9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  <c r="AC67" s="7"/>
      <c r="AE67" s="7"/>
      <c r="BR67" s="54"/>
    </row>
    <row r="68" customFormat="false" ht="13.8" hidden="false" customHeight="false" outlineLevel="0" collapsed="false"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BR68" s="54"/>
    </row>
    <row r="69" customFormat="false" ht="12" hidden="false" customHeight="true" outlineLevel="0" collapsed="false"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BR69" s="54"/>
    </row>
    <row r="70" customFormat="false" ht="13.8" hidden="false" customHeight="false" outlineLevel="0" collapsed="false">
      <c r="E70" s="15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</row>
    <row r="71" customFormat="false" ht="13.8" hidden="false" customHeight="false" outlineLevel="0" collapsed="false"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0" t="s">
        <v>85</v>
      </c>
      <c r="X75" s="160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0"/>
      <c r="W76" s="7" t="s">
        <v>39</v>
      </c>
      <c r="X76" s="16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MMULT(B45:G50,Y24:Y29)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1.86612845584359E-018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-1.86612845584359E-018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12">
      <formula>"VIRHE!"</formula>
    </cfRule>
    <cfRule type="cellIs" priority="3" operator="equal" aboveAverage="0" equalAverage="0" bottom="0" percent="0" rank="0" text="" dxfId="13">
      <formula>"OK!"</formula>
    </cfRule>
  </conditionalFormatting>
  <conditionalFormatting sqref="M33:R33 M37:R39 M42:R44 M47:R51 M15:O20 U15:W20 X20:AA20 P52:R52 S18:S19 P20:S20">
    <cfRule type="expression" priority="4" aboveAverage="0" equalAverage="0" bottom="0" percent="0" rank="0" text="" dxfId="11">
      <formula>ABS(M16)&lt;0.1</formula>
    </cfRule>
  </conditionalFormatting>
  <conditionalFormatting sqref="X33:X34 X37:X39 X42:X44">
    <cfRule type="expression" priority="5" aboveAverage="0" equalAverage="0" bottom="0" percent="0" rank="0" text="" dxfId="10">
      <formula>ABS(Y35)&lt;0.1</formula>
    </cfRule>
  </conditionalFormatting>
  <conditionalFormatting sqref="P15:P19 X15:X19">
    <cfRule type="expression" priority="6" aboveAverage="0" equalAverage="0" bottom="0" percent="0" rank="0" text="" dxfId="11">
      <formula>ABS(P16)&lt;0.1</formula>
    </cfRule>
  </conditionalFormatting>
  <conditionalFormatting sqref="Q15:Q19 Y15:Y19">
    <cfRule type="expression" priority="7" aboveAverage="0" equalAverage="0" bottom="0" percent="0" rank="0" text="" dxfId="11">
      <formula>ABS(Q16)&lt;0.1</formula>
    </cfRule>
  </conditionalFormatting>
  <conditionalFormatting sqref="X26:X30">
    <cfRule type="expression" priority="8" aboveAverage="0" equalAverage="0" bottom="0" percent="0" rank="0" text="" dxfId="10">
      <formula>ABS(Y28)&lt;0.1</formula>
    </cfRule>
  </conditionalFormatting>
  <conditionalFormatting sqref="M26:R30">
    <cfRule type="expression" priority="9" aboveAverage="0" equalAverage="0" bottom="0" percent="0" rank="0" text="" dxfId="11">
      <formula>ABS(M27)&lt;0.1</formula>
    </cfRule>
  </conditionalFormatting>
  <conditionalFormatting sqref="O52">
    <cfRule type="expression" priority="10" aboveAverage="0" equalAverage="0" bottom="0" percent="0" rank="0" text="" dxfId="11">
      <formula>ABS(O53)&lt;0.1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2025-01-30T16:28:35Z</dcterms:created>
  <dc:creator>Ville Pekkala</dc:creator>
  <dc:description/>
  <dc:language>en-US</dc:language>
  <cp:lastModifiedBy/>
  <dcterms:modified xsi:type="dcterms:W3CDTF">2026-04-12T19:09:05Z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