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ämäTyökirja" defaultThemeVersion="202300"/>
  <mc:AlternateContent xmlns:mc="http://schemas.openxmlformats.org/markup-compatibility/2006">
    <mc:Choice Requires="x15">
      <x15ac:absPath xmlns:x15ac="http://schemas.microsoft.com/office/spreadsheetml/2010/11/ac" url="C:\0_Ohjelmointi\2_Rust\vefem\theory\"/>
    </mc:Choice>
  </mc:AlternateContent>
  <xr:revisionPtr revIDLastSave="0" documentId="13_ncr:1_{4F58154E-8FF7-4C85-A919-D1E2E8ED6AEC}" xr6:coauthVersionLast="47" xr6:coauthVersionMax="47" xr10:uidLastSave="{00000000-0000-0000-0000-000000000000}"/>
  <bookViews>
    <workbookView xWindow="-120" yWindow="-120" windowWidth="38640" windowHeight="21120" activeTab="5" xr2:uid="{27180542-B0D2-4BFE-946B-7857B24C93C8}"/>
  </bookViews>
  <sheets>
    <sheet name="Ilman vapautuksia" sheetId="1" r:id="rId1"/>
    <sheet name="Vapautuksilla" sheetId="2" r:id="rId2"/>
    <sheet name="Jousituet" sheetId="4" r:id="rId3"/>
    <sheet name="Lukkovoimat" sheetId="3" r:id="rId4"/>
    <sheet name="Tuki kierretty x" sheetId="5" r:id="rId5"/>
    <sheet name="Tuki kierretty y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2" i="7" l="1" a="1"/>
  <c r="X22" i="7" s="1"/>
  <c r="S48" i="7" a="1"/>
  <c r="S48" i="7" s="1"/>
  <c r="P82" i="7"/>
  <c r="M82" i="7"/>
  <c r="P81" i="7"/>
  <c r="M81" i="7"/>
  <c r="R80" i="7"/>
  <c r="Q80" i="7"/>
  <c r="O80" i="7"/>
  <c r="N80" i="7"/>
  <c r="P79" i="7"/>
  <c r="M79" i="7"/>
  <c r="P78" i="7"/>
  <c r="M78" i="7"/>
  <c r="R77" i="7"/>
  <c r="Q77" i="7"/>
  <c r="O77" i="7"/>
  <c r="N77" i="7"/>
  <c r="G59" i="7"/>
  <c r="E57" i="7"/>
  <c r="D56" i="7"/>
  <c r="C55" i="7"/>
  <c r="B55" i="7"/>
  <c r="G50" i="7"/>
  <c r="I39" i="7"/>
  <c r="I32" i="7" s="1"/>
  <c r="V81" i="7" s="1"/>
  <c r="I38" i="7"/>
  <c r="I28" i="7" s="1"/>
  <c r="E31" i="7"/>
  <c r="P80" i="7" s="1"/>
  <c r="B31" i="7"/>
  <c r="M80" i="7" s="1"/>
  <c r="E28" i="7"/>
  <c r="B28" i="7"/>
  <c r="M77" i="7" s="1"/>
  <c r="Q17" i="7"/>
  <c r="P17" i="7"/>
  <c r="Q16" i="7"/>
  <c r="P16" i="7"/>
  <c r="N14" i="7"/>
  <c r="M14" i="7"/>
  <c r="N13" i="7"/>
  <c r="M13" i="7"/>
  <c r="E10" i="7"/>
  <c r="E9" i="7"/>
  <c r="E11" i="7" s="1"/>
  <c r="E8" i="7"/>
  <c r="E7" i="7"/>
  <c r="E5" i="7"/>
  <c r="C54" i="7" s="1"/>
  <c r="C5" i="7"/>
  <c r="B54" i="7" s="1"/>
  <c r="V31" i="5" a="1"/>
  <c r="V31" i="5" s="1"/>
  <c r="Q17" i="5"/>
  <c r="Q16" i="5"/>
  <c r="P17" i="5"/>
  <c r="P16" i="5"/>
  <c r="N14" i="5"/>
  <c r="M14" i="5"/>
  <c r="N13" i="5"/>
  <c r="M13" i="5"/>
  <c r="I39" i="5"/>
  <c r="I33" i="5" s="1"/>
  <c r="V82" i="5" s="1"/>
  <c r="I38" i="5"/>
  <c r="I28" i="5" s="1"/>
  <c r="V77" i="5" s="1"/>
  <c r="AY6" i="2"/>
  <c r="S50" i="5"/>
  <c r="S49" i="5"/>
  <c r="S48" i="5"/>
  <c r="P82" i="5"/>
  <c r="M82" i="5"/>
  <c r="P81" i="5"/>
  <c r="M81" i="5"/>
  <c r="R80" i="5"/>
  <c r="Q80" i="5"/>
  <c r="O80" i="5"/>
  <c r="N80" i="5"/>
  <c r="P79" i="5"/>
  <c r="M79" i="5"/>
  <c r="P78" i="5"/>
  <c r="M78" i="5"/>
  <c r="R77" i="5"/>
  <c r="Q77" i="5"/>
  <c r="O77" i="5"/>
  <c r="N77" i="5"/>
  <c r="G59" i="5"/>
  <c r="D56" i="5"/>
  <c r="G50" i="5"/>
  <c r="X22" i="5" a="1"/>
  <c r="X22" i="5" s="1"/>
  <c r="E9" i="5"/>
  <c r="E10" i="5" s="1"/>
  <c r="E8" i="5"/>
  <c r="E7" i="5"/>
  <c r="E5" i="5"/>
  <c r="B55" i="5" s="1"/>
  <c r="C5" i="5"/>
  <c r="C55" i="5" s="1"/>
  <c r="AK87" i="1"/>
  <c r="AN87" i="1"/>
  <c r="AK88" i="1"/>
  <c r="AN88" i="1"/>
  <c r="AL89" i="1"/>
  <c r="AM89" i="1"/>
  <c r="AO89" i="1"/>
  <c r="AP89" i="1"/>
  <c r="AK90" i="1"/>
  <c r="AN90" i="1"/>
  <c r="AK91" i="1"/>
  <c r="AN91" i="1"/>
  <c r="AL86" i="1"/>
  <c r="AM86" i="1"/>
  <c r="AO86" i="1"/>
  <c r="AP86" i="1"/>
  <c r="T13" i="7" l="1" a="1"/>
  <c r="T13" i="7" s="1"/>
  <c r="I31" i="7"/>
  <c r="V80" i="7" s="1"/>
  <c r="I33" i="7"/>
  <c r="V82" i="7" s="1"/>
  <c r="I30" i="7"/>
  <c r="V79" i="7" s="1"/>
  <c r="G33" i="7"/>
  <c r="R82" i="7" s="1"/>
  <c r="F33" i="7"/>
  <c r="Q82" i="7" s="1"/>
  <c r="G30" i="7"/>
  <c r="R79" i="7" s="1"/>
  <c r="D33" i="7"/>
  <c r="O82" i="7" s="1"/>
  <c r="F30" i="7"/>
  <c r="Q79" i="7" s="1"/>
  <c r="C33" i="7"/>
  <c r="N82" i="7" s="1"/>
  <c r="D30" i="7"/>
  <c r="O79" i="7" s="1"/>
  <c r="G29" i="7"/>
  <c r="C32" i="7"/>
  <c r="N81" i="7" s="1"/>
  <c r="C29" i="7"/>
  <c r="C30" i="7"/>
  <c r="N79" i="7" s="1"/>
  <c r="G32" i="7"/>
  <c r="R81" i="7" s="1"/>
  <c r="F32" i="7"/>
  <c r="Q81" i="7" s="1"/>
  <c r="D32" i="7"/>
  <c r="O81" i="7" s="1"/>
  <c r="F29" i="7"/>
  <c r="F36" i="7" s="1"/>
  <c r="D29" i="7"/>
  <c r="D36" i="7" s="1"/>
  <c r="V77" i="7"/>
  <c r="B36" i="7"/>
  <c r="E36" i="7"/>
  <c r="E40" i="7"/>
  <c r="E41" i="7"/>
  <c r="B37" i="7"/>
  <c r="B45" i="7"/>
  <c r="I29" i="7"/>
  <c r="V78" i="7" s="1"/>
  <c r="E37" i="7"/>
  <c r="B46" i="7"/>
  <c r="F57" i="7"/>
  <c r="B39" i="7" s="1"/>
  <c r="E49" i="7"/>
  <c r="E58" i="7"/>
  <c r="B40" i="7" s="1"/>
  <c r="F49" i="7"/>
  <c r="F58" i="7"/>
  <c r="D37" i="7"/>
  <c r="C45" i="7"/>
  <c r="C46" i="7"/>
  <c r="P77" i="7"/>
  <c r="B38" i="7"/>
  <c r="E48" i="7"/>
  <c r="B41" i="7"/>
  <c r="F48" i="7"/>
  <c r="E38" i="7"/>
  <c r="T13" i="5" a="1"/>
  <c r="T13" i="5" s="1"/>
  <c r="E11" i="5"/>
  <c r="C29" i="5" s="1"/>
  <c r="D29" i="5"/>
  <c r="O78" i="5" s="1"/>
  <c r="C33" i="5"/>
  <c r="N82" i="5" s="1"/>
  <c r="I29" i="5"/>
  <c r="V78" i="5" s="1"/>
  <c r="I30" i="5"/>
  <c r="V79" i="5" s="1"/>
  <c r="I31" i="5"/>
  <c r="V80" i="5" s="1"/>
  <c r="I32" i="5"/>
  <c r="V81" i="5" s="1"/>
  <c r="F58" i="5"/>
  <c r="F49" i="5"/>
  <c r="E48" i="5"/>
  <c r="C46" i="5"/>
  <c r="F48" i="5"/>
  <c r="E58" i="5"/>
  <c r="E49" i="5"/>
  <c r="F57" i="5"/>
  <c r="B46" i="5"/>
  <c r="C45" i="5"/>
  <c r="C54" i="5"/>
  <c r="G32" i="5"/>
  <c r="R81" i="5" s="1"/>
  <c r="E28" i="5"/>
  <c r="E31" i="5"/>
  <c r="P80" i="5" s="1"/>
  <c r="B31" i="5"/>
  <c r="M80" i="5" s="1"/>
  <c r="N78" i="5"/>
  <c r="B28" i="5"/>
  <c r="F32" i="5"/>
  <c r="Q81" i="5" s="1"/>
  <c r="D32" i="5"/>
  <c r="O81" i="5" s="1"/>
  <c r="C32" i="5"/>
  <c r="N81" i="5" s="1"/>
  <c r="G30" i="5"/>
  <c r="R79" i="5" s="1"/>
  <c r="F30" i="5"/>
  <c r="Q79" i="5" s="1"/>
  <c r="F29" i="5"/>
  <c r="D30" i="5"/>
  <c r="C30" i="5"/>
  <c r="C41" i="5" s="1"/>
  <c r="F33" i="5"/>
  <c r="Q82" i="5" s="1"/>
  <c r="G29" i="5"/>
  <c r="D33" i="5"/>
  <c r="O82" i="5" s="1"/>
  <c r="G33" i="5"/>
  <c r="R82" i="5" s="1"/>
  <c r="B45" i="5"/>
  <c r="E57" i="5"/>
  <c r="B54" i="5"/>
  <c r="O31" i="3"/>
  <c r="N15" i="3"/>
  <c r="M15" i="3"/>
  <c r="AK94" i="4"/>
  <c r="AL94" i="4"/>
  <c r="AM94" i="4"/>
  <c r="AN94" i="4"/>
  <c r="AO94" i="4"/>
  <c r="AP94" i="4"/>
  <c r="AQ94" i="4"/>
  <c r="AR94" i="4"/>
  <c r="AS94" i="4"/>
  <c r="AT94" i="4"/>
  <c r="AU94" i="4"/>
  <c r="AV94" i="4"/>
  <c r="AW94" i="4"/>
  <c r="AX94" i="4"/>
  <c r="AK95" i="4"/>
  <c r="AL95" i="4"/>
  <c r="AM95" i="4"/>
  <c r="AN95" i="4"/>
  <c r="AO95" i="4"/>
  <c r="AP95" i="4"/>
  <c r="AQ95" i="4"/>
  <c r="AR95" i="4"/>
  <c r="AS95" i="4"/>
  <c r="AT95" i="4"/>
  <c r="AU95" i="4"/>
  <c r="AV95" i="4"/>
  <c r="AW95" i="4"/>
  <c r="AX95" i="4"/>
  <c r="AK96" i="4"/>
  <c r="AL96" i="4"/>
  <c r="AM96" i="4"/>
  <c r="AN96" i="4"/>
  <c r="AO96" i="4"/>
  <c r="AP96" i="4"/>
  <c r="AQ96" i="4"/>
  <c r="AR96" i="4"/>
  <c r="AS96" i="4"/>
  <c r="AT96" i="4"/>
  <c r="AU96" i="4"/>
  <c r="AV96" i="4"/>
  <c r="AW96" i="4"/>
  <c r="AX96" i="4"/>
  <c r="AK97" i="4"/>
  <c r="AL97" i="4"/>
  <c r="AM97" i="4"/>
  <c r="AN97" i="4"/>
  <c r="AO97" i="4"/>
  <c r="AP97" i="4"/>
  <c r="AQ97" i="4"/>
  <c r="AR97" i="4"/>
  <c r="AS97" i="4"/>
  <c r="AT97" i="4"/>
  <c r="AU97" i="4"/>
  <c r="AV97" i="4"/>
  <c r="AW97" i="4"/>
  <c r="AX97" i="4"/>
  <c r="AK98" i="4"/>
  <c r="AL98" i="4"/>
  <c r="AM98" i="4"/>
  <c r="AN98" i="4"/>
  <c r="AO98" i="4"/>
  <c r="AP98" i="4"/>
  <c r="AQ98" i="4"/>
  <c r="AR98" i="4"/>
  <c r="AS98" i="4"/>
  <c r="AT98" i="4"/>
  <c r="AU98" i="4"/>
  <c r="AV98" i="4"/>
  <c r="AW98" i="4"/>
  <c r="AX98" i="4"/>
  <c r="AK99" i="4"/>
  <c r="AL99" i="4"/>
  <c r="AM99" i="4"/>
  <c r="AN99" i="4"/>
  <c r="AO99" i="4"/>
  <c r="AP99" i="4"/>
  <c r="AQ99" i="4"/>
  <c r="AR99" i="4"/>
  <c r="AS99" i="4"/>
  <c r="AT99" i="4"/>
  <c r="AU99" i="4"/>
  <c r="AV99" i="4"/>
  <c r="AW99" i="4"/>
  <c r="AX99" i="4"/>
  <c r="AK100" i="4"/>
  <c r="AL100" i="4"/>
  <c r="AM100" i="4"/>
  <c r="AN100" i="4"/>
  <c r="AO100" i="4"/>
  <c r="AP100" i="4"/>
  <c r="AQ100" i="4"/>
  <c r="AR100" i="4"/>
  <c r="AS100" i="4"/>
  <c r="AT100" i="4"/>
  <c r="AU100" i="4"/>
  <c r="AV100" i="4"/>
  <c r="AW100" i="4"/>
  <c r="AX100" i="4"/>
  <c r="AK101" i="4"/>
  <c r="AL101" i="4"/>
  <c r="AM101" i="4"/>
  <c r="AN101" i="4"/>
  <c r="AO101" i="4"/>
  <c r="AP101" i="4"/>
  <c r="AQ101" i="4"/>
  <c r="AR101" i="4"/>
  <c r="AS101" i="4"/>
  <c r="AT101" i="4"/>
  <c r="AU101" i="4"/>
  <c r="AV101" i="4"/>
  <c r="AW101" i="4"/>
  <c r="AX101" i="4"/>
  <c r="AK102" i="4"/>
  <c r="AL102" i="4"/>
  <c r="AM102" i="4"/>
  <c r="AN102" i="4"/>
  <c r="AO102" i="4"/>
  <c r="AP102" i="4"/>
  <c r="AQ102" i="4"/>
  <c r="AR102" i="4"/>
  <c r="AS102" i="4"/>
  <c r="AT102" i="4"/>
  <c r="AU102" i="4"/>
  <c r="AV102" i="4"/>
  <c r="AW102" i="4"/>
  <c r="AX102" i="4"/>
  <c r="AK103" i="4"/>
  <c r="AL103" i="4"/>
  <c r="AM103" i="4"/>
  <c r="AN103" i="4"/>
  <c r="AO103" i="4"/>
  <c r="AP103" i="4"/>
  <c r="AQ103" i="4"/>
  <c r="AR103" i="4"/>
  <c r="AS103" i="4"/>
  <c r="AT103" i="4"/>
  <c r="AU103" i="4"/>
  <c r="AV103" i="4"/>
  <c r="AW103" i="4"/>
  <c r="AX103" i="4"/>
  <c r="AK104" i="4"/>
  <c r="AL104" i="4"/>
  <c r="AM104" i="4"/>
  <c r="AN104" i="4"/>
  <c r="AO104" i="4"/>
  <c r="AP104" i="4"/>
  <c r="AQ104" i="4"/>
  <c r="AR104" i="4"/>
  <c r="AS104" i="4"/>
  <c r="AT104" i="4"/>
  <c r="AU104" i="4"/>
  <c r="AV104" i="4"/>
  <c r="AW104" i="4"/>
  <c r="AX104" i="4"/>
  <c r="AK105" i="4"/>
  <c r="AL105" i="4"/>
  <c r="AM105" i="4"/>
  <c r="AN105" i="4"/>
  <c r="AO105" i="4"/>
  <c r="AP105" i="4"/>
  <c r="AQ105" i="4"/>
  <c r="AR105" i="4"/>
  <c r="AS105" i="4"/>
  <c r="AT105" i="4"/>
  <c r="AU105" i="4"/>
  <c r="AV105" i="4"/>
  <c r="AW105" i="4"/>
  <c r="AX105" i="4"/>
  <c r="AK106" i="4"/>
  <c r="AL106" i="4"/>
  <c r="AM106" i="4"/>
  <c r="AN106" i="4"/>
  <c r="AO106" i="4"/>
  <c r="AP106" i="4"/>
  <c r="AQ106" i="4"/>
  <c r="AR106" i="4"/>
  <c r="AS106" i="4"/>
  <c r="AT106" i="4"/>
  <c r="AU106" i="4"/>
  <c r="AV106" i="4"/>
  <c r="AW106" i="4"/>
  <c r="AX106" i="4"/>
  <c r="AL93" i="4"/>
  <c r="AM93" i="4"/>
  <c r="AN93" i="4"/>
  <c r="AO93" i="4"/>
  <c r="AP93" i="4"/>
  <c r="AQ93" i="4"/>
  <c r="AR93" i="4"/>
  <c r="AS93" i="4"/>
  <c r="AT93" i="4"/>
  <c r="AU93" i="4"/>
  <c r="AV93" i="4"/>
  <c r="AW93" i="4"/>
  <c r="AX93" i="4"/>
  <c r="AK93" i="4"/>
  <c r="AS42" i="4"/>
  <c r="AS54" i="4" s="1"/>
  <c r="AR47" i="4"/>
  <c r="AS47" i="4"/>
  <c r="AR48" i="4"/>
  <c r="AS48" i="4"/>
  <c r="AR49" i="4"/>
  <c r="AS49" i="4"/>
  <c r="AR50" i="4"/>
  <c r="AS50" i="4"/>
  <c r="AR51" i="4"/>
  <c r="AS51" i="4"/>
  <c r="AR52" i="4"/>
  <c r="AS52" i="4"/>
  <c r="AR53" i="4"/>
  <c r="AS53" i="4"/>
  <c r="AR54" i="4"/>
  <c r="AR55" i="4"/>
  <c r="AS55" i="4"/>
  <c r="AR56" i="4"/>
  <c r="AS56" i="4"/>
  <c r="AR57" i="4"/>
  <c r="AS57" i="4"/>
  <c r="AR58" i="4"/>
  <c r="AS58" i="4"/>
  <c r="AR59" i="4"/>
  <c r="AS59" i="4"/>
  <c r="AS46" i="4"/>
  <c r="AK47" i="4"/>
  <c r="AL47" i="4"/>
  <c r="AM47" i="4"/>
  <c r="AK48" i="4"/>
  <c r="AL48" i="4"/>
  <c r="AK49" i="4"/>
  <c r="AL49" i="4"/>
  <c r="AM49" i="4"/>
  <c r="AK50" i="4"/>
  <c r="AL50" i="4"/>
  <c r="AM50" i="4"/>
  <c r="AK51" i="4"/>
  <c r="AL51" i="4"/>
  <c r="AM51" i="4"/>
  <c r="AK52" i="4"/>
  <c r="AL52" i="4"/>
  <c r="AM52" i="4"/>
  <c r="AK53" i="4"/>
  <c r="AL53" i="4"/>
  <c r="AM53" i="4"/>
  <c r="AK54" i="4"/>
  <c r="AL54" i="4"/>
  <c r="AM54" i="4"/>
  <c r="AK55" i="4"/>
  <c r="AL55" i="4"/>
  <c r="AM55" i="4"/>
  <c r="AK56" i="4"/>
  <c r="AL56" i="4"/>
  <c r="AM56" i="4"/>
  <c r="AK57" i="4"/>
  <c r="AL57" i="4"/>
  <c r="AM57" i="4"/>
  <c r="AK58" i="4"/>
  <c r="AL58" i="4"/>
  <c r="AM58" i="4"/>
  <c r="AK59" i="4"/>
  <c r="AL59" i="4"/>
  <c r="AM59" i="4"/>
  <c r="AL46" i="4"/>
  <c r="AM46" i="4"/>
  <c r="AV71" i="4" a="1"/>
  <c r="AV71" i="4" s="1"/>
  <c r="AV67" i="4" a="1"/>
  <c r="AV67" i="4" s="1"/>
  <c r="AA60" i="4"/>
  <c r="Q60" i="4"/>
  <c r="AW59" i="4"/>
  <c r="AV59" i="4"/>
  <c r="AP59" i="4"/>
  <c r="AO59" i="4"/>
  <c r="AN59" i="4"/>
  <c r="G59" i="4"/>
  <c r="AX58" i="4"/>
  <c r="AV58" i="4"/>
  <c r="AU58" i="4"/>
  <c r="AT58" i="4"/>
  <c r="AQ58" i="4"/>
  <c r="AP58" i="4"/>
  <c r="AX57" i="4"/>
  <c r="AW57" i="4"/>
  <c r="AQ57" i="4"/>
  <c r="X57" i="4"/>
  <c r="N57" i="4"/>
  <c r="AW56" i="4"/>
  <c r="D56" i="4"/>
  <c r="AW55" i="4"/>
  <c r="AW54" i="4"/>
  <c r="AV54" i="4"/>
  <c r="AP54" i="4"/>
  <c r="AO54" i="4"/>
  <c r="AN54" i="4"/>
  <c r="AW53" i="4"/>
  <c r="AV53" i="4"/>
  <c r="AP53" i="4"/>
  <c r="AO53" i="4"/>
  <c r="AN53" i="4"/>
  <c r="AW52" i="4"/>
  <c r="AV52" i="4"/>
  <c r="AP52" i="4"/>
  <c r="AO52" i="4"/>
  <c r="AN52" i="4"/>
  <c r="AX51" i="4"/>
  <c r="AW51" i="4"/>
  <c r="AQ51" i="4"/>
  <c r="AA51" i="4"/>
  <c r="Q51" i="4"/>
  <c r="AX50" i="4"/>
  <c r="AQ50" i="4"/>
  <c r="G50" i="4"/>
  <c r="AX49" i="4"/>
  <c r="AQ49" i="4"/>
  <c r="AX48" i="4"/>
  <c r="AV48" i="4"/>
  <c r="AU48" i="4"/>
  <c r="AT48" i="4"/>
  <c r="AQ48" i="4"/>
  <c r="AP48" i="4"/>
  <c r="AX47" i="4"/>
  <c r="AV47" i="4"/>
  <c r="AU47" i="4"/>
  <c r="AT47" i="4"/>
  <c r="AQ47" i="4"/>
  <c r="AP47" i="4"/>
  <c r="AX46" i="4"/>
  <c r="AV46" i="4"/>
  <c r="AU46" i="4"/>
  <c r="AT46" i="4"/>
  <c r="AR46" i="4"/>
  <c r="AQ46" i="4"/>
  <c r="AP46" i="4"/>
  <c r="AC33" i="4"/>
  <c r="S33" i="4"/>
  <c r="I33" i="4"/>
  <c r="AC32" i="4"/>
  <c r="S32" i="4"/>
  <c r="I32" i="4"/>
  <c r="AC31" i="4"/>
  <c r="I31" i="4"/>
  <c r="AC30" i="4"/>
  <c r="S30" i="4"/>
  <c r="I30" i="4"/>
  <c r="AC29" i="4"/>
  <c r="S29" i="4"/>
  <c r="I29" i="4"/>
  <c r="AC28" i="4"/>
  <c r="I28" i="4"/>
  <c r="O9" i="4"/>
  <c r="E9" i="4"/>
  <c r="O8" i="4"/>
  <c r="E8" i="4"/>
  <c r="Y8" i="4" s="1"/>
  <c r="O7" i="4"/>
  <c r="E7" i="4"/>
  <c r="Y7" i="4" s="1"/>
  <c r="Y5" i="4"/>
  <c r="W5" i="4"/>
  <c r="O5" i="4"/>
  <c r="P49" i="4" s="1"/>
  <c r="M5" i="4"/>
  <c r="E5" i="4"/>
  <c r="V47" i="4" s="1"/>
  <c r="C5" i="4"/>
  <c r="BC64" i="2" a="1"/>
  <c r="BC64" i="2" s="1"/>
  <c r="BB69" i="2"/>
  <c r="BB64" i="2" a="1"/>
  <c r="BB64" i="2" s="1"/>
  <c r="BB43" i="1" a="1"/>
  <c r="BB43" i="1" s="1"/>
  <c r="BB49" i="1" a="1"/>
  <c r="BB49" i="1" s="1"/>
  <c r="AC33" i="1"/>
  <c r="AC32" i="1"/>
  <c r="AC31" i="1"/>
  <c r="AC30" i="1"/>
  <c r="AC29" i="1"/>
  <c r="AC28" i="1"/>
  <c r="S33" i="1"/>
  <c r="S32" i="1"/>
  <c r="S30" i="1"/>
  <c r="S29" i="1"/>
  <c r="I33" i="1"/>
  <c r="AT91" i="1" s="1"/>
  <c r="I32" i="1"/>
  <c r="AT90" i="1" s="1"/>
  <c r="I31" i="1"/>
  <c r="AT89" i="1" s="1"/>
  <c r="I30" i="1"/>
  <c r="AT88" i="1" s="1"/>
  <c r="I29" i="1"/>
  <c r="AT87" i="1" s="1"/>
  <c r="I28" i="1"/>
  <c r="AT86" i="1" s="1"/>
  <c r="AC33" i="2"/>
  <c r="AC32" i="2"/>
  <c r="AC31" i="2"/>
  <c r="AC30" i="2"/>
  <c r="AC29" i="2"/>
  <c r="AC28" i="2"/>
  <c r="S33" i="2"/>
  <c r="S32" i="2"/>
  <c r="S30" i="2"/>
  <c r="S29" i="2"/>
  <c r="I33" i="2"/>
  <c r="I32" i="2"/>
  <c r="I30" i="2"/>
  <c r="I29" i="2"/>
  <c r="I28" i="2"/>
  <c r="M33" i="3"/>
  <c r="I20" i="7" l="1"/>
  <c r="S5" i="7" s="1"/>
  <c r="V22" i="7" s="1"/>
  <c r="N78" i="7"/>
  <c r="C40" i="7"/>
  <c r="F24" i="7" s="1"/>
  <c r="Q9" i="7" s="1"/>
  <c r="Q26" i="7" s="1"/>
  <c r="C38" i="7"/>
  <c r="G22" i="7" s="1"/>
  <c r="R7" i="7" s="1"/>
  <c r="R24" i="7" s="1"/>
  <c r="C39" i="7"/>
  <c r="C41" i="7"/>
  <c r="F37" i="7"/>
  <c r="C36" i="7"/>
  <c r="B20" i="7" s="1"/>
  <c r="M5" i="7" s="1"/>
  <c r="M22" i="7" s="1"/>
  <c r="G40" i="7"/>
  <c r="R78" i="7"/>
  <c r="G39" i="7"/>
  <c r="G41" i="7"/>
  <c r="G38" i="7"/>
  <c r="I21" i="7"/>
  <c r="S6" i="7" s="1"/>
  <c r="V23" i="7" s="1"/>
  <c r="V31" i="7" s="1" a="1"/>
  <c r="U48" i="7" s="1" a="1"/>
  <c r="U48" i="7" s="1"/>
  <c r="O78" i="7"/>
  <c r="D40" i="7"/>
  <c r="D38" i="7"/>
  <c r="D39" i="7"/>
  <c r="E23" i="7" s="1"/>
  <c r="P8" i="7" s="1"/>
  <c r="P25" i="7" s="1"/>
  <c r="D41" i="7"/>
  <c r="E25" i="7" s="1"/>
  <c r="P10" i="7" s="1"/>
  <c r="P27" i="7" s="1"/>
  <c r="I25" i="7"/>
  <c r="S10" i="7" s="1"/>
  <c r="V27" i="7" s="1"/>
  <c r="C37" i="7"/>
  <c r="B21" i="7" s="1"/>
  <c r="M6" i="7" s="1"/>
  <c r="M23" i="7" s="1"/>
  <c r="I24" i="7"/>
  <c r="S9" i="7" s="1"/>
  <c r="V26" i="7" s="1"/>
  <c r="E39" i="7"/>
  <c r="F40" i="7"/>
  <c r="F38" i="7"/>
  <c r="F41" i="7"/>
  <c r="Q78" i="7"/>
  <c r="F39" i="7"/>
  <c r="F20" i="7"/>
  <c r="Q5" i="7" s="1"/>
  <c r="Q22" i="7" s="1"/>
  <c r="I22" i="7"/>
  <c r="S7" i="7" s="1"/>
  <c r="V24" i="7" s="1"/>
  <c r="G37" i="7"/>
  <c r="G21" i="7" s="1"/>
  <c r="R6" i="7" s="1"/>
  <c r="R23" i="7" s="1"/>
  <c r="I23" i="7"/>
  <c r="S8" i="7" s="1"/>
  <c r="V25" i="7" s="1"/>
  <c r="G36" i="7"/>
  <c r="E20" i="7" s="1"/>
  <c r="P5" i="7" s="1"/>
  <c r="P22" i="7" s="1"/>
  <c r="B37" i="5"/>
  <c r="G37" i="5"/>
  <c r="I21" i="5"/>
  <c r="I22" i="5"/>
  <c r="S7" i="5" s="1"/>
  <c r="I25" i="5"/>
  <c r="I24" i="5"/>
  <c r="S9" i="5" s="1"/>
  <c r="D39" i="5"/>
  <c r="I23" i="5"/>
  <c r="S8" i="5" s="1"/>
  <c r="V25" i="5" s="1"/>
  <c r="C40" i="5"/>
  <c r="G41" i="5"/>
  <c r="G40" i="5"/>
  <c r="G39" i="5"/>
  <c r="R78" i="5"/>
  <c r="G38" i="5"/>
  <c r="D37" i="5"/>
  <c r="D40" i="5"/>
  <c r="C39" i="5"/>
  <c r="O79" i="5"/>
  <c r="D38" i="5"/>
  <c r="D41" i="5"/>
  <c r="F41" i="5"/>
  <c r="F40" i="5"/>
  <c r="F39" i="5"/>
  <c r="Q78" i="5"/>
  <c r="F38" i="5"/>
  <c r="E37" i="5"/>
  <c r="E38" i="5"/>
  <c r="E41" i="5"/>
  <c r="P77" i="5"/>
  <c r="E40" i="5"/>
  <c r="E39" i="5"/>
  <c r="F37" i="5"/>
  <c r="C37" i="5"/>
  <c r="G36" i="5"/>
  <c r="F36" i="5"/>
  <c r="E36" i="5"/>
  <c r="D36" i="5"/>
  <c r="I20" i="5"/>
  <c r="S5" i="5" s="1"/>
  <c r="C36" i="5"/>
  <c r="B36" i="5"/>
  <c r="B41" i="5"/>
  <c r="M77" i="5"/>
  <c r="B40" i="5"/>
  <c r="B38" i="5"/>
  <c r="B39" i="5"/>
  <c r="N79" i="5"/>
  <c r="C38" i="5"/>
  <c r="M34" i="3"/>
  <c r="AM42" i="4"/>
  <c r="AM48" i="4" s="1"/>
  <c r="S22" i="4"/>
  <c r="L47" i="4"/>
  <c r="M55" i="4"/>
  <c r="P58" i="4"/>
  <c r="O11" i="4"/>
  <c r="Q30" i="4" s="1"/>
  <c r="O59" i="4"/>
  <c r="S25" i="4"/>
  <c r="F58" i="4"/>
  <c r="B54" i="4"/>
  <c r="V46" i="4"/>
  <c r="E57" i="4"/>
  <c r="W56" i="4"/>
  <c r="C46" i="4"/>
  <c r="Z59" i="4"/>
  <c r="Y49" i="4"/>
  <c r="B45" i="4"/>
  <c r="P59" i="4"/>
  <c r="O49" i="4"/>
  <c r="O58" i="4"/>
  <c r="M47" i="4"/>
  <c r="P50" i="4"/>
  <c r="L46" i="4"/>
  <c r="M56" i="4"/>
  <c r="AC22" i="4"/>
  <c r="AC25" i="4"/>
  <c r="AY38" i="4" s="1"/>
  <c r="BB59" i="4" s="1"/>
  <c r="F48" i="4"/>
  <c r="W47" i="4"/>
  <c r="Y59" i="4"/>
  <c r="W55" i="4"/>
  <c r="B55" i="4"/>
  <c r="C54" i="4"/>
  <c r="Y50" i="4"/>
  <c r="F57" i="4"/>
  <c r="C45" i="4"/>
  <c r="V56" i="4"/>
  <c r="B46" i="4"/>
  <c r="Z49" i="4"/>
  <c r="Z50" i="4"/>
  <c r="Q32" i="4"/>
  <c r="P30" i="4"/>
  <c r="N29" i="4"/>
  <c r="E48" i="4"/>
  <c r="I25" i="4"/>
  <c r="AY18" i="4" s="1"/>
  <c r="BB58" i="4" s="1"/>
  <c r="I22" i="4"/>
  <c r="AY8" i="4" s="1"/>
  <c r="BB48" i="4" s="1"/>
  <c r="E49" i="4"/>
  <c r="V55" i="4"/>
  <c r="E11" i="4"/>
  <c r="E10" i="4"/>
  <c r="Y9" i="4"/>
  <c r="C55" i="4"/>
  <c r="M32" i="4"/>
  <c r="E58" i="4"/>
  <c r="I24" i="4" s="1"/>
  <c r="AY10" i="4" s="1"/>
  <c r="W46" i="4"/>
  <c r="F49" i="4"/>
  <c r="Y58" i="4"/>
  <c r="L55" i="4"/>
  <c r="Z58" i="4"/>
  <c r="O10" i="4"/>
  <c r="L56" i="4"/>
  <c r="O50" i="4"/>
  <c r="M46" i="4"/>
  <c r="S59" i="7" l="1" a="1"/>
  <c r="S59" i="7" s="1"/>
  <c r="V31" i="7"/>
  <c r="F23" i="7"/>
  <c r="Q8" i="7" s="1"/>
  <c r="Q25" i="7" s="1"/>
  <c r="C25" i="7"/>
  <c r="N10" i="7" s="1"/>
  <c r="N27" i="7" s="1"/>
  <c r="G20" i="7"/>
  <c r="R5" i="7" s="1"/>
  <c r="R22" i="7" s="1"/>
  <c r="C21" i="7"/>
  <c r="N6" i="7" s="1"/>
  <c r="N23" i="7" s="1"/>
  <c r="B23" i="7"/>
  <c r="M8" i="7" s="1"/>
  <c r="M25" i="7" s="1"/>
  <c r="B22" i="7"/>
  <c r="M7" i="7" s="1"/>
  <c r="M24" i="7" s="1"/>
  <c r="C24" i="7"/>
  <c r="N9" i="7" s="1"/>
  <c r="N26" i="7" s="1"/>
  <c r="D23" i="7"/>
  <c r="O8" i="7" s="1"/>
  <c r="O25" i="7" s="1"/>
  <c r="G23" i="7"/>
  <c r="R8" i="7" s="1"/>
  <c r="R25" i="7" s="1"/>
  <c r="C22" i="7"/>
  <c r="N7" i="7" s="1"/>
  <c r="N24" i="7" s="1"/>
  <c r="D24" i="7"/>
  <c r="O9" i="7" s="1"/>
  <c r="O26" i="7" s="1"/>
  <c r="F21" i="7"/>
  <c r="Q6" i="7" s="1"/>
  <c r="Q23" i="7" s="1"/>
  <c r="C23" i="7"/>
  <c r="N8" i="7" s="1"/>
  <c r="N25" i="7" s="1"/>
  <c r="D21" i="7"/>
  <c r="O6" i="7" s="1"/>
  <c r="O23" i="7" s="1"/>
  <c r="E21" i="7"/>
  <c r="P6" i="7" s="1"/>
  <c r="P23" i="7" s="1"/>
  <c r="C20" i="7"/>
  <c r="N5" i="7" s="1"/>
  <c r="N22" i="7" s="1"/>
  <c r="M31" i="7" s="1" a="1"/>
  <c r="D20" i="7"/>
  <c r="O5" i="7" s="1"/>
  <c r="O22" i="7" s="1"/>
  <c r="F22" i="7"/>
  <c r="Q7" i="7" s="1"/>
  <c r="Q24" i="7" s="1"/>
  <c r="G24" i="7"/>
  <c r="R9" i="7" s="1"/>
  <c r="R26" i="7" s="1"/>
  <c r="B25" i="7"/>
  <c r="M10" i="7" s="1"/>
  <c r="M27" i="7" s="1"/>
  <c r="F25" i="7"/>
  <c r="Q10" i="7" s="1"/>
  <c r="Q27" i="7" s="1"/>
  <c r="E22" i="7"/>
  <c r="P7" i="7" s="1"/>
  <c r="P24" i="7" s="1"/>
  <c r="E24" i="7"/>
  <c r="P9" i="7" s="1"/>
  <c r="P26" i="7" s="1"/>
  <c r="G25" i="7"/>
  <c r="R10" i="7" s="1"/>
  <c r="R27" i="7" s="1"/>
  <c r="D25" i="7"/>
  <c r="O10" i="7" s="1"/>
  <c r="O27" i="7" s="1"/>
  <c r="D22" i="7"/>
  <c r="O7" i="7" s="1"/>
  <c r="O24" i="7" s="1"/>
  <c r="B24" i="7"/>
  <c r="M9" i="7" s="1"/>
  <c r="M26" i="7" s="1"/>
  <c r="S10" i="5"/>
  <c r="V27" i="5" s="1"/>
  <c r="S6" i="5"/>
  <c r="V23" i="5" s="1"/>
  <c r="V22" i="5"/>
  <c r="V24" i="5"/>
  <c r="V26" i="5"/>
  <c r="F21" i="5"/>
  <c r="Q6" i="5" s="1"/>
  <c r="Q23" i="5" s="1"/>
  <c r="G21" i="5"/>
  <c r="R6" i="5" s="1"/>
  <c r="R23" i="5" s="1"/>
  <c r="G23" i="5"/>
  <c r="R8" i="5" s="1"/>
  <c r="F23" i="5"/>
  <c r="Q8" i="5" s="1"/>
  <c r="Q25" i="5" s="1"/>
  <c r="E23" i="5"/>
  <c r="P8" i="5" s="1"/>
  <c r="P25" i="5" s="1"/>
  <c r="C23" i="5"/>
  <c r="N8" i="5" s="1"/>
  <c r="N25" i="5" s="1"/>
  <c r="B23" i="5"/>
  <c r="M8" i="5" s="1"/>
  <c r="M25" i="5" s="1"/>
  <c r="D23" i="5"/>
  <c r="O8" i="5" s="1"/>
  <c r="O25" i="5" s="1"/>
  <c r="C25" i="5"/>
  <c r="N10" i="5" s="1"/>
  <c r="N27" i="5" s="1"/>
  <c r="B25" i="5"/>
  <c r="M10" i="5" s="1"/>
  <c r="M27" i="5" s="1"/>
  <c r="G25" i="5"/>
  <c r="R10" i="5" s="1"/>
  <c r="R27" i="5" s="1"/>
  <c r="F25" i="5"/>
  <c r="Q10" i="5" s="1"/>
  <c r="Q27" i="5" s="1"/>
  <c r="E25" i="5"/>
  <c r="P10" i="5" s="1"/>
  <c r="P27" i="5" s="1"/>
  <c r="D25" i="5"/>
  <c r="O10" i="5" s="1"/>
  <c r="O27" i="5" s="1"/>
  <c r="D21" i="5"/>
  <c r="O6" i="5" s="1"/>
  <c r="O23" i="5" s="1"/>
  <c r="B21" i="5"/>
  <c r="M6" i="5" s="1"/>
  <c r="M23" i="5" s="1"/>
  <c r="C21" i="5"/>
  <c r="N6" i="5" s="1"/>
  <c r="N23" i="5" s="1"/>
  <c r="B22" i="5"/>
  <c r="M7" i="5" s="1"/>
  <c r="M24" i="5" s="1"/>
  <c r="G22" i="5"/>
  <c r="R7" i="5" s="1"/>
  <c r="R24" i="5" s="1"/>
  <c r="D22" i="5"/>
  <c r="O7" i="5" s="1"/>
  <c r="O24" i="5" s="1"/>
  <c r="C22" i="5"/>
  <c r="N7" i="5" s="1"/>
  <c r="N24" i="5" s="1"/>
  <c r="F22" i="5"/>
  <c r="Q7" i="5" s="1"/>
  <c r="Q24" i="5" s="1"/>
  <c r="E22" i="5"/>
  <c r="P7" i="5" s="1"/>
  <c r="P24" i="5" s="1"/>
  <c r="G24" i="5"/>
  <c r="R9" i="5" s="1"/>
  <c r="R26" i="5" s="1"/>
  <c r="F24" i="5"/>
  <c r="Q9" i="5" s="1"/>
  <c r="Q26" i="5" s="1"/>
  <c r="D24" i="5"/>
  <c r="O9" i="5" s="1"/>
  <c r="O26" i="5" s="1"/>
  <c r="C24" i="5"/>
  <c r="N9" i="5" s="1"/>
  <c r="N26" i="5" s="1"/>
  <c r="B24" i="5"/>
  <c r="M9" i="5" s="1"/>
  <c r="M26" i="5" s="1"/>
  <c r="E24" i="5"/>
  <c r="P9" i="5" s="1"/>
  <c r="P26" i="5" s="1"/>
  <c r="E21" i="5"/>
  <c r="P6" i="5" s="1"/>
  <c r="P23" i="5" s="1"/>
  <c r="G20" i="5"/>
  <c r="R5" i="5" s="1"/>
  <c r="R22" i="5" s="1"/>
  <c r="F20" i="5"/>
  <c r="Q5" i="5" s="1"/>
  <c r="Q22" i="5" s="1"/>
  <c r="E20" i="5"/>
  <c r="P5" i="5" s="1"/>
  <c r="P22" i="5" s="1"/>
  <c r="B20" i="5"/>
  <c r="M5" i="5" s="1"/>
  <c r="M22" i="5" s="1"/>
  <c r="D20" i="5"/>
  <c r="O5" i="5" s="1"/>
  <c r="O22" i="5" s="1"/>
  <c r="C20" i="5"/>
  <c r="N5" i="5" s="1"/>
  <c r="N22" i="5" s="1"/>
  <c r="Q33" i="4"/>
  <c r="M33" i="4"/>
  <c r="M29" i="4"/>
  <c r="N30" i="4"/>
  <c r="P32" i="4"/>
  <c r="P33" i="4"/>
  <c r="Q29" i="4"/>
  <c r="Q38" i="4" s="1"/>
  <c r="N32" i="4"/>
  <c r="AC24" i="4"/>
  <c r="N33" i="4"/>
  <c r="S24" i="4"/>
  <c r="I23" i="4"/>
  <c r="AY9" i="4" s="1"/>
  <c r="M30" i="4"/>
  <c r="M39" i="4" s="1"/>
  <c r="P29" i="4"/>
  <c r="P39" i="4" s="1"/>
  <c r="S23" i="4"/>
  <c r="BO15" i="4" s="1" a="1"/>
  <c r="BO15" i="4" s="1"/>
  <c r="AC23" i="4"/>
  <c r="AC21" i="4"/>
  <c r="G33" i="4"/>
  <c r="F33" i="4"/>
  <c r="AA33" i="4"/>
  <c r="F32" i="4"/>
  <c r="D30" i="4"/>
  <c r="C29" i="4"/>
  <c r="W33" i="4"/>
  <c r="AA29" i="4"/>
  <c r="AA30" i="4"/>
  <c r="Z29" i="4"/>
  <c r="AA32" i="4"/>
  <c r="Z30" i="4"/>
  <c r="X29" i="4"/>
  <c r="X32" i="4"/>
  <c r="W30" i="4"/>
  <c r="Z32" i="4"/>
  <c r="X30" i="4"/>
  <c r="W29" i="4"/>
  <c r="W32" i="4"/>
  <c r="Y11" i="4"/>
  <c r="F30" i="4"/>
  <c r="C30" i="4"/>
  <c r="G30" i="4"/>
  <c r="G32" i="4"/>
  <c r="D32" i="4"/>
  <c r="Z33" i="4"/>
  <c r="C32" i="4"/>
  <c r="C33" i="4"/>
  <c r="X33" i="4"/>
  <c r="F29" i="4"/>
  <c r="D29" i="4"/>
  <c r="D33" i="4"/>
  <c r="G29" i="4"/>
  <c r="AC20" i="4"/>
  <c r="O28" i="4"/>
  <c r="L28" i="4"/>
  <c r="O31" i="4"/>
  <c r="O37" i="4" s="1"/>
  <c r="L31" i="4"/>
  <c r="I20" i="4"/>
  <c r="AY6" i="4" s="1"/>
  <c r="BB46" i="4" s="1"/>
  <c r="Q37" i="4"/>
  <c r="S20" i="4"/>
  <c r="N37" i="4"/>
  <c r="M37" i="4"/>
  <c r="I21" i="4"/>
  <c r="AY7" i="4" s="1"/>
  <c r="BB47" i="4" s="1"/>
  <c r="V28" i="4"/>
  <c r="E28" i="4"/>
  <c r="B28" i="4"/>
  <c r="Y10" i="4"/>
  <c r="E31" i="4"/>
  <c r="Y31" i="4"/>
  <c r="Y28" i="4"/>
  <c r="Y39" i="4" s="1"/>
  <c r="V31" i="4"/>
  <c r="V38" i="4" s="1"/>
  <c r="B31" i="4"/>
  <c r="N42" i="4"/>
  <c r="N39" i="4"/>
  <c r="N40" i="4"/>
  <c r="N41" i="4"/>
  <c r="S21" i="4"/>
  <c r="Q42" i="4"/>
  <c r="BD52" i="2" a="1"/>
  <c r="BD52" i="2" s="1"/>
  <c r="BD46" i="2" a="1"/>
  <c r="BD46" i="2" s="1"/>
  <c r="AK66" i="2" a="1"/>
  <c r="AK66" i="2" s="1"/>
  <c r="AP47" i="2"/>
  <c r="AQ47" i="2"/>
  <c r="AR47" i="2"/>
  <c r="AS47" i="2"/>
  <c r="AT47" i="2"/>
  <c r="AU47" i="2"/>
  <c r="AV47" i="2"/>
  <c r="AX47" i="2"/>
  <c r="AP48" i="2"/>
  <c r="AQ48" i="2"/>
  <c r="AR48" i="2"/>
  <c r="AS48" i="2"/>
  <c r="AT48" i="2"/>
  <c r="AU48" i="2"/>
  <c r="AV48" i="2"/>
  <c r="AX48" i="2"/>
  <c r="AQ49" i="2"/>
  <c r="AR49" i="2"/>
  <c r="AS49" i="2"/>
  <c r="AX49" i="2"/>
  <c r="AQ50" i="2"/>
  <c r="AR50" i="2"/>
  <c r="AS50" i="2"/>
  <c r="AX50" i="2"/>
  <c r="AK51" i="2"/>
  <c r="AL51" i="2"/>
  <c r="AM51" i="2"/>
  <c r="AQ51" i="2"/>
  <c r="AR51" i="2"/>
  <c r="AS51" i="2"/>
  <c r="AW51" i="2"/>
  <c r="AX51" i="2"/>
  <c r="AK52" i="2"/>
  <c r="AL52" i="2"/>
  <c r="AM52" i="2"/>
  <c r="AN52" i="2"/>
  <c r="AO52" i="2"/>
  <c r="AP52" i="2"/>
  <c r="AV52" i="2"/>
  <c r="AW52" i="2"/>
  <c r="AK53" i="2"/>
  <c r="AL53" i="2"/>
  <c r="AM53" i="2"/>
  <c r="AN53" i="2"/>
  <c r="AO53" i="2"/>
  <c r="AP53" i="2"/>
  <c r="AV53" i="2"/>
  <c r="AW53" i="2"/>
  <c r="AK54" i="2"/>
  <c r="AL54" i="2"/>
  <c r="AM54" i="2"/>
  <c r="AN54" i="2"/>
  <c r="AO54" i="2"/>
  <c r="AP54" i="2"/>
  <c r="AV54" i="2"/>
  <c r="AW54" i="2"/>
  <c r="AK55" i="2"/>
  <c r="AL55" i="2"/>
  <c r="AM55" i="2"/>
  <c r="AW55" i="2"/>
  <c r="AK56" i="2"/>
  <c r="AL56" i="2"/>
  <c r="AM56" i="2"/>
  <c r="AW56" i="2"/>
  <c r="AK57" i="2"/>
  <c r="AL57" i="2"/>
  <c r="AM57" i="2"/>
  <c r="AQ57" i="2"/>
  <c r="AR57" i="2"/>
  <c r="AS57" i="2"/>
  <c r="AW57" i="2"/>
  <c r="AX57" i="2"/>
  <c r="AP58" i="2"/>
  <c r="AQ58" i="2"/>
  <c r="AR58" i="2"/>
  <c r="AS58" i="2"/>
  <c r="AT58" i="2"/>
  <c r="AU58" i="2"/>
  <c r="AV58" i="2"/>
  <c r="AX58" i="2"/>
  <c r="AK59" i="2"/>
  <c r="AL59" i="2"/>
  <c r="AM59" i="2"/>
  <c r="AN59" i="2"/>
  <c r="AO59" i="2"/>
  <c r="AP59" i="2"/>
  <c r="AV59" i="2"/>
  <c r="AW59" i="2"/>
  <c r="AP46" i="2"/>
  <c r="AQ46" i="2"/>
  <c r="AR46" i="2"/>
  <c r="AS46" i="2"/>
  <c r="AT46" i="2"/>
  <c r="AU46" i="2"/>
  <c r="AV46" i="2"/>
  <c r="AX46" i="2"/>
  <c r="AT69" i="2" a="1"/>
  <c r="AT69" i="2" s="1"/>
  <c r="AT66" i="2" a="1"/>
  <c r="AT66" i="2" s="1"/>
  <c r="I67" i="1"/>
  <c r="O70" i="1" s="1"/>
  <c r="L64" i="1"/>
  <c r="N64" i="1" s="1"/>
  <c r="L65" i="1"/>
  <c r="O66" i="1" s="1"/>
  <c r="AQ44" i="1"/>
  <c r="AR44" i="1"/>
  <c r="AS44" i="1"/>
  <c r="AT44" i="1"/>
  <c r="AU44" i="1"/>
  <c r="AV44" i="1"/>
  <c r="AQ45" i="1"/>
  <c r="AR45" i="1"/>
  <c r="AS45" i="1"/>
  <c r="AT45" i="1"/>
  <c r="AU45" i="1"/>
  <c r="AV45" i="1"/>
  <c r="AQ46" i="1"/>
  <c r="AR46" i="1"/>
  <c r="AS46" i="1"/>
  <c r="AQ47" i="1"/>
  <c r="AR47" i="1"/>
  <c r="AS47" i="1"/>
  <c r="AQ48" i="1"/>
  <c r="AR48" i="1"/>
  <c r="AS48" i="1"/>
  <c r="AK49" i="1"/>
  <c r="AL49" i="1"/>
  <c r="AM49" i="1"/>
  <c r="AN49" i="1"/>
  <c r="AO49" i="1"/>
  <c r="AP49" i="1"/>
  <c r="AK50" i="1"/>
  <c r="AL50" i="1"/>
  <c r="AM50" i="1"/>
  <c r="AN50" i="1"/>
  <c r="AO50" i="1"/>
  <c r="AP50" i="1"/>
  <c r="AK51" i="1"/>
  <c r="AL51" i="1"/>
  <c r="AM51" i="1"/>
  <c r="AN51" i="1"/>
  <c r="AO51" i="1"/>
  <c r="AP51" i="1"/>
  <c r="AK52" i="1"/>
  <c r="AL52" i="1"/>
  <c r="AM52" i="1"/>
  <c r="AK53" i="1"/>
  <c r="AL53" i="1"/>
  <c r="AM53" i="1"/>
  <c r="AK54" i="1"/>
  <c r="AL54" i="1"/>
  <c r="AM54" i="1"/>
  <c r="AQ43" i="1"/>
  <c r="AR43" i="1"/>
  <c r="AS43" i="1"/>
  <c r="AT43" i="1"/>
  <c r="AU43" i="1"/>
  <c r="AV43" i="1"/>
  <c r="M39" i="7" l="1" a="1"/>
  <c r="M48" i="7" s="1" a="1"/>
  <c r="M31" i="7"/>
  <c r="R25" i="5"/>
  <c r="M31" i="5" s="1" a="1"/>
  <c r="M31" i="5" s="1"/>
  <c r="M39" i="5" s="1" a="1"/>
  <c r="P37" i="4"/>
  <c r="Q41" i="4"/>
  <c r="P38" i="4"/>
  <c r="N38" i="4"/>
  <c r="Q40" i="4"/>
  <c r="P42" i="4"/>
  <c r="Q39" i="4"/>
  <c r="P40" i="4"/>
  <c r="P41" i="4"/>
  <c r="W38" i="4"/>
  <c r="BO9" i="4" a="1"/>
  <c r="BB50" i="4" s="1"/>
  <c r="W37" i="4"/>
  <c r="D36" i="4"/>
  <c r="M40" i="4"/>
  <c r="BB57" i="4"/>
  <c r="D37" i="4"/>
  <c r="M38" i="4"/>
  <c r="E37" i="4"/>
  <c r="M42" i="4"/>
  <c r="M41" i="4"/>
  <c r="AA38" i="4"/>
  <c r="B36" i="4"/>
  <c r="L37" i="4"/>
  <c r="O20" i="4" s="1"/>
  <c r="BJ9" i="4" s="1"/>
  <c r="AT49" i="4" s="1"/>
  <c r="G36" i="4"/>
  <c r="F37" i="4"/>
  <c r="Q20" i="4"/>
  <c r="BL9" i="4" s="1"/>
  <c r="AV49" i="4" s="1"/>
  <c r="Z39" i="4"/>
  <c r="X39" i="4"/>
  <c r="X38" i="4"/>
  <c r="BO9" i="4"/>
  <c r="BB49" i="4" s="1"/>
  <c r="BB51" i="4"/>
  <c r="AY31" i="4" a="1"/>
  <c r="BB55" i="4" s="1"/>
  <c r="O40" i="4"/>
  <c r="O39" i="4"/>
  <c r="O42" i="4"/>
  <c r="O41" i="4"/>
  <c r="AA39" i="4"/>
  <c r="Y40" i="4"/>
  <c r="E41" i="4"/>
  <c r="E39" i="4"/>
  <c r="E40" i="4"/>
  <c r="Y41" i="4"/>
  <c r="E38" i="4"/>
  <c r="Y42" i="4"/>
  <c r="V39" i="4"/>
  <c r="E36" i="4"/>
  <c r="G37" i="4"/>
  <c r="AA42" i="4"/>
  <c r="G40" i="4"/>
  <c r="AA40" i="4"/>
  <c r="AA41" i="4"/>
  <c r="G39" i="4"/>
  <c r="G38" i="4"/>
  <c r="G41" i="4"/>
  <c r="L40" i="4"/>
  <c r="L42" i="4"/>
  <c r="L39" i="4"/>
  <c r="L41" i="4"/>
  <c r="Z38" i="4"/>
  <c r="Z37" i="4"/>
  <c r="V41" i="4"/>
  <c r="B39" i="4"/>
  <c r="B38" i="4"/>
  <c r="B41" i="4"/>
  <c r="B40" i="4"/>
  <c r="V42" i="4"/>
  <c r="V40" i="4"/>
  <c r="F36" i="4"/>
  <c r="Y38" i="4"/>
  <c r="W41" i="4"/>
  <c r="C39" i="4"/>
  <c r="C38" i="4"/>
  <c r="C41" i="4"/>
  <c r="C40" i="4"/>
  <c r="W42" i="4"/>
  <c r="W40" i="4"/>
  <c r="Y37" i="4"/>
  <c r="W39" i="4"/>
  <c r="B37" i="4"/>
  <c r="X40" i="4"/>
  <c r="D41" i="4"/>
  <c r="D40" i="4"/>
  <c r="X41" i="4"/>
  <c r="D39" i="4"/>
  <c r="X42" i="4"/>
  <c r="D38" i="4"/>
  <c r="X37" i="4"/>
  <c r="L38" i="4"/>
  <c r="AA37" i="4"/>
  <c r="V37" i="4"/>
  <c r="O38" i="4"/>
  <c r="C37" i="4"/>
  <c r="C36" i="4"/>
  <c r="Z42" i="4"/>
  <c r="F38" i="4"/>
  <c r="F41" i="4"/>
  <c r="F40" i="4"/>
  <c r="F39" i="4"/>
  <c r="Z41" i="4"/>
  <c r="Z40" i="4"/>
  <c r="N66" i="1"/>
  <c r="N65" i="1"/>
  <c r="O65" i="1"/>
  <c r="N69" i="1"/>
  <c r="O69" i="1"/>
  <c r="N70" i="1"/>
  <c r="O64" i="1"/>
  <c r="I31" i="2"/>
  <c r="AT63" i="1"/>
  <c r="AT62" i="1"/>
  <c r="AT61" i="1"/>
  <c r="AT60" i="1"/>
  <c r="O7" i="2"/>
  <c r="O8" i="2"/>
  <c r="O8" i="1"/>
  <c r="O7" i="1"/>
  <c r="AA60" i="2"/>
  <c r="Q60" i="2"/>
  <c r="G59" i="2"/>
  <c r="X57" i="2"/>
  <c r="N57" i="2"/>
  <c r="D56" i="2"/>
  <c r="AA51" i="2"/>
  <c r="Q51" i="2"/>
  <c r="G50" i="2"/>
  <c r="O9" i="2"/>
  <c r="E9" i="2"/>
  <c r="Y9" i="2" s="1"/>
  <c r="E8" i="2"/>
  <c r="Y8" i="2" s="1"/>
  <c r="E7" i="2"/>
  <c r="Y7" i="2" s="1"/>
  <c r="Y5" i="2"/>
  <c r="W5" i="2"/>
  <c r="O5" i="2"/>
  <c r="M55" i="2" s="1"/>
  <c r="M5" i="2"/>
  <c r="M56" i="2" s="1"/>
  <c r="E5" i="2"/>
  <c r="F48" i="2" s="1"/>
  <c r="C5" i="2"/>
  <c r="E57" i="2" s="1"/>
  <c r="E8" i="1"/>
  <c r="E7" i="1"/>
  <c r="M5" i="1"/>
  <c r="E5" i="1"/>
  <c r="C5" i="1"/>
  <c r="M48" i="7" l="1"/>
  <c r="M59" i="7" s="1" a="1"/>
  <c r="M59" i="7" s="1"/>
  <c r="M39" i="7"/>
  <c r="U50" i="5"/>
  <c r="U48" i="5" a="1"/>
  <c r="U48" i="5" s="1"/>
  <c r="S59" i="5" s="1" a="1"/>
  <c r="S59" i="5" s="1"/>
  <c r="M39" i="5"/>
  <c r="O50" i="5"/>
  <c r="M50" i="5" a="1"/>
  <c r="M50" i="5" s="1"/>
  <c r="O48" i="5" a="1"/>
  <c r="O48" i="5" s="1"/>
  <c r="M48" i="5" a="1"/>
  <c r="M48" i="5" s="1"/>
  <c r="AX66" i="4" a="1"/>
  <c r="AX66" i="4" s="1"/>
  <c r="D20" i="4"/>
  <c r="AM6" i="4" s="1"/>
  <c r="M20" i="4"/>
  <c r="BE9" i="4" s="1"/>
  <c r="N20" i="4"/>
  <c r="BF9" i="4" s="1"/>
  <c r="AP49" i="4" s="1"/>
  <c r="P20" i="4"/>
  <c r="BK9" i="4" s="1"/>
  <c r="AU49" i="4" s="1"/>
  <c r="X21" i="4"/>
  <c r="AS32" i="4" s="1"/>
  <c r="L20" i="4"/>
  <c r="BD9" i="4" s="1"/>
  <c r="AA21" i="4"/>
  <c r="AX32" i="4" s="1"/>
  <c r="AX53" i="4" s="1"/>
  <c r="Y21" i="4"/>
  <c r="AT32" i="4" s="1"/>
  <c r="AT53" i="4" s="1"/>
  <c r="Z21" i="4"/>
  <c r="AU32" i="4" s="1"/>
  <c r="AU53" i="4" s="1"/>
  <c r="V21" i="4"/>
  <c r="AQ32" i="4" s="1"/>
  <c r="AQ53" i="4" s="1"/>
  <c r="B20" i="4"/>
  <c r="AK6" i="4" s="1"/>
  <c r="AK46" i="4" s="1"/>
  <c r="E25" i="4"/>
  <c r="AN18" i="4" s="1"/>
  <c r="AN58" i="4" s="1"/>
  <c r="D25" i="4"/>
  <c r="AM18" i="4" s="1"/>
  <c r="G25" i="4"/>
  <c r="AW18" i="4" s="1"/>
  <c r="AW58" i="4" s="1"/>
  <c r="F25" i="4"/>
  <c r="AO18" i="4" s="1"/>
  <c r="AO58" i="4" s="1"/>
  <c r="C25" i="4"/>
  <c r="AL18" i="4" s="1"/>
  <c r="B25" i="4"/>
  <c r="AK18" i="4" s="1"/>
  <c r="O25" i="4"/>
  <c r="BJ17" i="4" s="1"/>
  <c r="AT57" i="4" s="1"/>
  <c r="N25" i="4"/>
  <c r="BF17" i="4" s="1"/>
  <c r="AP57" i="4" s="1"/>
  <c r="M25" i="4"/>
  <c r="BE17" i="4" s="1"/>
  <c r="AO57" i="4" s="1"/>
  <c r="L25" i="4"/>
  <c r="BD17" i="4" s="1"/>
  <c r="AN57" i="4" s="1"/>
  <c r="Q25" i="4"/>
  <c r="BL17" i="4" s="1"/>
  <c r="AV57" i="4" s="1"/>
  <c r="P25" i="4"/>
  <c r="BK17" i="4" s="1"/>
  <c r="AU57" i="4" s="1"/>
  <c r="G20" i="4"/>
  <c r="AW6" i="4" s="1"/>
  <c r="AW46" i="4" s="1"/>
  <c r="E20" i="4"/>
  <c r="AN6" i="4" s="1"/>
  <c r="AN46" i="4" s="1"/>
  <c r="AA25" i="4"/>
  <c r="AX38" i="4" s="1"/>
  <c r="AX59" i="4" s="1"/>
  <c r="Z25" i="4"/>
  <c r="AU38" i="4" s="1"/>
  <c r="AU59" i="4" s="1"/>
  <c r="Y25" i="4"/>
  <c r="AT38" i="4" s="1"/>
  <c r="AT59" i="4" s="1"/>
  <c r="X25" i="4"/>
  <c r="AS38" i="4" s="1"/>
  <c r="V25" i="4"/>
  <c r="AQ38" i="4" s="1"/>
  <c r="AQ59" i="4" s="1"/>
  <c r="W25" i="4"/>
  <c r="AR38" i="4" s="1"/>
  <c r="D24" i="4"/>
  <c r="AM10" i="4" s="1"/>
  <c r="C24" i="4"/>
  <c r="AL10" i="4" s="1"/>
  <c r="B24" i="4"/>
  <c r="AK10" i="4" s="1"/>
  <c r="F24" i="4"/>
  <c r="AO10" i="4" s="1"/>
  <c r="G24" i="4"/>
  <c r="AW10" i="4" s="1"/>
  <c r="AW50" i="4" s="1"/>
  <c r="E24" i="4"/>
  <c r="AN10" i="4" s="1"/>
  <c r="C21" i="4"/>
  <c r="AL7" i="4" s="1"/>
  <c r="E21" i="4"/>
  <c r="AN7" i="4" s="1"/>
  <c r="AN47" i="4" s="1"/>
  <c r="G21" i="4"/>
  <c r="AW7" i="4" s="1"/>
  <c r="AW47" i="4" s="1"/>
  <c r="F21" i="4"/>
  <c r="AO7" i="4" s="1"/>
  <c r="AO47" i="4" s="1"/>
  <c r="D21" i="4"/>
  <c r="AM7" i="4" s="1"/>
  <c r="B21" i="4"/>
  <c r="AK7" i="4" s="1"/>
  <c r="Q23" i="4"/>
  <c r="BL15" i="4" s="1"/>
  <c r="AV55" i="4" s="1"/>
  <c r="L23" i="4"/>
  <c r="BD15" i="4" s="1"/>
  <c r="AN55" i="4" s="1"/>
  <c r="P23" i="4"/>
  <c r="BK15" i="4" s="1"/>
  <c r="O23" i="4"/>
  <c r="BJ15" i="4" s="1"/>
  <c r="N23" i="4"/>
  <c r="BF15" i="4" s="1"/>
  <c r="AP55" i="4" s="1"/>
  <c r="M23" i="4"/>
  <c r="BE15" i="4" s="1"/>
  <c r="AO55" i="4" s="1"/>
  <c r="F23" i="4"/>
  <c r="AO9" i="4" s="1"/>
  <c r="AO49" i="4" s="1"/>
  <c r="E23" i="4"/>
  <c r="AN9" i="4" s="1"/>
  <c r="D23" i="4"/>
  <c r="AM9" i="4" s="1"/>
  <c r="B23" i="4"/>
  <c r="AK9" i="4" s="1"/>
  <c r="C23" i="4"/>
  <c r="AL9" i="4" s="1"/>
  <c r="G23" i="4"/>
  <c r="AW9" i="4" s="1"/>
  <c r="AW49" i="4" s="1"/>
  <c r="AA20" i="4"/>
  <c r="AX31" i="4" s="1"/>
  <c r="AX52" i="4" s="1"/>
  <c r="Z20" i="4"/>
  <c r="AU31" i="4" s="1"/>
  <c r="AU52" i="4" s="1"/>
  <c r="Y20" i="4"/>
  <c r="AT31" i="4" s="1"/>
  <c r="AT52" i="4" s="1"/>
  <c r="X20" i="4"/>
  <c r="AS31" i="4" s="1"/>
  <c r="W20" i="4"/>
  <c r="AR31" i="4" s="1"/>
  <c r="V20" i="4"/>
  <c r="AQ31" i="4" s="1"/>
  <c r="AQ52" i="4" s="1"/>
  <c r="AA23" i="4"/>
  <c r="AX34" i="4" s="1"/>
  <c r="AX55" i="4" s="1"/>
  <c r="W23" i="4"/>
  <c r="AR34" i="4" s="1"/>
  <c r="Z23" i="4"/>
  <c r="AU34" i="4" s="1"/>
  <c r="Y23" i="4"/>
  <c r="AT34" i="4" s="1"/>
  <c r="X23" i="4"/>
  <c r="AS34" i="4" s="1"/>
  <c r="V23" i="4"/>
  <c r="AQ34" i="4" s="1"/>
  <c r="AQ55" i="4" s="1"/>
  <c r="BB54" i="4"/>
  <c r="AY31" i="4"/>
  <c r="BB52" i="4" s="1"/>
  <c r="BB53" i="4"/>
  <c r="BB56" i="4"/>
  <c r="D22" i="4"/>
  <c r="AM8" i="4" s="1"/>
  <c r="C22" i="4"/>
  <c r="AL8" i="4" s="1"/>
  <c r="G22" i="4"/>
  <c r="AW8" i="4" s="1"/>
  <c r="AW48" i="4" s="1"/>
  <c r="F22" i="4"/>
  <c r="AO8" i="4" s="1"/>
  <c r="AO48" i="4" s="1"/>
  <c r="E22" i="4"/>
  <c r="AN8" i="4" s="1"/>
  <c r="AN48" i="4" s="1"/>
  <c r="B22" i="4"/>
  <c r="AK8" i="4" s="1"/>
  <c r="Z22" i="4"/>
  <c r="AU33" i="4" s="1"/>
  <c r="AU54" i="4" s="1"/>
  <c r="Y22" i="4"/>
  <c r="AT33" i="4" s="1"/>
  <c r="AT54" i="4" s="1"/>
  <c r="AA22" i="4"/>
  <c r="AX33" i="4" s="1"/>
  <c r="AX54" i="4" s="1"/>
  <c r="X22" i="4"/>
  <c r="AS33" i="4" s="1"/>
  <c r="W22" i="4"/>
  <c r="AR33" i="4" s="1"/>
  <c r="V22" i="4"/>
  <c r="AQ33" i="4" s="1"/>
  <c r="AQ54" i="4" s="1"/>
  <c r="M24" i="4"/>
  <c r="BE16" i="4" s="1"/>
  <c r="AO56" i="4" s="1"/>
  <c r="L24" i="4"/>
  <c r="BD16" i="4" s="1"/>
  <c r="AN56" i="4" s="1"/>
  <c r="Q24" i="4"/>
  <c r="BL16" i="4" s="1"/>
  <c r="AV56" i="4" s="1"/>
  <c r="P24" i="4"/>
  <c r="BK16" i="4" s="1"/>
  <c r="O24" i="4"/>
  <c r="BJ16" i="4" s="1"/>
  <c r="N24" i="4"/>
  <c r="BF16" i="4" s="1"/>
  <c r="AP56" i="4" s="1"/>
  <c r="W21" i="4"/>
  <c r="AR32" i="4" s="1"/>
  <c r="F20" i="4"/>
  <c r="AO6" i="4" s="1"/>
  <c r="AO46" i="4" s="1"/>
  <c r="C20" i="4"/>
  <c r="AL6" i="4" s="1"/>
  <c r="Z24" i="4"/>
  <c r="AU35" i="4" s="1"/>
  <c r="W24" i="4"/>
  <c r="AR35" i="4" s="1"/>
  <c r="V24" i="4"/>
  <c r="AQ35" i="4" s="1"/>
  <c r="AQ56" i="4" s="1"/>
  <c r="AA24" i="4"/>
  <c r="AX35" i="4" s="1"/>
  <c r="AX56" i="4" s="1"/>
  <c r="X24" i="4"/>
  <c r="AS35" i="4" s="1"/>
  <c r="Y24" i="4"/>
  <c r="AT35" i="4" s="1"/>
  <c r="L21" i="4"/>
  <c r="BD10" i="4" s="1"/>
  <c r="Q21" i="4"/>
  <c r="BL10" i="4" s="1"/>
  <c r="AV50" i="4" s="1"/>
  <c r="O21" i="4"/>
  <c r="BJ10" i="4" s="1"/>
  <c r="AT50" i="4" s="1"/>
  <c r="N21" i="4"/>
  <c r="BF10" i="4" s="1"/>
  <c r="AP50" i="4" s="1"/>
  <c r="P21" i="4"/>
  <c r="BK10" i="4" s="1"/>
  <c r="AU50" i="4" s="1"/>
  <c r="M21" i="4"/>
  <c r="BE10" i="4" s="1"/>
  <c r="Q22" i="4"/>
  <c r="BL11" i="4" s="1"/>
  <c r="AV51" i="4" s="1"/>
  <c r="N22" i="4"/>
  <c r="BF11" i="4" s="1"/>
  <c r="AP51" i="4" s="1"/>
  <c r="M22" i="4"/>
  <c r="BE11" i="4" s="1"/>
  <c r="AO51" i="4" s="1"/>
  <c r="L22" i="4"/>
  <c r="BD11" i="4" s="1"/>
  <c r="AN51" i="4" s="1"/>
  <c r="P22" i="4"/>
  <c r="BK11" i="4" s="1"/>
  <c r="AU51" i="4" s="1"/>
  <c r="O22" i="4"/>
  <c r="BJ11" i="4" s="1"/>
  <c r="AT51" i="4" s="1"/>
  <c r="AC22" i="1"/>
  <c r="AX30" i="1" s="1"/>
  <c r="AZ51" i="1" s="1"/>
  <c r="O11" i="2"/>
  <c r="Q32" i="2" s="1"/>
  <c r="O10" i="2"/>
  <c r="O31" i="2" s="1"/>
  <c r="B46" i="2"/>
  <c r="M47" i="2"/>
  <c r="F57" i="2"/>
  <c r="E11" i="2"/>
  <c r="G33" i="2" s="1"/>
  <c r="L47" i="2"/>
  <c r="L31" i="2"/>
  <c r="L28" i="2"/>
  <c r="O28" i="2"/>
  <c r="D29" i="2"/>
  <c r="Z30" i="2"/>
  <c r="C46" i="2"/>
  <c r="V47" i="2"/>
  <c r="L46" i="2"/>
  <c r="W47" i="2"/>
  <c r="E58" i="2"/>
  <c r="M46" i="2"/>
  <c r="B55" i="2"/>
  <c r="F58" i="2"/>
  <c r="W32" i="2"/>
  <c r="Z32" i="2"/>
  <c r="V46" i="2"/>
  <c r="O50" i="2"/>
  <c r="C55" i="2"/>
  <c r="O58" i="2"/>
  <c r="P58" i="2"/>
  <c r="E49" i="2"/>
  <c r="Z50" i="2"/>
  <c r="V55" i="2"/>
  <c r="Z58" i="2"/>
  <c r="E10" i="2"/>
  <c r="B45" i="2"/>
  <c r="F49" i="2"/>
  <c r="B54" i="2"/>
  <c r="W55" i="2"/>
  <c r="Y50" i="2"/>
  <c r="C45" i="2"/>
  <c r="O49" i="2"/>
  <c r="C54" i="2"/>
  <c r="O59" i="2"/>
  <c r="W46" i="2"/>
  <c r="L55" i="2"/>
  <c r="Y58" i="2"/>
  <c r="P49" i="2"/>
  <c r="L56" i="2"/>
  <c r="P59" i="2"/>
  <c r="P50" i="2"/>
  <c r="Y49" i="2"/>
  <c r="Y59" i="2"/>
  <c r="E48" i="2"/>
  <c r="Z49" i="2"/>
  <c r="V56" i="2"/>
  <c r="Z59" i="2"/>
  <c r="W56" i="2"/>
  <c r="AA60" i="1"/>
  <c r="X57" i="1"/>
  <c r="AA51" i="1"/>
  <c r="Y5" i="1"/>
  <c r="W5" i="1"/>
  <c r="Q60" i="1"/>
  <c r="N57" i="1"/>
  <c r="O9" i="1"/>
  <c r="Q51" i="1"/>
  <c r="O5" i="1"/>
  <c r="M46" i="1" s="1"/>
  <c r="L46" i="1"/>
  <c r="G59" i="1"/>
  <c r="D56" i="1"/>
  <c r="E9" i="1"/>
  <c r="Y9" i="1" s="1"/>
  <c r="Y8" i="1"/>
  <c r="Y7" i="1"/>
  <c r="G50" i="1"/>
  <c r="Z59" i="1"/>
  <c r="M59" i="5" l="1" a="1"/>
  <c r="M59" i="5" s="1"/>
  <c r="AK70" i="4" a="1"/>
  <c r="AK70" i="4" s="1"/>
  <c r="AO66" i="4" a="1"/>
  <c r="AO66" i="4" s="1"/>
  <c r="AX70" i="4" a="1"/>
  <c r="AX70" i="4" s="1"/>
  <c r="AV79" i="4" s="1" a="1"/>
  <c r="AV79" i="4" s="1"/>
  <c r="AN49" i="4"/>
  <c r="AO50" i="4"/>
  <c r="AU56" i="4"/>
  <c r="AN50" i="4"/>
  <c r="AU55" i="4"/>
  <c r="AT55" i="4"/>
  <c r="AT56" i="4"/>
  <c r="X32" i="2"/>
  <c r="Q30" i="2"/>
  <c r="P32" i="2"/>
  <c r="N33" i="2"/>
  <c r="Q33" i="2"/>
  <c r="P33" i="2"/>
  <c r="Q29" i="2"/>
  <c r="Q38" i="2" s="1"/>
  <c r="M29" i="2"/>
  <c r="M38" i="2" s="1"/>
  <c r="N32" i="2"/>
  <c r="P30" i="2"/>
  <c r="P29" i="2"/>
  <c r="P38" i="2" s="1"/>
  <c r="M32" i="2"/>
  <c r="N29" i="2"/>
  <c r="M30" i="2"/>
  <c r="N30" i="2"/>
  <c r="M33" i="2"/>
  <c r="Z33" i="2"/>
  <c r="D32" i="2"/>
  <c r="F30" i="2"/>
  <c r="G32" i="2"/>
  <c r="AA32" i="2"/>
  <c r="F33" i="2"/>
  <c r="W30" i="2"/>
  <c r="D30" i="2"/>
  <c r="W33" i="2"/>
  <c r="AA30" i="2"/>
  <c r="C30" i="2"/>
  <c r="W29" i="2"/>
  <c r="F32" i="2"/>
  <c r="D33" i="2"/>
  <c r="Z29" i="2"/>
  <c r="C29" i="2"/>
  <c r="X33" i="2"/>
  <c r="C33" i="2"/>
  <c r="X29" i="2"/>
  <c r="X30" i="2"/>
  <c r="AA33" i="2"/>
  <c r="F29" i="2"/>
  <c r="C32" i="2"/>
  <c r="AC24" i="2"/>
  <c r="AA29" i="2"/>
  <c r="Y11" i="2"/>
  <c r="G29" i="2"/>
  <c r="G30" i="2"/>
  <c r="AC21" i="2"/>
  <c r="L38" i="2"/>
  <c r="S21" i="2"/>
  <c r="O38" i="2"/>
  <c r="AC25" i="2"/>
  <c r="AY38" i="2" s="1"/>
  <c r="BB59" i="2" s="1"/>
  <c r="AC20" i="2"/>
  <c r="O40" i="2"/>
  <c r="O41" i="2"/>
  <c r="O42" i="2"/>
  <c r="O39" i="2"/>
  <c r="AC22" i="2"/>
  <c r="S22" i="2"/>
  <c r="S25" i="2"/>
  <c r="S24" i="2"/>
  <c r="S23" i="2"/>
  <c r="I21" i="2"/>
  <c r="AY7" i="2" s="1"/>
  <c r="BB47" i="2" s="1"/>
  <c r="L37" i="2"/>
  <c r="O37" i="2"/>
  <c r="S20" i="2"/>
  <c r="I20" i="2"/>
  <c r="BB46" i="2" s="1"/>
  <c r="AC23" i="2"/>
  <c r="I25" i="2"/>
  <c r="AY18" i="2" s="1"/>
  <c r="BB58" i="2" s="1"/>
  <c r="I23" i="2"/>
  <c r="AY9" i="2" s="1"/>
  <c r="I22" i="2"/>
  <c r="AY8" i="2" s="1"/>
  <c r="BB48" i="2" s="1"/>
  <c r="I24" i="2"/>
  <c r="AY10" i="2" s="1"/>
  <c r="L39" i="2"/>
  <c r="L42" i="2"/>
  <c r="L41" i="2"/>
  <c r="L40" i="2"/>
  <c r="V31" i="2"/>
  <c r="V28" i="2"/>
  <c r="E31" i="2"/>
  <c r="E28" i="2"/>
  <c r="B31" i="2"/>
  <c r="Y28" i="2"/>
  <c r="Y10" i="2"/>
  <c r="Y31" i="2"/>
  <c r="B28" i="2"/>
  <c r="O11" i="1"/>
  <c r="Q32" i="1" s="1"/>
  <c r="E11" i="1"/>
  <c r="X33" i="1" s="1"/>
  <c r="S25" i="1"/>
  <c r="B54" i="1"/>
  <c r="I20" i="1" s="1"/>
  <c r="O10" i="1"/>
  <c r="L31" i="1" s="1"/>
  <c r="M56" i="1"/>
  <c r="P58" i="1"/>
  <c r="M55" i="1"/>
  <c r="L56" i="1"/>
  <c r="Y49" i="1"/>
  <c r="F49" i="1"/>
  <c r="Y50" i="1"/>
  <c r="Y59" i="1"/>
  <c r="AC24" i="1" s="1"/>
  <c r="AX32" i="1" s="1"/>
  <c r="W46" i="1"/>
  <c r="F48" i="1"/>
  <c r="V56" i="1"/>
  <c r="W55" i="1"/>
  <c r="B46" i="1"/>
  <c r="B55" i="1"/>
  <c r="V47" i="1"/>
  <c r="E58" i="1"/>
  <c r="F57" i="1"/>
  <c r="E49" i="1"/>
  <c r="C45" i="1"/>
  <c r="Z49" i="1"/>
  <c r="C54" i="1"/>
  <c r="Z58" i="1"/>
  <c r="E57" i="1"/>
  <c r="E10" i="1"/>
  <c r="S22" i="1"/>
  <c r="L55" i="1"/>
  <c r="Z50" i="1"/>
  <c r="Y58" i="1"/>
  <c r="O58" i="1"/>
  <c r="B45" i="1"/>
  <c r="C55" i="1"/>
  <c r="L47" i="1"/>
  <c r="O49" i="1"/>
  <c r="C46" i="1"/>
  <c r="M47" i="1"/>
  <c r="P49" i="1"/>
  <c r="AC25" i="1"/>
  <c r="AX33" i="1" s="1"/>
  <c r="F58" i="1"/>
  <c r="O50" i="1"/>
  <c r="O59" i="1"/>
  <c r="W47" i="1"/>
  <c r="P50" i="1"/>
  <c r="P59" i="1"/>
  <c r="V55" i="1"/>
  <c r="E48" i="1"/>
  <c r="V46" i="1"/>
  <c r="W56" i="1"/>
  <c r="U59" i="7" l="1" a="1"/>
  <c r="U59" i="5" a="1"/>
  <c r="P30" i="1"/>
  <c r="M30" i="1"/>
  <c r="AK66" i="4" a="1"/>
  <c r="AK66" i="4" s="1"/>
  <c r="AO70" i="4" a="1"/>
  <c r="AO70" i="4" s="1"/>
  <c r="BO15" i="2" a="1"/>
  <c r="AY31" i="2" a="1"/>
  <c r="BO9" i="2" a="1"/>
  <c r="BB50" i="2" s="1"/>
  <c r="BO15" i="2"/>
  <c r="BB57" i="2"/>
  <c r="C33" i="1"/>
  <c r="AL91" i="1" s="1"/>
  <c r="Z33" i="1"/>
  <c r="M33" i="1"/>
  <c r="D30" i="1"/>
  <c r="AM88" i="1" s="1"/>
  <c r="S21" i="1"/>
  <c r="X32" i="1"/>
  <c r="F30" i="1"/>
  <c r="AO88" i="1" s="1"/>
  <c r="N30" i="1"/>
  <c r="N33" i="1"/>
  <c r="C32" i="1"/>
  <c r="AL90" i="1" s="1"/>
  <c r="G33" i="1"/>
  <c r="AP91" i="1" s="1"/>
  <c r="W30" i="1"/>
  <c r="N29" i="1"/>
  <c r="F32" i="1"/>
  <c r="AO90" i="1" s="1"/>
  <c r="Z30" i="1"/>
  <c r="M29" i="1"/>
  <c r="D29" i="1"/>
  <c r="AM87" i="1" s="1"/>
  <c r="N38" i="2"/>
  <c r="M21" i="2" s="1"/>
  <c r="BE10" i="2" s="1"/>
  <c r="M37" i="2"/>
  <c r="M40" i="2"/>
  <c r="P37" i="2"/>
  <c r="N42" i="2"/>
  <c r="N39" i="2"/>
  <c r="N40" i="2"/>
  <c r="N41" i="2"/>
  <c r="N37" i="2"/>
  <c r="P20" i="2" s="1"/>
  <c r="BK9" i="2" s="1"/>
  <c r="AU49" i="2" s="1"/>
  <c r="Q41" i="2"/>
  <c r="P39" i="2"/>
  <c r="Q42" i="2"/>
  <c r="Z38" i="2"/>
  <c r="M39" i="2"/>
  <c r="Q40" i="2"/>
  <c r="M41" i="2"/>
  <c r="P40" i="2"/>
  <c r="Q39" i="2"/>
  <c r="Q37" i="2"/>
  <c r="P42" i="2"/>
  <c r="P41" i="2"/>
  <c r="M42" i="2"/>
  <c r="V39" i="2"/>
  <c r="Z39" i="2"/>
  <c r="L28" i="1"/>
  <c r="L42" i="1" s="1"/>
  <c r="Q33" i="1"/>
  <c r="Q29" i="1"/>
  <c r="P33" i="1"/>
  <c r="P32" i="1"/>
  <c r="N32" i="1"/>
  <c r="N42" i="1" s="1"/>
  <c r="M32" i="1"/>
  <c r="P29" i="1"/>
  <c r="Q30" i="1"/>
  <c r="F39" i="2"/>
  <c r="W39" i="2"/>
  <c r="D40" i="2"/>
  <c r="C37" i="2"/>
  <c r="D41" i="2"/>
  <c r="X40" i="2"/>
  <c r="D37" i="2"/>
  <c r="D39" i="2"/>
  <c r="X41" i="2"/>
  <c r="W38" i="2"/>
  <c r="W37" i="2"/>
  <c r="Z37" i="2"/>
  <c r="D36" i="2"/>
  <c r="AA37" i="2"/>
  <c r="G36" i="2"/>
  <c r="F37" i="2"/>
  <c r="X39" i="2"/>
  <c r="X42" i="2"/>
  <c r="D38" i="2"/>
  <c r="Z42" i="2"/>
  <c r="F40" i="2"/>
  <c r="F41" i="2"/>
  <c r="AA40" i="2"/>
  <c r="Y37" i="2"/>
  <c r="Z40" i="2"/>
  <c r="Z41" i="2"/>
  <c r="X37" i="2"/>
  <c r="F38" i="2"/>
  <c r="AA39" i="2"/>
  <c r="F36" i="2"/>
  <c r="C39" i="2"/>
  <c r="W42" i="2"/>
  <c r="C36" i="2"/>
  <c r="W41" i="2"/>
  <c r="C38" i="2"/>
  <c r="W40" i="2"/>
  <c r="C41" i="2"/>
  <c r="X38" i="2"/>
  <c r="C40" i="2"/>
  <c r="AA38" i="2"/>
  <c r="G37" i="2"/>
  <c r="G41" i="2"/>
  <c r="B37" i="2"/>
  <c r="AA41" i="2"/>
  <c r="G39" i="2"/>
  <c r="AA42" i="2"/>
  <c r="G38" i="2"/>
  <c r="E36" i="2"/>
  <c r="B36" i="2"/>
  <c r="G40" i="2"/>
  <c r="Y38" i="2"/>
  <c r="P21" i="2"/>
  <c r="BK10" i="2" s="1"/>
  <c r="AU50" i="2" s="1"/>
  <c r="O21" i="2"/>
  <c r="BJ10" i="2" s="1"/>
  <c r="AT50" i="2" s="1"/>
  <c r="Q21" i="2"/>
  <c r="BL10" i="2" s="1"/>
  <c r="AV50" i="2" s="1"/>
  <c r="L21" i="2"/>
  <c r="BD10" i="2" s="1"/>
  <c r="N21" i="2"/>
  <c r="BF10" i="2" s="1"/>
  <c r="AP50" i="2" s="1"/>
  <c r="V38" i="2"/>
  <c r="V37" i="2"/>
  <c r="E37" i="2"/>
  <c r="Y39" i="2"/>
  <c r="B41" i="2"/>
  <c r="B40" i="2"/>
  <c r="B38" i="2"/>
  <c r="V41" i="2"/>
  <c r="B39" i="2"/>
  <c r="V42" i="2"/>
  <c r="V40" i="2"/>
  <c r="Y41" i="2"/>
  <c r="E39" i="2"/>
  <c r="Y40" i="2"/>
  <c r="E38" i="2"/>
  <c r="E40" i="2"/>
  <c r="Y42" i="2"/>
  <c r="E41" i="2"/>
  <c r="AA32" i="1"/>
  <c r="O28" i="1"/>
  <c r="G32" i="1"/>
  <c r="AP90" i="1" s="1"/>
  <c r="W29" i="1"/>
  <c r="AA30" i="1"/>
  <c r="F29" i="1"/>
  <c r="AO87" i="1" s="1"/>
  <c r="AA33" i="1"/>
  <c r="G29" i="1"/>
  <c r="AP87" i="1" s="1"/>
  <c r="C30" i="1"/>
  <c r="AL88" i="1" s="1"/>
  <c r="X29" i="1"/>
  <c r="D33" i="1"/>
  <c r="AM91" i="1" s="1"/>
  <c r="Y11" i="1"/>
  <c r="F33" i="1"/>
  <c r="AO91" i="1" s="1"/>
  <c r="Z29" i="1"/>
  <c r="AA29" i="1"/>
  <c r="D32" i="1"/>
  <c r="AM90" i="1" s="1"/>
  <c r="W33" i="1"/>
  <c r="S23" i="1"/>
  <c r="X30" i="1"/>
  <c r="G30" i="1"/>
  <c r="AP88" i="1" s="1"/>
  <c r="C29" i="1"/>
  <c r="AL87" i="1" s="1"/>
  <c r="O31" i="1"/>
  <c r="AC23" i="1"/>
  <c r="AX31" i="1" s="1"/>
  <c r="Z32" i="1"/>
  <c r="W32" i="1"/>
  <c r="AX6" i="1"/>
  <c r="AZ43" i="1" s="1"/>
  <c r="S24" i="1"/>
  <c r="I22" i="1"/>
  <c r="I25" i="1"/>
  <c r="I23" i="1"/>
  <c r="I24" i="1"/>
  <c r="I21" i="1"/>
  <c r="S20" i="1"/>
  <c r="AC20" i="1"/>
  <c r="AX28" i="1" s="1"/>
  <c r="AZ49" i="1" s="1"/>
  <c r="V28" i="1"/>
  <c r="B31" i="1"/>
  <c r="AK89" i="1" s="1"/>
  <c r="B28" i="1"/>
  <c r="AK86" i="1" s="1"/>
  <c r="Y10" i="1"/>
  <c r="E28" i="1"/>
  <c r="AN86" i="1" s="1"/>
  <c r="Y31" i="1"/>
  <c r="V31" i="1"/>
  <c r="Y28" i="1"/>
  <c r="E31" i="1"/>
  <c r="AN89" i="1" s="1"/>
  <c r="AC21" i="1"/>
  <c r="AX29" i="1" s="1"/>
  <c r="AZ50" i="1" s="1"/>
  <c r="W60" i="7" l="1"/>
  <c r="X27" i="7"/>
  <c r="U59" i="7"/>
  <c r="U67" i="5"/>
  <c r="U66" i="5"/>
  <c r="X25" i="5" s="1"/>
  <c r="W61" i="5"/>
  <c r="X27" i="5"/>
  <c r="X26" i="5"/>
  <c r="U59" i="5"/>
  <c r="X24" i="5" s="1"/>
  <c r="M38" i="1"/>
  <c r="AX10" i="1"/>
  <c r="AX7" i="1"/>
  <c r="AZ44" i="1" s="1"/>
  <c r="AX11" i="1"/>
  <c r="AX8" i="1"/>
  <c r="AZ45" i="1" s="1"/>
  <c r="AX9" i="1"/>
  <c r="AK79" i="4" a="1"/>
  <c r="AK79" i="4" s="1"/>
  <c r="BN9" i="1" a="1"/>
  <c r="BN9" i="1" s="1"/>
  <c r="BN15" i="1" a="1"/>
  <c r="BB56" i="2"/>
  <c r="BB55" i="2"/>
  <c r="AV69" i="2" s="1" a="1"/>
  <c r="AV69" i="2" s="1"/>
  <c r="M22" i="2"/>
  <c r="BE11" i="2" s="1"/>
  <c r="AO51" i="2" s="1"/>
  <c r="P25" i="2"/>
  <c r="BK17" i="2" s="1"/>
  <c r="AU57" i="2" s="1"/>
  <c r="AY31" i="2"/>
  <c r="BB52" i="2" s="1"/>
  <c r="BB53" i="2"/>
  <c r="BB54" i="2"/>
  <c r="BO9" i="2"/>
  <c r="BB49" i="2" s="1"/>
  <c r="BB51" i="2"/>
  <c r="N41" i="1"/>
  <c r="M42" i="1"/>
  <c r="N39" i="1"/>
  <c r="L37" i="1"/>
  <c r="N40" i="1"/>
  <c r="N38" i="1"/>
  <c r="G39" i="1"/>
  <c r="N37" i="1"/>
  <c r="P39" i="1"/>
  <c r="AA39" i="1"/>
  <c r="L39" i="1"/>
  <c r="L41" i="1"/>
  <c r="Q40" i="1"/>
  <c r="L40" i="1"/>
  <c r="P41" i="1"/>
  <c r="P37" i="1"/>
  <c r="L38" i="1"/>
  <c r="P42" i="1"/>
  <c r="O20" i="2"/>
  <c r="BJ9" i="2" s="1"/>
  <c r="AT49" i="2" s="1"/>
  <c r="AN66" i="2" s="1" a="1"/>
  <c r="AN66" i="2" s="1"/>
  <c r="N20" i="2"/>
  <c r="BF9" i="2" s="1"/>
  <c r="AP49" i="2" s="1"/>
  <c r="Q23" i="2"/>
  <c r="BL15" i="2" s="1"/>
  <c r="AV55" i="2" s="1"/>
  <c r="O22" i="2"/>
  <c r="BJ11" i="2" s="1"/>
  <c r="AT51" i="2" s="1"/>
  <c r="M23" i="2"/>
  <c r="BE15" i="2" s="1"/>
  <c r="AO55" i="2" s="1"/>
  <c r="M25" i="2"/>
  <c r="BE17" i="2" s="1"/>
  <c r="AO57" i="2" s="1"/>
  <c r="O25" i="2"/>
  <c r="BJ17" i="2" s="1"/>
  <c r="AT57" i="2" s="1"/>
  <c r="L20" i="2"/>
  <c r="BD9" i="2" s="1"/>
  <c r="L25" i="2"/>
  <c r="BD17" i="2" s="1"/>
  <c r="AN57" i="2" s="1"/>
  <c r="M20" i="2"/>
  <c r="BE9" i="2" s="1"/>
  <c r="P24" i="2"/>
  <c r="BK16" i="2" s="1"/>
  <c r="N23" i="2"/>
  <c r="BF15" i="2" s="1"/>
  <c r="AP55" i="2" s="1"/>
  <c r="Q20" i="2"/>
  <c r="BL9" i="2" s="1"/>
  <c r="AV49" i="2" s="1"/>
  <c r="N25" i="2"/>
  <c r="BF17" i="2" s="1"/>
  <c r="AP57" i="2" s="1"/>
  <c r="M24" i="2"/>
  <c r="BE16" i="2" s="1"/>
  <c r="AO56" i="2" s="1"/>
  <c r="L22" i="2"/>
  <c r="BD11" i="2" s="1"/>
  <c r="AN51" i="2" s="1"/>
  <c r="O24" i="2"/>
  <c r="BJ16" i="2" s="1"/>
  <c r="N22" i="2"/>
  <c r="BF11" i="2" s="1"/>
  <c r="AP51" i="2" s="1"/>
  <c r="Q22" i="2"/>
  <c r="BL11" i="2" s="1"/>
  <c r="AV51" i="2" s="1"/>
  <c r="N24" i="2"/>
  <c r="BF16" i="2" s="1"/>
  <c r="AP56" i="2" s="1"/>
  <c r="P22" i="2"/>
  <c r="BK11" i="2" s="1"/>
  <c r="AU51" i="2" s="1"/>
  <c r="L24" i="2"/>
  <c r="BD16" i="2" s="1"/>
  <c r="AN56" i="2" s="1"/>
  <c r="Q24" i="2"/>
  <c r="BL16" i="2" s="1"/>
  <c r="AV56" i="2" s="1"/>
  <c r="P23" i="2"/>
  <c r="BK15" i="2" s="1"/>
  <c r="O23" i="2"/>
  <c r="BJ15" i="2" s="1"/>
  <c r="Q25" i="2"/>
  <c r="BL17" i="2" s="1"/>
  <c r="AV57" i="2" s="1"/>
  <c r="L23" i="2"/>
  <c r="BD15" i="2" s="1"/>
  <c r="AN55" i="2" s="1"/>
  <c r="P40" i="1"/>
  <c r="Q38" i="1"/>
  <c r="P38" i="1"/>
  <c r="M37" i="1"/>
  <c r="Q39" i="1"/>
  <c r="Q41" i="1"/>
  <c r="Q37" i="1"/>
  <c r="Q42" i="1"/>
  <c r="M40" i="1"/>
  <c r="M39" i="1"/>
  <c r="M41" i="1"/>
  <c r="D21" i="2"/>
  <c r="AM7" i="2" s="1"/>
  <c r="AM47" i="2" s="1"/>
  <c r="AA22" i="2"/>
  <c r="AX33" i="2" s="1"/>
  <c r="AX54" i="2" s="1"/>
  <c r="D20" i="2"/>
  <c r="AM6" i="2" s="1"/>
  <c r="AM46" i="2" s="1"/>
  <c r="E20" i="2"/>
  <c r="AN6" i="2" s="1"/>
  <c r="AN46" i="2" s="1"/>
  <c r="Z22" i="2"/>
  <c r="V22" i="2"/>
  <c r="C20" i="2"/>
  <c r="AL6" i="2" s="1"/>
  <c r="AL46" i="2" s="1"/>
  <c r="F20" i="2"/>
  <c r="AO6" i="2" s="1"/>
  <c r="AO46" i="2" s="1"/>
  <c r="G20" i="2"/>
  <c r="AW6" i="2" s="1"/>
  <c r="AW46" i="2" s="1"/>
  <c r="B20" i="2"/>
  <c r="X22" i="2"/>
  <c r="W22" i="2"/>
  <c r="Y22" i="2"/>
  <c r="B21" i="2"/>
  <c r="AK7" i="2" s="1"/>
  <c r="AK47" i="2" s="1"/>
  <c r="G21" i="2"/>
  <c r="AW7" i="2" s="1"/>
  <c r="AW47" i="2" s="1"/>
  <c r="W25" i="2"/>
  <c r="AR38" i="2" s="1"/>
  <c r="AR59" i="2" s="1"/>
  <c r="V25" i="2"/>
  <c r="AQ38" i="2" s="1"/>
  <c r="AQ59" i="2" s="1"/>
  <c r="X25" i="2"/>
  <c r="AS38" i="2" s="1"/>
  <c r="AS59" i="2" s="1"/>
  <c r="AA25" i="2"/>
  <c r="AX38" i="2" s="1"/>
  <c r="AX59" i="2" s="1"/>
  <c r="Y25" i="2"/>
  <c r="AT38" i="2" s="1"/>
  <c r="AT59" i="2" s="1"/>
  <c r="Z25" i="2"/>
  <c r="AU38" i="2" s="1"/>
  <c r="AU59" i="2" s="1"/>
  <c r="C23" i="2"/>
  <c r="AL9" i="2" s="1"/>
  <c r="AL49" i="2" s="1"/>
  <c r="G23" i="2"/>
  <c r="AW9" i="2" s="1"/>
  <c r="AW49" i="2" s="1"/>
  <c r="F23" i="2"/>
  <c r="AO9" i="2" s="1"/>
  <c r="AO49" i="2" s="1"/>
  <c r="E23" i="2"/>
  <c r="AN9" i="2" s="1"/>
  <c r="AN49" i="2" s="1"/>
  <c r="B23" i="2"/>
  <c r="AK9" i="2" s="1"/>
  <c r="AK49" i="2" s="1"/>
  <c r="D23" i="2"/>
  <c r="AM9" i="2" s="1"/>
  <c r="AM49" i="2" s="1"/>
  <c r="Y20" i="2"/>
  <c r="W20" i="2"/>
  <c r="Z20" i="2"/>
  <c r="V20" i="2"/>
  <c r="AA20" i="2"/>
  <c r="AX31" i="2" s="1"/>
  <c r="AX52" i="2" s="1"/>
  <c r="X20" i="2"/>
  <c r="F21" i="2"/>
  <c r="AO7" i="2" s="1"/>
  <c r="AO47" i="2" s="1"/>
  <c r="AA24" i="2"/>
  <c r="AX35" i="2" s="1"/>
  <c r="AX56" i="2" s="1"/>
  <c r="Z24" i="2"/>
  <c r="Y24" i="2"/>
  <c r="V24" i="2"/>
  <c r="X24" i="2"/>
  <c r="W24" i="2"/>
  <c r="D22" i="2"/>
  <c r="AM8" i="2" s="1"/>
  <c r="AM48" i="2" s="1"/>
  <c r="C22" i="2"/>
  <c r="AL8" i="2" s="1"/>
  <c r="AL48" i="2" s="1"/>
  <c r="G22" i="2"/>
  <c r="AW8" i="2" s="1"/>
  <c r="AW48" i="2" s="1"/>
  <c r="F22" i="2"/>
  <c r="AO8" i="2" s="1"/>
  <c r="AO48" i="2" s="1"/>
  <c r="B22" i="2"/>
  <c r="AK8" i="2" s="1"/>
  <c r="AK48" i="2" s="1"/>
  <c r="E22" i="2"/>
  <c r="AN8" i="2" s="1"/>
  <c r="AN48" i="2" s="1"/>
  <c r="F24" i="2"/>
  <c r="AO10" i="2" s="1"/>
  <c r="AO50" i="2" s="1"/>
  <c r="E24" i="2"/>
  <c r="AN10" i="2" s="1"/>
  <c r="AN50" i="2" s="1"/>
  <c r="G24" i="2"/>
  <c r="AW10" i="2" s="1"/>
  <c r="AW50" i="2" s="1"/>
  <c r="D24" i="2"/>
  <c r="AM10" i="2" s="1"/>
  <c r="AM50" i="2" s="1"/>
  <c r="C24" i="2"/>
  <c r="AL10" i="2" s="1"/>
  <c r="AL50" i="2" s="1"/>
  <c r="B24" i="2"/>
  <c r="AK10" i="2" s="1"/>
  <c r="AK50" i="2" s="1"/>
  <c r="E21" i="2"/>
  <c r="AN7" i="2" s="1"/>
  <c r="AN47" i="2" s="1"/>
  <c r="B25" i="2"/>
  <c r="AK18" i="2" s="1"/>
  <c r="AK58" i="2" s="1"/>
  <c r="E25" i="2"/>
  <c r="AN18" i="2" s="1"/>
  <c r="AN58" i="2" s="1"/>
  <c r="C25" i="2"/>
  <c r="AL18" i="2" s="1"/>
  <c r="AL58" i="2" s="1"/>
  <c r="G25" i="2"/>
  <c r="AW18" i="2" s="1"/>
  <c r="AW58" i="2" s="1"/>
  <c r="F25" i="2"/>
  <c r="AO18" i="2" s="1"/>
  <c r="AO58" i="2" s="1"/>
  <c r="D25" i="2"/>
  <c r="AM18" i="2" s="1"/>
  <c r="AM58" i="2" s="1"/>
  <c r="C21" i="2"/>
  <c r="AL7" i="2" s="1"/>
  <c r="AL47" i="2" s="1"/>
  <c r="AA21" i="2"/>
  <c r="AX32" i="2" s="1"/>
  <c r="AX53" i="2" s="1"/>
  <c r="Z21" i="2"/>
  <c r="Y21" i="2"/>
  <c r="X21" i="2"/>
  <c r="W21" i="2"/>
  <c r="V21" i="2"/>
  <c r="AA23" i="2"/>
  <c r="AX34" i="2" s="1"/>
  <c r="AX55" i="2" s="1"/>
  <c r="X23" i="2"/>
  <c r="Z23" i="2"/>
  <c r="Y23" i="2"/>
  <c r="W23" i="2"/>
  <c r="V23" i="2"/>
  <c r="F37" i="1"/>
  <c r="F36" i="1"/>
  <c r="F41" i="1"/>
  <c r="AA37" i="1"/>
  <c r="Z40" i="1"/>
  <c r="F39" i="1"/>
  <c r="AA42" i="1"/>
  <c r="Z41" i="1"/>
  <c r="F38" i="1"/>
  <c r="F40" i="1"/>
  <c r="D40" i="1"/>
  <c r="D41" i="1"/>
  <c r="C41" i="1"/>
  <c r="D38" i="1"/>
  <c r="X41" i="1"/>
  <c r="X42" i="1"/>
  <c r="D37" i="1"/>
  <c r="X40" i="1"/>
  <c r="W38" i="1"/>
  <c r="AA38" i="1"/>
  <c r="D39" i="1"/>
  <c r="C38" i="1"/>
  <c r="Z39" i="1"/>
  <c r="O40" i="1"/>
  <c r="G40" i="1"/>
  <c r="D36" i="1"/>
  <c r="G41" i="1"/>
  <c r="O38" i="1"/>
  <c r="O41" i="1"/>
  <c r="G36" i="1"/>
  <c r="Z42" i="1"/>
  <c r="AA41" i="1"/>
  <c r="Z38" i="1"/>
  <c r="X37" i="1"/>
  <c r="O39" i="1"/>
  <c r="C36" i="1"/>
  <c r="AA40" i="1"/>
  <c r="W40" i="1"/>
  <c r="W41" i="1"/>
  <c r="G38" i="1"/>
  <c r="W42" i="1"/>
  <c r="W37" i="1"/>
  <c r="C39" i="1"/>
  <c r="C40" i="1"/>
  <c r="O37" i="1"/>
  <c r="X39" i="1"/>
  <c r="C37" i="1"/>
  <c r="Z37" i="1"/>
  <c r="W39" i="1"/>
  <c r="G37" i="1"/>
  <c r="O42" i="1"/>
  <c r="X38" i="1"/>
  <c r="V38" i="1"/>
  <c r="V37" i="1"/>
  <c r="E40" i="1"/>
  <c r="E39" i="1"/>
  <c r="Y42" i="1"/>
  <c r="E38" i="1"/>
  <c r="Y40" i="1"/>
  <c r="E41" i="1"/>
  <c r="Y41" i="1"/>
  <c r="E36" i="1"/>
  <c r="B41" i="1"/>
  <c r="B40" i="1"/>
  <c r="B39" i="1"/>
  <c r="B38" i="1"/>
  <c r="V42" i="1"/>
  <c r="V40" i="1"/>
  <c r="V41" i="1"/>
  <c r="B36" i="1"/>
  <c r="B37" i="1"/>
  <c r="Y37" i="1"/>
  <c r="V39" i="1"/>
  <c r="E37" i="1"/>
  <c r="Y39" i="1"/>
  <c r="Y38" i="1"/>
  <c r="U66" i="7" l="1"/>
  <c r="U67" i="7"/>
  <c r="X25" i="7"/>
  <c r="X26" i="7"/>
  <c r="W59" i="5"/>
  <c r="T77" i="5" a="1"/>
  <c r="T77" i="5" s="1"/>
  <c r="Q23" i="1"/>
  <c r="BL15" i="1" s="1"/>
  <c r="BN15" i="1"/>
  <c r="AZ52" i="1" s="1"/>
  <c r="AZ53" i="1"/>
  <c r="AZ54" i="1"/>
  <c r="AZ48" i="1"/>
  <c r="AZ46" i="1"/>
  <c r="AZ47" i="1"/>
  <c r="AR80" i="4"/>
  <c r="AS88" i="4"/>
  <c r="AM87" i="4"/>
  <c r="AT81" i="4"/>
  <c r="AO81" i="4"/>
  <c r="AO87" i="4"/>
  <c r="AO88" i="4"/>
  <c r="AS81" i="4"/>
  <c r="AK81" i="4"/>
  <c r="AT84" i="4"/>
  <c r="AN85" i="4"/>
  <c r="AL88" i="4"/>
  <c r="AQ85" i="4"/>
  <c r="AQ83" i="4"/>
  <c r="AS83" i="4"/>
  <c r="AP88" i="4"/>
  <c r="AL79" i="4"/>
  <c r="AQ84" i="4"/>
  <c r="AT88" i="4"/>
  <c r="AN87" i="4"/>
  <c r="AT85" i="4"/>
  <c r="AP80" i="4"/>
  <c r="AK88" i="4"/>
  <c r="AM81" i="4"/>
  <c r="AO86" i="4"/>
  <c r="AT80" i="4"/>
  <c r="AS84" i="4"/>
  <c r="AN83" i="4"/>
  <c r="AM84" i="4"/>
  <c r="AR79" i="4"/>
  <c r="AR84" i="4"/>
  <c r="AL87" i="4"/>
  <c r="AP81" i="4"/>
  <c r="AQ87" i="4"/>
  <c r="AL82" i="4"/>
  <c r="AK83" i="4"/>
  <c r="AO85" i="4"/>
  <c r="AQ86" i="4"/>
  <c r="AK84" i="4"/>
  <c r="AM86" i="4"/>
  <c r="AT86" i="4"/>
  <c r="AO83" i="4"/>
  <c r="AQ82" i="4"/>
  <c r="AO80" i="4"/>
  <c r="AS82" i="4"/>
  <c r="AK82" i="4"/>
  <c r="AR88" i="4"/>
  <c r="AO79" i="4"/>
  <c r="AM79" i="4"/>
  <c r="AN80" i="4"/>
  <c r="AR86" i="4"/>
  <c r="AT82" i="4"/>
  <c r="AP84" i="4"/>
  <c r="AR81" i="4"/>
  <c r="AL84" i="4"/>
  <c r="AS87" i="4"/>
  <c r="AL81" i="4"/>
  <c r="AQ79" i="4"/>
  <c r="AK87" i="4"/>
  <c r="AP87" i="4"/>
  <c r="AO82" i="4"/>
  <c r="AK86" i="4"/>
  <c r="AK85" i="4"/>
  <c r="AM85" i="4"/>
  <c r="AQ81" i="4"/>
  <c r="AP85" i="4"/>
  <c r="AL80" i="4"/>
  <c r="AS85" i="4"/>
  <c r="AN88" i="4"/>
  <c r="AS79" i="4"/>
  <c r="AQ88" i="4"/>
  <c r="AM82" i="4"/>
  <c r="AM80" i="4"/>
  <c r="AN81" i="4"/>
  <c r="AR85" i="4"/>
  <c r="AN79" i="4"/>
  <c r="AT79" i="4"/>
  <c r="AS86" i="4"/>
  <c r="AO84" i="4"/>
  <c r="AP82" i="4"/>
  <c r="AR83" i="4"/>
  <c r="AL83" i="4"/>
  <c r="AP86" i="4"/>
  <c r="AN82" i="4"/>
  <c r="AS80" i="4"/>
  <c r="AN84" i="4"/>
  <c r="AM83" i="4"/>
  <c r="AL86" i="4"/>
  <c r="AN86" i="4"/>
  <c r="AL85" i="4"/>
  <c r="AR87" i="4"/>
  <c r="AT87" i="4"/>
  <c r="AM88" i="4"/>
  <c r="AR82" i="4"/>
  <c r="AK80" i="4"/>
  <c r="AP79" i="4"/>
  <c r="AQ80" i="4"/>
  <c r="AT83" i="4"/>
  <c r="AP83" i="4"/>
  <c r="AV64" i="1" a="1"/>
  <c r="AV64" i="1" s="1"/>
  <c r="AT75" i="1" s="1" a="1"/>
  <c r="AT75" i="1" s="1"/>
  <c r="AK69" i="2" a="1"/>
  <c r="AK69" i="2" s="1"/>
  <c r="AT55" i="2"/>
  <c r="AV66" i="2" a="1"/>
  <c r="AV66" i="2" s="1"/>
  <c r="AT77" i="2" s="1" a="1"/>
  <c r="AT77" i="2" s="1"/>
  <c r="AV60" i="1" a="1"/>
  <c r="AV60" i="1" s="1"/>
  <c r="Q20" i="1"/>
  <c r="BL9" i="1" s="1"/>
  <c r="AV46" i="1" s="1"/>
  <c r="P24" i="1"/>
  <c r="BK16" i="1" s="1"/>
  <c r="L21" i="1"/>
  <c r="BD10" i="1" s="1"/>
  <c r="AU34" i="2"/>
  <c r="AU55" i="2" s="1"/>
  <c r="AS34" i="2"/>
  <c r="AS55" i="2" s="1"/>
  <c r="AR35" i="2"/>
  <c r="AR56" i="2" s="1"/>
  <c r="AS35" i="2"/>
  <c r="AS56" i="2" s="1"/>
  <c r="AQ33" i="2"/>
  <c r="AQ54" i="2" s="1"/>
  <c r="AR32" i="2"/>
  <c r="AR53" i="2" s="1"/>
  <c r="AQ31" i="2"/>
  <c r="AQ52" i="2" s="1"/>
  <c r="AT34" i="2"/>
  <c r="AU35" i="2"/>
  <c r="AU56" i="2" s="1"/>
  <c r="AQ32" i="2"/>
  <c r="AQ53" i="2" s="1"/>
  <c r="AR31" i="2"/>
  <c r="AR52" i="2" s="1"/>
  <c r="AT33" i="2"/>
  <c r="AT54" i="2" s="1"/>
  <c r="AQ34" i="2"/>
  <c r="AQ55" i="2" s="1"/>
  <c r="AR34" i="2"/>
  <c r="AR55" i="2" s="1"/>
  <c r="AT35" i="2"/>
  <c r="AT56" i="2" s="1"/>
  <c r="AS31" i="2"/>
  <c r="AS52" i="2" s="1"/>
  <c r="AS32" i="2"/>
  <c r="AS53" i="2" s="1"/>
  <c r="AT31" i="2"/>
  <c r="AT52" i="2" s="1"/>
  <c r="AR33" i="2"/>
  <c r="AR54" i="2" s="1"/>
  <c r="AU33" i="2"/>
  <c r="AU54" i="2" s="1"/>
  <c r="AU31" i="2"/>
  <c r="AU52" i="2" s="1"/>
  <c r="AS33" i="2"/>
  <c r="AS54" i="2" s="1"/>
  <c r="AQ35" i="2"/>
  <c r="AQ56" i="2" s="1"/>
  <c r="AU32" i="2"/>
  <c r="AU53" i="2" s="1"/>
  <c r="AT32" i="2"/>
  <c r="AT53" i="2" s="1"/>
  <c r="P23" i="1"/>
  <c r="BK15" i="1" s="1"/>
  <c r="P25" i="1"/>
  <c r="BK17" i="1" s="1"/>
  <c r="P22" i="1"/>
  <c r="BK11" i="1" s="1"/>
  <c r="AU48" i="1" s="1"/>
  <c r="AK6" i="2"/>
  <c r="AK46" i="2" s="1"/>
  <c r="L23" i="1"/>
  <c r="BD15" i="1" s="1"/>
  <c r="M23" i="1"/>
  <c r="BE15" i="1" s="1"/>
  <c r="AO52" i="1" s="1"/>
  <c r="N21" i="1"/>
  <c r="BF10" i="1" s="1"/>
  <c r="N23" i="1"/>
  <c r="BF15" i="1" s="1"/>
  <c r="AP52" i="1" s="1"/>
  <c r="M24" i="1"/>
  <c r="BE16" i="1" s="1"/>
  <c r="AO53" i="1" s="1"/>
  <c r="O20" i="1"/>
  <c r="BJ9" i="1" s="1"/>
  <c r="AT46" i="1" s="1"/>
  <c r="M20" i="1"/>
  <c r="BE9" i="1" s="1"/>
  <c r="M21" i="1"/>
  <c r="BE10" i="1" s="1"/>
  <c r="O23" i="1"/>
  <c r="BJ15" i="1" s="1"/>
  <c r="AT52" i="1" s="1"/>
  <c r="AA20" i="1"/>
  <c r="AV28" i="1" s="1"/>
  <c r="AV49" i="1" s="1"/>
  <c r="L20" i="1"/>
  <c r="BD9" i="1" s="1"/>
  <c r="P20" i="1"/>
  <c r="BK9" i="1" s="1"/>
  <c r="AU46" i="1" s="1"/>
  <c r="N20" i="1"/>
  <c r="BF9" i="1" s="1"/>
  <c r="Q21" i="1"/>
  <c r="BL10" i="1" s="1"/>
  <c r="AV47" i="1" s="1"/>
  <c r="L25" i="1"/>
  <c r="BD17" i="1" s="1"/>
  <c r="AN54" i="1" s="1"/>
  <c r="N24" i="1"/>
  <c r="BF16" i="1" s="1"/>
  <c r="AP53" i="1" s="1"/>
  <c r="L22" i="1"/>
  <c r="BD11" i="1" s="1"/>
  <c r="O24" i="1"/>
  <c r="BJ16" i="1" s="1"/>
  <c r="O22" i="1"/>
  <c r="BJ11" i="1" s="1"/>
  <c r="AT48" i="1" s="1"/>
  <c r="P21" i="1"/>
  <c r="BK10" i="1" s="1"/>
  <c r="AU47" i="1" s="1"/>
  <c r="Q22" i="1"/>
  <c r="BL11" i="1" s="1"/>
  <c r="AV48" i="1" s="1"/>
  <c r="Q24" i="1"/>
  <c r="BL16" i="1" s="1"/>
  <c r="M25" i="1"/>
  <c r="BE17" i="1" s="1"/>
  <c r="AO54" i="1" s="1"/>
  <c r="M22" i="1"/>
  <c r="BE11" i="1" s="1"/>
  <c r="N22" i="1"/>
  <c r="BF11" i="1" s="1"/>
  <c r="L24" i="1"/>
  <c r="BD16" i="1" s="1"/>
  <c r="AN53" i="1" s="1"/>
  <c r="O21" i="1"/>
  <c r="BJ10" i="1" s="1"/>
  <c r="AT47" i="1" s="1"/>
  <c r="V21" i="1"/>
  <c r="AQ29" i="1" s="1"/>
  <c r="AQ50" i="1" s="1"/>
  <c r="N25" i="1"/>
  <c r="BF17" i="1" s="1"/>
  <c r="AP54" i="1" s="1"/>
  <c r="O25" i="1"/>
  <c r="BJ17" i="1" s="1"/>
  <c r="Q25" i="1"/>
  <c r="BL17" i="1" s="1"/>
  <c r="AV54" i="1" s="1"/>
  <c r="C21" i="1"/>
  <c r="AL7" i="1" s="1"/>
  <c r="AL44" i="1" s="1"/>
  <c r="B21" i="1"/>
  <c r="AK7" i="1" s="1"/>
  <c r="AK44" i="1" s="1"/>
  <c r="F21" i="1"/>
  <c r="AO7" i="1" s="1"/>
  <c r="AO44" i="1" s="1"/>
  <c r="D21" i="1"/>
  <c r="AM7" i="1" s="1"/>
  <c r="AM44" i="1" s="1"/>
  <c r="E21" i="1"/>
  <c r="AN7" i="1" s="1"/>
  <c r="AN44" i="1" s="1"/>
  <c r="G21" i="1"/>
  <c r="AP7" i="1" s="1"/>
  <c r="AP44" i="1" s="1"/>
  <c r="Y22" i="1"/>
  <c r="AT30" i="1" s="1"/>
  <c r="AT51" i="1" s="1"/>
  <c r="X22" i="1"/>
  <c r="AS30" i="1" s="1"/>
  <c r="AS51" i="1" s="1"/>
  <c r="W22" i="1"/>
  <c r="AR30" i="1" s="1"/>
  <c r="AR51" i="1" s="1"/>
  <c r="V22" i="1"/>
  <c r="AQ30" i="1" s="1"/>
  <c r="AQ51" i="1" s="1"/>
  <c r="Z22" i="1"/>
  <c r="AU30" i="1" s="1"/>
  <c r="AU51" i="1" s="1"/>
  <c r="AA22" i="1"/>
  <c r="AV30" i="1" s="1"/>
  <c r="AV51" i="1" s="1"/>
  <c r="AA21" i="1"/>
  <c r="AV29" i="1" s="1"/>
  <c r="AV50" i="1" s="1"/>
  <c r="V20" i="1"/>
  <c r="AQ28" i="1" s="1"/>
  <c r="AQ49" i="1" s="1"/>
  <c r="G20" i="1"/>
  <c r="AP6" i="1" s="1"/>
  <c r="AP43" i="1" s="1"/>
  <c r="F20" i="1"/>
  <c r="AO6" i="1" s="1"/>
  <c r="AO43" i="1" s="1"/>
  <c r="E20" i="1"/>
  <c r="AN6" i="1" s="1"/>
  <c r="AN43" i="1" s="1"/>
  <c r="D20" i="1"/>
  <c r="AM6" i="1" s="1"/>
  <c r="AM43" i="1" s="1"/>
  <c r="C20" i="1"/>
  <c r="AL6" i="1" s="1"/>
  <c r="AL43" i="1" s="1"/>
  <c r="B20" i="1"/>
  <c r="AK6" i="1" s="1"/>
  <c r="AK43" i="1" s="1"/>
  <c r="G22" i="1"/>
  <c r="AP8" i="1" s="1"/>
  <c r="AP45" i="1" s="1"/>
  <c r="F22" i="1"/>
  <c r="AO8" i="1" s="1"/>
  <c r="AO45" i="1" s="1"/>
  <c r="E22" i="1"/>
  <c r="AN8" i="1" s="1"/>
  <c r="AN45" i="1" s="1"/>
  <c r="B22" i="1"/>
  <c r="AK8" i="1" s="1"/>
  <c r="AK45" i="1" s="1"/>
  <c r="D22" i="1"/>
  <c r="AM8" i="1" s="1"/>
  <c r="AM45" i="1" s="1"/>
  <c r="C22" i="1"/>
  <c r="AL8" i="1" s="1"/>
  <c r="AL45" i="1" s="1"/>
  <c r="Y21" i="1"/>
  <c r="AT29" i="1" s="1"/>
  <c r="AT50" i="1" s="1"/>
  <c r="X20" i="1"/>
  <c r="AS28" i="1" s="1"/>
  <c r="AS49" i="1" s="1"/>
  <c r="Z21" i="1"/>
  <c r="AU29" i="1" s="1"/>
  <c r="AU50" i="1" s="1"/>
  <c r="AA24" i="1"/>
  <c r="AV32" i="1" s="1"/>
  <c r="Z24" i="1"/>
  <c r="AU32" i="1" s="1"/>
  <c r="Y24" i="1"/>
  <c r="AT32" i="1" s="1"/>
  <c r="X24" i="1"/>
  <c r="AS32" i="1" s="1"/>
  <c r="AS53" i="1" s="1"/>
  <c r="W24" i="1"/>
  <c r="AR32" i="1" s="1"/>
  <c r="AR53" i="1" s="1"/>
  <c r="V24" i="1"/>
  <c r="AQ32" i="1" s="1"/>
  <c r="AQ53" i="1" s="1"/>
  <c r="AA23" i="1"/>
  <c r="AV31" i="1" s="1"/>
  <c r="AV52" i="1" s="1"/>
  <c r="Z23" i="1"/>
  <c r="AU31" i="1" s="1"/>
  <c r="Y23" i="1"/>
  <c r="AT31" i="1" s="1"/>
  <c r="X23" i="1"/>
  <c r="AS31" i="1" s="1"/>
  <c r="AS52" i="1" s="1"/>
  <c r="W23" i="1"/>
  <c r="AR31" i="1" s="1"/>
  <c r="AR52" i="1" s="1"/>
  <c r="V23" i="1"/>
  <c r="AQ31" i="1" s="1"/>
  <c r="AQ52" i="1" s="1"/>
  <c r="X21" i="1"/>
  <c r="AS29" i="1" s="1"/>
  <c r="AS50" i="1" s="1"/>
  <c r="Z20" i="1"/>
  <c r="AU28" i="1" s="1"/>
  <c r="AU49" i="1" s="1"/>
  <c r="X25" i="1"/>
  <c r="AS33" i="1" s="1"/>
  <c r="AS54" i="1" s="1"/>
  <c r="AA25" i="1"/>
  <c r="AV33" i="1" s="1"/>
  <c r="Z25" i="1"/>
  <c r="AU33" i="1" s="1"/>
  <c r="Y25" i="1"/>
  <c r="AT33" i="1" s="1"/>
  <c r="V25" i="1"/>
  <c r="AQ33" i="1" s="1"/>
  <c r="AQ54" i="1" s="1"/>
  <c r="W25" i="1"/>
  <c r="AR33" i="1" s="1"/>
  <c r="AR54" i="1" s="1"/>
  <c r="B25" i="1"/>
  <c r="AK11" i="1" s="1"/>
  <c r="AK48" i="1" s="1"/>
  <c r="G25" i="1"/>
  <c r="AP11" i="1" s="1"/>
  <c r="F25" i="1"/>
  <c r="AO11" i="1" s="1"/>
  <c r="E25" i="1"/>
  <c r="AN11" i="1" s="1"/>
  <c r="D25" i="1"/>
  <c r="AM11" i="1" s="1"/>
  <c r="AM48" i="1" s="1"/>
  <c r="C25" i="1"/>
  <c r="AL11" i="1" s="1"/>
  <c r="AL48" i="1" s="1"/>
  <c r="W20" i="1"/>
  <c r="AR28" i="1" s="1"/>
  <c r="AR49" i="1" s="1"/>
  <c r="Y20" i="1"/>
  <c r="AT28" i="1" s="1"/>
  <c r="AT49" i="1" s="1"/>
  <c r="W21" i="1"/>
  <c r="AR29" i="1" s="1"/>
  <c r="AR50" i="1" s="1"/>
  <c r="E23" i="1"/>
  <c r="AN9" i="1" s="1"/>
  <c r="G23" i="1"/>
  <c r="AP9" i="1" s="1"/>
  <c r="F23" i="1"/>
  <c r="AO9" i="1" s="1"/>
  <c r="AO46" i="1" s="1"/>
  <c r="C23" i="1"/>
  <c r="AL9" i="1" s="1"/>
  <c r="AL46" i="1" s="1"/>
  <c r="D23" i="1"/>
  <c r="AM9" i="1" s="1"/>
  <c r="AM46" i="1" s="1"/>
  <c r="B23" i="1"/>
  <c r="AK9" i="1" s="1"/>
  <c r="AK46" i="1" s="1"/>
  <c r="E24" i="1"/>
  <c r="AN10" i="1" s="1"/>
  <c r="AN47" i="1" s="1"/>
  <c r="D24" i="1"/>
  <c r="AM10" i="1" s="1"/>
  <c r="AM47" i="1" s="1"/>
  <c r="C24" i="1"/>
  <c r="AL10" i="1" s="1"/>
  <c r="AL47" i="1" s="1"/>
  <c r="B24" i="1"/>
  <c r="AK10" i="1" s="1"/>
  <c r="AK47" i="1" s="1"/>
  <c r="F24" i="1"/>
  <c r="AO10" i="1" s="1"/>
  <c r="G24" i="1"/>
  <c r="AP10" i="1" s="1"/>
  <c r="T77" i="7" l="1" a="1"/>
  <c r="T77" i="7" s="1"/>
  <c r="X77" i="7" s="1" a="1"/>
  <c r="X77" i="7" s="1"/>
  <c r="X77" i="5" a="1"/>
  <c r="X77" i="5" s="1"/>
  <c r="AX79" i="4" a="1"/>
  <c r="AN69" i="2" a="1"/>
  <c r="AN69" i="2" s="1"/>
  <c r="AK77" i="2" s="1" a="1"/>
  <c r="AU52" i="1"/>
  <c r="AP47" i="1"/>
  <c r="AN46" i="1"/>
  <c r="AU54" i="1"/>
  <c r="AN52" i="1"/>
  <c r="AK64" i="1" s="1" a="1"/>
  <c r="AK64" i="1" s="1"/>
  <c r="AT54" i="1"/>
  <c r="AO60" i="1" a="1"/>
  <c r="AO60" i="1" s="1"/>
  <c r="AU53" i="1"/>
  <c r="AP46" i="1"/>
  <c r="AV53" i="1"/>
  <c r="AO47" i="1"/>
  <c r="AN48" i="1"/>
  <c r="AO48" i="1"/>
  <c r="AP48" i="1"/>
  <c r="AT53" i="1"/>
  <c r="AT71" i="1" a="1"/>
  <c r="AT71" i="1" s="1"/>
  <c r="AK60" i="1" l="1" a="1"/>
  <c r="AK60" i="1" s="1"/>
  <c r="AO64" i="1" a="1"/>
  <c r="AO64" i="1" s="1"/>
  <c r="AX79" i="4"/>
  <c r="AZ82" i="4"/>
  <c r="AZ83" i="4"/>
  <c r="AZ84" i="4"/>
  <c r="AZ85" i="4"/>
  <c r="AZ86" i="4"/>
  <c r="AZ101" i="4" a="1"/>
  <c r="AZ101" i="4" s="1"/>
  <c r="AL84" i="2"/>
  <c r="AR81" i="2"/>
  <c r="AM83" i="2"/>
  <c r="AK81" i="2"/>
  <c r="AL82" i="2"/>
  <c r="AR79" i="2"/>
  <c r="AM81" i="2"/>
  <c r="AK79" i="2"/>
  <c r="AQ77" i="2"/>
  <c r="AM82" i="2"/>
  <c r="AO84" i="2"/>
  <c r="AQ82" i="2"/>
  <c r="AK84" i="2"/>
  <c r="AP83" i="2"/>
  <c r="AO82" i="2"/>
  <c r="AP81" i="2"/>
  <c r="AK80" i="2"/>
  <c r="AP79" i="2"/>
  <c r="AP77" i="2"/>
  <c r="AM84" i="2"/>
  <c r="AL80" i="2"/>
  <c r="AR77" i="2"/>
  <c r="AM79" i="2"/>
  <c r="AK77" i="2"/>
  <c r="AR82" i="2"/>
  <c r="AN84" i="2"/>
  <c r="AK83" i="2"/>
  <c r="AL78" i="2"/>
  <c r="AQ78" i="2"/>
  <c r="AM77" i="2"/>
  <c r="AR84" i="2"/>
  <c r="AL77" i="2"/>
  <c r="AP82" i="2"/>
  <c r="AO83" i="2"/>
  <c r="AQ80" i="2"/>
  <c r="AP84" i="2"/>
  <c r="AL81" i="2"/>
  <c r="AR80" i="2"/>
  <c r="AP80" i="2"/>
  <c r="AQ83" i="2"/>
  <c r="AL79" i="2"/>
  <c r="AL83" i="2"/>
  <c r="AO80" i="2"/>
  <c r="AQ81" i="2"/>
  <c r="AK82" i="2"/>
  <c r="AK78" i="2"/>
  <c r="AO78" i="2"/>
  <c r="AQ79" i="2"/>
  <c r="AQ84" i="2"/>
  <c r="AR78" i="2"/>
  <c r="AR83" i="2"/>
  <c r="AM80" i="2"/>
  <c r="AO79" i="2"/>
  <c r="AN80" i="2"/>
  <c r="AP78" i="2"/>
  <c r="AO77" i="2"/>
  <c r="AN83" i="2"/>
  <c r="AN82" i="2"/>
  <c r="AN81" i="2"/>
  <c r="AN78" i="2"/>
  <c r="AN79" i="2"/>
  <c r="AO81" i="2"/>
  <c r="AN77" i="2"/>
  <c r="AM78" i="2"/>
  <c r="AK71" i="1" l="1" a="1"/>
  <c r="AZ95" i="4" a="1"/>
  <c r="AZ95" i="4" s="1"/>
  <c r="BB93" i="4" s="1" a="1"/>
  <c r="AZ79" i="4"/>
  <c r="AV77" i="2" a="1"/>
  <c r="BD55" i="2" s="1" a="1"/>
  <c r="BD55" i="2" s="1"/>
  <c r="AQ71" i="1" l="1"/>
  <c r="AR78" i="1"/>
  <c r="AR76" i="1"/>
  <c r="AM78" i="1"/>
  <c r="AR71" i="1"/>
  <c r="AO72" i="1"/>
  <c r="AP76" i="1"/>
  <c r="AN75" i="1"/>
  <c r="AK77" i="1"/>
  <c r="AN77" i="1"/>
  <c r="AL75" i="1"/>
  <c r="AK78" i="1"/>
  <c r="AP74" i="1"/>
  <c r="AN73" i="1"/>
  <c r="AP78" i="1"/>
  <c r="AQ73" i="1"/>
  <c r="AK74" i="1"/>
  <c r="AO76" i="1"/>
  <c r="AN74" i="1"/>
  <c r="AO73" i="1"/>
  <c r="AO78" i="1"/>
  <c r="AK73" i="1"/>
  <c r="AK71" i="1"/>
  <c r="AR74" i="1"/>
  <c r="AM75" i="1"/>
  <c r="AM77" i="1"/>
  <c r="AN71" i="1"/>
  <c r="AK72" i="1"/>
  <c r="AL77" i="1"/>
  <c r="AO75" i="1"/>
  <c r="AP77" i="1"/>
  <c r="AR72" i="1"/>
  <c r="AL74" i="1"/>
  <c r="AM72" i="1"/>
  <c r="AP71" i="1"/>
  <c r="AQ77" i="1"/>
  <c r="AM71" i="1"/>
  <c r="AM73" i="1"/>
  <c r="AR77" i="1"/>
  <c r="AN78" i="1"/>
  <c r="AL78" i="1"/>
  <c r="AN72" i="1"/>
  <c r="AQ78" i="1"/>
  <c r="AK75" i="1"/>
  <c r="AQ74" i="1"/>
  <c r="AL71" i="1"/>
  <c r="AV71" i="1" s="1" a="1"/>
  <c r="AL72" i="1"/>
  <c r="AP75" i="1"/>
  <c r="AK76" i="1"/>
  <c r="AP72" i="1"/>
  <c r="AN76" i="1"/>
  <c r="AM74" i="1"/>
  <c r="AP73" i="1"/>
  <c r="AO71" i="1"/>
  <c r="AM76" i="1"/>
  <c r="AL76" i="1"/>
  <c r="AR75" i="1"/>
  <c r="AO77" i="1"/>
  <c r="AQ76" i="1"/>
  <c r="AR73" i="1"/>
  <c r="AQ72" i="1"/>
  <c r="AL73" i="1"/>
  <c r="AQ75" i="1"/>
  <c r="AO74" i="1"/>
  <c r="BB106" i="4"/>
  <c r="BB69" i="4" s="1"/>
  <c r="BB96" i="4"/>
  <c r="BB99" i="4"/>
  <c r="BB93" i="4"/>
  <c r="BB100" i="4"/>
  <c r="BB94" i="4"/>
  <c r="BB102" i="4"/>
  <c r="BB95" i="4"/>
  <c r="BB97" i="4"/>
  <c r="BB103" i="4"/>
  <c r="BB105" i="4"/>
  <c r="BB98" i="4"/>
  <c r="BB101" i="4"/>
  <c r="BB104" i="4"/>
  <c r="BB64" i="4" a="1"/>
  <c r="BB64" i="4" s="1"/>
  <c r="BC64" i="4" s="1" a="1"/>
  <c r="BC64" i="4" s="1"/>
  <c r="AX79" i="2"/>
  <c r="AX83" i="2"/>
  <c r="AX82" i="2"/>
  <c r="AX84" i="2"/>
  <c r="AV77" i="2"/>
  <c r="BD49" i="2" s="1" a="1"/>
  <c r="BD49" i="2" s="1"/>
  <c r="BF46" i="2" s="1" a="1"/>
  <c r="BB51" i="1" l="1" a="1"/>
  <c r="BB51" i="1" s="1"/>
  <c r="AX78" i="1"/>
  <c r="AX75" i="1"/>
  <c r="AX74" i="1"/>
  <c r="AV71" i="1"/>
  <c r="BF46" i="2"/>
  <c r="BF58" i="2"/>
  <c r="BF52" i="2"/>
  <c r="BF48" i="2"/>
  <c r="BF53" i="2"/>
  <c r="BF50" i="2"/>
  <c r="BF59" i="2"/>
  <c r="BF51" i="2"/>
  <c r="BF55" i="2"/>
  <c r="BF56" i="2"/>
  <c r="BF57" i="2"/>
  <c r="BF54" i="2"/>
  <c r="BF49" i="2"/>
  <c r="BF47" i="2"/>
  <c r="AX71" i="1" l="1"/>
  <c r="BB45" i="1" a="1"/>
  <c r="BB45" i="1" s="1"/>
  <c r="AR86" i="1" l="1" a="1"/>
  <c r="AR86" i="1" s="1"/>
  <c r="AV86" i="1" s="1" a="1"/>
  <c r="AV86" i="1" s="1"/>
  <c r="BD43" i="1" a="1"/>
  <c r="BD43" i="1" l="1"/>
  <c r="BD50" i="1"/>
  <c r="BD49" i="1"/>
  <c r="BD48" i="1"/>
  <c r="BD46" i="1"/>
  <c r="BD47" i="1"/>
  <c r="BD45" i="1"/>
  <c r="BD54" i="1"/>
  <c r="BD52" i="1"/>
  <c r="BD44" i="1"/>
  <c r="BD53" i="1"/>
  <c r="BD5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53F448-3A45-42C9-A5CF-9618411E7B2F}" keepAlive="1" name="Kysely – Taulukko1" description="Yhteys kyselyyn Taulukko1 työkirjassa." type="5" refreshedVersion="0" background="1">
    <dbPr connection="Provider=Microsoft.Mashup.OleDb.1;Data Source=$Workbook$;Location=Taulukko1;Extended Properties=&quot;&quot;" command="SELECT * FROM [Taulukko1]"/>
  </connection>
  <connection id="2" xr16:uid="{781A6465-37A3-4021-84D4-27DFF6749064}" keepAlive="1" name="Kysely – Taulukko1 (2)" description="Yhteys kyselyyn Taulukko1 (2) työkirjassa." type="5" refreshedVersion="0" background="1">
    <dbPr connection="Provider=Microsoft.Mashup.OleDb.1;Data Source=$Workbook$;Location=&quot;Taulukko1 (2)&quot;;Extended Properties=&quot;&quot;" command="SELECT * FROM [Taulukko1 (2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<sst xmlns="http://schemas.openxmlformats.org/spreadsheetml/2006/main" count="630" uniqueCount="125">
  <si>
    <t>°</t>
  </si>
  <si>
    <t>*</t>
  </si>
  <si>
    <t>Elementin pituus</t>
  </si>
  <si>
    <t>mm</t>
  </si>
  <si>
    <r>
      <t>mm</t>
    </r>
    <r>
      <rPr>
        <vertAlign val="superscript"/>
        <sz val="9"/>
        <color theme="1"/>
        <rFont val="Aptos Narrow"/>
        <family val="2"/>
        <scheme val="minor"/>
      </rPr>
      <t>2</t>
    </r>
  </si>
  <si>
    <t>Jäyhyysmomentti</t>
  </si>
  <si>
    <r>
      <t>mm</t>
    </r>
    <r>
      <rPr>
        <vertAlign val="superscript"/>
        <sz val="9"/>
        <color theme="1"/>
        <rFont val="Aptos Narrow"/>
        <family val="2"/>
        <scheme val="minor"/>
      </rPr>
      <t>4</t>
    </r>
  </si>
  <si>
    <t>Kimmokerroin</t>
  </si>
  <si>
    <r>
      <t>N/mm</t>
    </r>
    <r>
      <rPr>
        <vertAlign val="superscript"/>
        <sz val="9"/>
        <color theme="1"/>
        <rFont val="Aptos Narrow"/>
        <family val="2"/>
        <scheme val="minor"/>
      </rPr>
      <t>2</t>
    </r>
  </si>
  <si>
    <t>N</t>
  </si>
  <si>
    <r>
      <t>Nmm</t>
    </r>
    <r>
      <rPr>
        <vertAlign val="superscript"/>
        <sz val="9"/>
        <color theme="1"/>
        <rFont val="Aptos Narrow"/>
        <family val="2"/>
        <scheme val="minor"/>
      </rPr>
      <t>2</t>
    </r>
  </si>
  <si>
    <t>Omapaino</t>
  </si>
  <si>
    <r>
      <t>N/m</t>
    </r>
    <r>
      <rPr>
        <vertAlign val="superscript"/>
        <sz val="9"/>
        <color theme="1"/>
        <rFont val="Aptos Narrow"/>
        <family val="2"/>
        <scheme val="minor"/>
      </rPr>
      <t>2</t>
    </r>
  </si>
  <si>
    <t>Elementti 1</t>
  </si>
  <si>
    <t>Kuormat</t>
  </si>
  <si>
    <t>Elementti 2</t>
  </si>
  <si>
    <t>Elementti 3</t>
  </si>
  <si>
    <t>Elementin kiertokulma</t>
  </si>
  <si>
    <t>Jatkuva kuorma</t>
  </si>
  <si>
    <t>cos</t>
  </si>
  <si>
    <t>sin</t>
  </si>
  <si>
    <t>Profiilin pinta-ala</t>
  </si>
  <si>
    <t>EI</t>
  </si>
  <si>
    <t>EA</t>
  </si>
  <si>
    <t>N/mm² (MPa)</t>
  </si>
  <si>
    <t>N/mm²</t>
  </si>
  <si>
    <t>Globaali jäykkyysmatriisi</t>
  </si>
  <si>
    <t>Elementin jäykkyysmatriisi lokaalissa koordinaatistossa</t>
  </si>
  <si>
    <t>Elementin lokaali jäykkyysmatriisi kerrottuna transponoidulla kiertomatriisilla</t>
  </si>
  <si>
    <t>Elementin kiertomatriisi</t>
  </si>
  <si>
    <t>Elementin kiertomatriisi transponoituna</t>
  </si>
  <si>
    <t>Lukkovoimat (Lkoord)</t>
  </si>
  <si>
    <t>Lukkovoimat (Gkoord)</t>
  </si>
  <si>
    <t>kN/m</t>
  </si>
  <si>
    <t>Laskenta perustuu Savonia AMK opintoihin, Ville Pekkalan opinnäytetyöhön ja netistä löytyneeseen (ei tällä hetkellä löydettävissä) Matti Lähteenmäki, Elementtimenetelmän perusteet opukseen</t>
  </si>
  <si>
    <t>Elementin 1 globaali jäykkyysmatriisi - sijoitus yhdistettyyn jäykkyysmatriisiin</t>
  </si>
  <si>
    <t>Yhdistetty jäykkyysmatriisi</t>
  </si>
  <si>
    <t>Elementin 2 globaali jäykkyysmatriisi - sijoitus yhdistettyyn jäykkyysmatriisiin</t>
  </si>
  <si>
    <t>Elementin 3 globaali jäykkyysmatriisi - sijoitus yhdistettyyn jäykkyysmatriisiin</t>
  </si>
  <si>
    <t>Siirtymät</t>
  </si>
  <si>
    <t>r13</t>
  </si>
  <si>
    <t>r21</t>
  </si>
  <si>
    <t>r22</t>
  </si>
  <si>
    <t>r23</t>
  </si>
  <si>
    <t>r33</t>
  </si>
  <si>
    <t>r41</t>
  </si>
  <si>
    <t>r42</t>
  </si>
  <si>
    <t>r43</t>
  </si>
  <si>
    <t>Tuntemattomat siirtymät</t>
  </si>
  <si>
    <t>=</t>
  </si>
  <si>
    <t>Voimat</t>
  </si>
  <si>
    <t>+Q12</t>
  </si>
  <si>
    <t>+Q11</t>
  </si>
  <si>
    <t>+Q31</t>
  </si>
  <si>
    <t>+Q32</t>
  </si>
  <si>
    <t>mrad</t>
  </si>
  <si>
    <t>N/mm</t>
  </si>
  <si>
    <t>rad</t>
  </si>
  <si>
    <t>Momenttikuorma</t>
  </si>
  <si>
    <t>Suunta</t>
  </si>
  <si>
    <t>Positiivinen vastapäivään</t>
  </si>
  <si>
    <t>Positiivinen venymää</t>
  </si>
  <si>
    <t>Siirtymä (pituussuunnassa)</t>
  </si>
  <si>
    <t>⮕</t>
  </si>
  <si>
    <t>⬆</t>
  </si>
  <si>
    <t>⟲</t>
  </si>
  <si>
    <t>Matriisi</t>
  </si>
  <si>
    <t>Alkupää</t>
  </si>
  <si>
    <t>Loppupää</t>
  </si>
  <si>
    <t>suunta</t>
  </si>
  <si>
    <t>Lokaali</t>
  </si>
  <si>
    <t>Globaalit arvot</t>
  </si>
  <si>
    <t>Lokaalit arvot</t>
  </si>
  <si>
    <t>Pysty</t>
  </si>
  <si>
    <t>Vaaka</t>
  </si>
  <si>
    <t>Muut kuormat muunnetaan pistekuormiksi ekvivalenttien kuormituskaavioiden mukaan ajatellen, että 'elementin' alku ja loppupiste on samassa kohtaa, kuin voiman alku ja loppupiste</t>
  </si>
  <si>
    <t>b</t>
  </si>
  <si>
    <t>etäisyys (a)</t>
  </si>
  <si>
    <t>(Huomaa -1* alussa)</t>
  </si>
  <si>
    <t>Kuorma</t>
  </si>
  <si>
    <t>N (/Nmm)</t>
  </si>
  <si>
    <t>Lukkovoimaesimerkissä kuorma osoittaa alaspäin positiivisena</t>
  </si>
  <si>
    <t>mutta SIN(kulma) antaa negatiivisen arvon alaspäin osoittaville voimille</t>
  </si>
  <si>
    <t>+Q13</t>
  </si>
  <si>
    <t>r24</t>
  </si>
  <si>
    <t>r44</t>
  </si>
  <si>
    <t>+Q33</t>
  </si>
  <si>
    <t>=&gt;</t>
  </si>
  <si>
    <t>Reaktiot</t>
  </si>
  <si>
    <t>L</t>
  </si>
  <si>
    <t>a</t>
  </si>
  <si>
    <t>d</t>
  </si>
  <si>
    <t>d/2</t>
  </si>
  <si>
    <t>q</t>
  </si>
  <si>
    <t>Elem 1 lok</t>
  </si>
  <si>
    <t>Elem 1 glob</t>
  </si>
  <si>
    <t>r14</t>
  </si>
  <si>
    <t>Jousivakio</t>
  </si>
  <si>
    <t>Nmm/rad</t>
  </si>
  <si>
    <t>kNm/rad</t>
  </si>
  <si>
    <t>Yhdistetty jäykkyysmatriisi (ilman tuen jousivakiota, tällä lasketaan tukireaktiot)</t>
  </si>
  <si>
    <t>Yhdistetty jäykkyysmatriisi (tuen jousivakion kanssa. Huom! Tällä lasketaan vain siirtymät. Tukireaktiot lasketaan ilman jousivakioita)</t>
  </si>
  <si>
    <t>Yleinen jousivakio</t>
  </si>
  <si>
    <t>siirtymät (lok)</t>
  </si>
  <si>
    <t>lukkovoimat (lok, kierretyt)</t>
  </si>
  <si>
    <t>Elementin 1 lokaalit solmupisteiden voimasuureet</t>
  </si>
  <si>
    <t>solmupisteiden voimavektorit</t>
  </si>
  <si>
    <t>-</t>
  </si>
  <si>
    <t>Jäykkyysmatriisi * lokaalit siirtymät - lokaalit lukkovoimat</t>
  </si>
  <si>
    <t>r15</t>
  </si>
  <si>
    <t>r16</t>
  </si>
  <si>
    <t>+Q14</t>
  </si>
  <si>
    <t>+Q15</t>
  </si>
  <si>
    <t>Lukkovoimien kierto</t>
  </si>
  <si>
    <t>Kiertokulma</t>
  </si>
  <si>
    <t>Tukien kiertomatriisi</t>
  </si>
  <si>
    <t>Tukien kiertomatriisin transpoosi</t>
  </si>
  <si>
    <t>1. Tuen kierto</t>
  </si>
  <si>
    <t>2.Tuen kierto</t>
  </si>
  <si>
    <t>Yhdistetty jäykkyysmatriisi kerrottuna tukien transponoidulla kiertomatriisilla</t>
  </si>
  <si>
    <t>Yhdistetty jäykkyysmatriisi tuet kierrettynä</t>
  </si>
  <si>
    <t>Siirtymä tuen lokaalin X-akselin suuntaan</t>
  </si>
  <si>
    <t>GLOBAALIT</t>
  </si>
  <si>
    <t>KIERRETYT</t>
  </si>
  <si>
    <t>Siirtymä tuen lokaalin Y-akselin suuntaan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</si>
</sst>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"/>
    <numFmt numFmtId="165" formatCode="0.000000"/>
    <numFmt numFmtId="166" formatCode="0.000E+00"/>
    <numFmt numFmtId="167" formatCode="0.0"/>
    <numFmt numFmtId="168" formatCode="0.00000"/>
    <numFmt numFmtId="169" formatCode="0.0000E+00"/>
    <numFmt numFmtId="170" formatCode="0.0000"/>
  </numFmts>
  <fonts count="15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vertAlign val="superscript"/>
      <sz val="9"/>
      <color theme="1"/>
      <name val="Aptos Narrow"/>
      <family val="2"/>
      <scheme val="minor"/>
    </font>
    <font>
      <sz val="9"/>
      <color theme="1"/>
      <name val="Calibri"/>
      <family val="2"/>
    </font>
    <font>
      <b/>
      <sz val="9"/>
      <name val="Aptos Narrow"/>
      <family val="2"/>
      <scheme val="minor"/>
    </font>
    <font>
      <sz val="9"/>
      <color theme="1"/>
      <name val="Times New Roman"/>
      <family val="1"/>
    </font>
    <font>
      <sz val="9"/>
      <color rgb="FFFF0000"/>
      <name val="Aptos Narrow"/>
      <family val="2"/>
      <scheme val="minor"/>
    </font>
    <font>
      <b/>
      <sz val="9"/>
      <color theme="6" tint="-0.249977111117893"/>
      <name val="Aptos Narrow"/>
      <family val="2"/>
      <scheme val="minor"/>
    </font>
    <font>
      <sz val="9"/>
      <color theme="6" tint="-0.249977111117893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otted">
        <color auto="1"/>
      </right>
      <top/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otted">
        <color auto="1"/>
      </right>
      <top style="dashed">
        <color auto="1"/>
      </top>
      <bottom style="dashed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63">
    <xf numFmtId="0" fontId="0" fillId="0" borderId="0" xfId="0"/>
    <xf numFmtId="0" fontId="2" fillId="0" borderId="0" xfId="0" applyFont="1"/>
    <xf numFmtId="0" fontId="3" fillId="0" borderId="0" xfId="0" applyFont="1"/>
    <xf numFmtId="11" fontId="2" fillId="0" borderId="0" xfId="0" applyNumberFormat="1" applyFont="1"/>
    <xf numFmtId="0" fontId="2" fillId="0" borderId="0" xfId="0" applyFont="1" applyAlignment="1">
      <alignment horizontal="center"/>
    </xf>
    <xf numFmtId="164" fontId="2" fillId="3" borderId="0" xfId="0" applyNumberFormat="1" applyFont="1" applyFill="1"/>
    <xf numFmtId="1" fontId="2" fillId="0" borderId="0" xfId="0" applyNumberFormat="1" applyFont="1" applyAlignment="1">
      <alignment horizontal="center"/>
    </xf>
    <xf numFmtId="11" fontId="2" fillId="0" borderId="0" xfId="0" applyNumberFormat="1" applyFont="1" applyAlignment="1">
      <alignment horizontal="center"/>
    </xf>
    <xf numFmtId="11" fontId="6" fillId="0" borderId="0" xfId="0" applyNumberFormat="1" applyFont="1" applyAlignment="1">
      <alignment horizontal="center"/>
    </xf>
    <xf numFmtId="0" fontId="2" fillId="4" borderId="0" xfId="0" applyFont="1" applyFill="1"/>
    <xf numFmtId="1" fontId="6" fillId="0" borderId="0" xfId="0" applyNumberFormat="1" applyFont="1" applyAlignment="1">
      <alignment horizontal="center"/>
    </xf>
    <xf numFmtId="11" fontId="6" fillId="5" borderId="0" xfId="1" applyNumberFormat="1" applyFont="1" applyFill="1" applyBorder="1" applyAlignment="1">
      <alignment horizontal="center"/>
    </xf>
    <xf numFmtId="0" fontId="6" fillId="0" borderId="0" xfId="1" applyFont="1" applyFill="1" applyBorder="1" applyAlignment="1">
      <alignment horizontal="center"/>
    </xf>
    <xf numFmtId="166" fontId="2" fillId="3" borderId="0" xfId="0" applyNumberFormat="1" applyFont="1" applyFill="1"/>
    <xf numFmtId="11" fontId="2" fillId="3" borderId="0" xfId="0" applyNumberFormat="1" applyFont="1" applyFill="1"/>
    <xf numFmtId="11" fontId="6" fillId="6" borderId="0" xfId="1" applyNumberFormat="1" applyFont="1" applyFill="1" applyBorder="1" applyAlignment="1">
      <alignment horizontal="center"/>
    </xf>
    <xf numFmtId="11" fontId="6" fillId="0" borderId="0" xfId="1" applyNumberFormat="1" applyFont="1" applyFill="1" applyBorder="1" applyAlignment="1">
      <alignment horizontal="center"/>
    </xf>
    <xf numFmtId="11" fontId="6" fillId="3" borderId="0" xfId="1" applyNumberFormat="1" applyFont="1" applyFill="1" applyBorder="1" applyAlignment="1">
      <alignment horizontal="center"/>
    </xf>
    <xf numFmtId="11" fontId="6" fillId="7" borderId="0" xfId="1" applyNumberFormat="1" applyFont="1" applyFill="1" applyBorder="1" applyAlignment="1">
      <alignment horizontal="center"/>
    </xf>
    <xf numFmtId="11" fontId="2" fillId="6" borderId="0" xfId="0" applyNumberFormat="1" applyFont="1" applyFill="1" applyAlignment="1">
      <alignment horizontal="center"/>
    </xf>
    <xf numFmtId="11" fontId="2" fillId="3" borderId="0" xfId="0" applyNumberFormat="1" applyFont="1" applyFill="1" applyAlignment="1">
      <alignment horizontal="center"/>
    </xf>
    <xf numFmtId="11" fontId="6" fillId="8" borderId="0" xfId="1" applyNumberFormat="1" applyFont="1" applyFill="1" applyBorder="1" applyAlignment="1">
      <alignment horizontal="center"/>
    </xf>
    <xf numFmtId="1" fontId="6" fillId="0" borderId="0" xfId="1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164" fontId="2" fillId="0" borderId="0" xfId="0" applyNumberFormat="1" applyFont="1"/>
    <xf numFmtId="0" fontId="5" fillId="0" borderId="0" xfId="0" applyFont="1" applyAlignment="1">
      <alignment horizontal="center"/>
    </xf>
    <xf numFmtId="166" fontId="2" fillId="0" borderId="0" xfId="0" applyNumberFormat="1" applyFont="1"/>
    <xf numFmtId="0" fontId="8" fillId="0" borderId="0" xfId="0" applyFont="1" applyAlignment="1">
      <alignment horizontal="center"/>
    </xf>
    <xf numFmtId="1" fontId="2" fillId="0" borderId="0" xfId="0" applyNumberFormat="1" applyFont="1"/>
    <xf numFmtId="0" fontId="6" fillId="0" borderId="0" xfId="0" applyFont="1" applyAlignment="1">
      <alignment horizontal="center"/>
    </xf>
    <xf numFmtId="2" fontId="6" fillId="0" borderId="0" xfId="1" applyNumberFormat="1" applyFont="1" applyFill="1" applyBorder="1" applyAlignment="1">
      <alignment horizontal="center"/>
    </xf>
    <xf numFmtId="2" fontId="2" fillId="0" borderId="0" xfId="0" applyNumberFormat="1" applyFont="1"/>
    <xf numFmtId="167" fontId="2" fillId="0" borderId="0" xfId="0" applyNumberFormat="1" applyFont="1"/>
    <xf numFmtId="0" fontId="2" fillId="0" borderId="0" xfId="0" applyFont="1" applyAlignment="1">
      <alignment horizontal="right"/>
    </xf>
    <xf numFmtId="167" fontId="2" fillId="3" borderId="0" xfId="0" applyNumberFormat="1" applyFont="1" applyFill="1"/>
    <xf numFmtId="11" fontId="2" fillId="6" borderId="0" xfId="0" applyNumberFormat="1" applyFont="1" applyFill="1"/>
    <xf numFmtId="11" fontId="2" fillId="5" borderId="0" xfId="0" applyNumberFormat="1" applyFont="1" applyFill="1" applyAlignment="1">
      <alignment horizontal="center"/>
    </xf>
    <xf numFmtId="11" fontId="2" fillId="7" borderId="0" xfId="0" applyNumberFormat="1" applyFont="1" applyFill="1" applyAlignment="1">
      <alignment horizontal="center"/>
    </xf>
    <xf numFmtId="0" fontId="2" fillId="7" borderId="0" xfId="0" applyFont="1" applyFill="1" applyAlignment="1">
      <alignment horizontal="center"/>
    </xf>
    <xf numFmtId="11" fontId="6" fillId="7" borderId="0" xfId="0" applyNumberFormat="1" applyFont="1" applyFill="1" applyAlignment="1">
      <alignment horizontal="center"/>
    </xf>
    <xf numFmtId="1" fontId="2" fillId="7" borderId="0" xfId="0" applyNumberFormat="1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6" fontId="9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2" fontId="2" fillId="0" borderId="0" xfId="0" applyNumberFormat="1" applyFont="1" applyAlignment="1">
      <alignment horizontal="center"/>
    </xf>
    <xf numFmtId="167" fontId="4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167" fontId="2" fillId="0" borderId="0" xfId="0" applyNumberFormat="1" applyFont="1" applyAlignment="1">
      <alignment horizontal="center" vertical="center"/>
    </xf>
    <xf numFmtId="0" fontId="6" fillId="0" borderId="0" xfId="0" applyFont="1"/>
    <xf numFmtId="165" fontId="9" fillId="0" borderId="0" xfId="0" applyNumberFormat="1" applyFont="1" applyAlignment="1">
      <alignment horizontal="center"/>
    </xf>
    <xf numFmtId="167" fontId="4" fillId="0" borderId="0" xfId="0" applyNumberFormat="1" applyFont="1" applyAlignment="1">
      <alignment horizontal="left"/>
    </xf>
    <xf numFmtId="165" fontId="6" fillId="0" borderId="0" xfId="0" applyNumberFormat="1" applyFont="1"/>
    <xf numFmtId="0" fontId="4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11" fillId="0" borderId="0" xfId="0" applyFont="1"/>
    <xf numFmtId="1" fontId="4" fillId="0" borderId="0" xfId="0" applyNumberFormat="1" applyFont="1" applyAlignment="1">
      <alignment horizontal="center"/>
    </xf>
    <xf numFmtId="0" fontId="5" fillId="0" borderId="0" xfId="0" applyFont="1"/>
    <xf numFmtId="0" fontId="12" fillId="0" borderId="0" xfId="0" applyFont="1"/>
    <xf numFmtId="0" fontId="13" fillId="0" borderId="0" xfId="0" applyFont="1"/>
    <xf numFmtId="11" fontId="6" fillId="0" borderId="0" xfId="0" applyNumberFormat="1" applyFont="1"/>
    <xf numFmtId="167" fontId="9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11" fontId="9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8" fontId="2" fillId="0" borderId="0" xfId="0" applyNumberFormat="1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1" fontId="6" fillId="0" borderId="2" xfId="1" applyNumberFormat="1" applyFont="1" applyFill="1" applyBorder="1" applyAlignment="1">
      <alignment horizontal="center"/>
    </xf>
    <xf numFmtId="11" fontId="6" fillId="0" borderId="3" xfId="1" applyNumberFormat="1" applyFont="1" applyFill="1" applyBorder="1" applyAlignment="1">
      <alignment horizontal="center"/>
    </xf>
    <xf numFmtId="11" fontId="6" fillId="0" borderId="1" xfId="1" applyNumberFormat="1" applyFont="1" applyFill="1" applyBorder="1" applyAlignment="1">
      <alignment horizontal="center"/>
    </xf>
    <xf numFmtId="11" fontId="6" fillId="3" borderId="2" xfId="1" applyNumberFormat="1" applyFont="1" applyFill="1" applyBorder="1" applyAlignment="1">
      <alignment horizontal="center"/>
    </xf>
    <xf numFmtId="11" fontId="6" fillId="3" borderId="3" xfId="1" applyNumberFormat="1" applyFont="1" applyFill="1" applyBorder="1" applyAlignment="1">
      <alignment horizontal="center"/>
    </xf>
    <xf numFmtId="11" fontId="6" fillId="3" borderId="1" xfId="1" applyNumberFormat="1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167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/>
    </xf>
    <xf numFmtId="167" fontId="2" fillId="3" borderId="0" xfId="0" applyNumberFormat="1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166" fontId="2" fillId="3" borderId="0" xfId="0" applyNumberFormat="1" applyFont="1" applyFill="1" applyAlignment="1">
      <alignment horizontal="center"/>
    </xf>
    <xf numFmtId="166" fontId="2" fillId="0" borderId="0" xfId="0" applyNumberFormat="1" applyFont="1" applyAlignment="1">
      <alignment horizontal="center"/>
    </xf>
    <xf numFmtId="11" fontId="6" fillId="5" borderId="4" xfId="1" applyNumberFormat="1" applyFont="1" applyFill="1" applyBorder="1" applyAlignment="1">
      <alignment horizontal="center"/>
    </xf>
    <xf numFmtId="11" fontId="6" fillId="5" borderId="5" xfId="1" applyNumberFormat="1" applyFont="1" applyFill="1" applyBorder="1" applyAlignment="1">
      <alignment horizontal="center"/>
    </xf>
    <xf numFmtId="11" fontId="6" fillId="0" borderId="5" xfId="1" applyNumberFormat="1" applyFont="1" applyFill="1" applyBorder="1" applyAlignment="1">
      <alignment horizontal="center"/>
    </xf>
    <xf numFmtId="11" fontId="2" fillId="0" borderId="5" xfId="0" applyNumberFormat="1" applyFont="1" applyBorder="1" applyAlignment="1">
      <alignment horizontal="center"/>
    </xf>
    <xf numFmtId="11" fontId="2" fillId="5" borderId="5" xfId="0" applyNumberFormat="1" applyFont="1" applyFill="1" applyBorder="1" applyAlignment="1">
      <alignment horizontal="center"/>
    </xf>
    <xf numFmtId="11" fontId="2" fillId="0" borderId="6" xfId="0" applyNumberFormat="1" applyFont="1" applyBorder="1" applyAlignment="1">
      <alignment horizontal="center"/>
    </xf>
    <xf numFmtId="11" fontId="6" fillId="5" borderId="7" xfId="1" applyNumberFormat="1" applyFont="1" applyFill="1" applyBorder="1" applyAlignment="1">
      <alignment horizontal="center"/>
    </xf>
    <xf numFmtId="11" fontId="6" fillId="5" borderId="8" xfId="1" applyNumberFormat="1" applyFont="1" applyFill="1" applyBorder="1" applyAlignment="1">
      <alignment horizontal="center"/>
    </xf>
    <xf numFmtId="11" fontId="6" fillId="0" borderId="8" xfId="1" applyNumberFormat="1" applyFont="1" applyFill="1" applyBorder="1" applyAlignment="1">
      <alignment horizontal="center"/>
    </xf>
    <xf numFmtId="11" fontId="2" fillId="0" borderId="8" xfId="0" applyNumberFormat="1" applyFont="1" applyBorder="1" applyAlignment="1">
      <alignment horizontal="center"/>
    </xf>
    <xf numFmtId="11" fontId="2" fillId="5" borderId="8" xfId="0" applyNumberFormat="1" applyFont="1" applyFill="1" applyBorder="1" applyAlignment="1">
      <alignment horizontal="center"/>
    </xf>
    <xf numFmtId="11" fontId="2" fillId="0" borderId="9" xfId="0" applyNumberFormat="1" applyFont="1" applyBorder="1" applyAlignment="1">
      <alignment horizontal="center"/>
    </xf>
    <xf numFmtId="11" fontId="6" fillId="8" borderId="8" xfId="1" applyNumberFormat="1" applyFont="1" applyFill="1" applyBorder="1" applyAlignment="1">
      <alignment horizontal="center"/>
    </xf>
    <xf numFmtId="11" fontId="6" fillId="6" borderId="8" xfId="1" applyNumberFormat="1" applyFont="1" applyFill="1" applyBorder="1" applyAlignment="1">
      <alignment horizontal="center"/>
    </xf>
    <xf numFmtId="11" fontId="2" fillId="6" borderId="8" xfId="0" applyNumberFormat="1" applyFont="1" applyFill="1" applyBorder="1" applyAlignment="1">
      <alignment horizontal="center"/>
    </xf>
    <xf numFmtId="11" fontId="6" fillId="0" borderId="7" xfId="1" applyNumberFormat="1" applyFont="1" applyFill="1" applyBorder="1" applyAlignment="1">
      <alignment horizontal="center"/>
    </xf>
    <xf numFmtId="11" fontId="2" fillId="0" borderId="7" xfId="0" applyNumberFormat="1" applyFont="1" applyBorder="1" applyAlignment="1">
      <alignment horizontal="center"/>
    </xf>
    <xf numFmtId="11" fontId="6" fillId="3" borderId="8" xfId="1" applyNumberFormat="1" applyFont="1" applyFill="1" applyBorder="1" applyAlignment="1">
      <alignment horizontal="center"/>
    </xf>
    <xf numFmtId="11" fontId="2" fillId="3" borderId="8" xfId="0" applyNumberFormat="1" applyFont="1" applyFill="1" applyBorder="1" applyAlignment="1">
      <alignment horizontal="center"/>
    </xf>
    <xf numFmtId="11" fontId="2" fillId="3" borderId="9" xfId="0" applyNumberFormat="1" applyFont="1" applyFill="1" applyBorder="1" applyAlignment="1">
      <alignment horizontal="center"/>
    </xf>
    <xf numFmtId="11" fontId="2" fillId="5" borderId="7" xfId="0" applyNumberFormat="1" applyFont="1" applyFill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1" applyFont="1" applyFill="1" applyBorder="1" applyAlignment="1">
      <alignment horizontal="left" vertical="center"/>
    </xf>
    <xf numFmtId="1" fontId="2" fillId="0" borderId="0" xfId="0" applyNumberFormat="1" applyFont="1" applyAlignment="1">
      <alignment horizontal="left" vertical="center"/>
    </xf>
    <xf numFmtId="165" fontId="2" fillId="0" borderId="0" xfId="0" applyNumberFormat="1" applyFont="1" applyAlignment="1">
      <alignment horizontal="left" vertical="center"/>
    </xf>
    <xf numFmtId="168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1" fontId="2" fillId="0" borderId="0" xfId="0" applyNumberFormat="1" applyFont="1" applyAlignment="1">
      <alignment horizontal="left" vertical="center"/>
    </xf>
    <xf numFmtId="11" fontId="9" fillId="0" borderId="0" xfId="0" applyNumberFormat="1" applyFont="1" applyAlignment="1">
      <alignment horizontal="left" vertical="center"/>
    </xf>
    <xf numFmtId="167" fontId="9" fillId="0" borderId="0" xfId="0" applyNumberFormat="1" applyFont="1" applyAlignment="1">
      <alignment horizontal="left" vertical="center"/>
    </xf>
    <xf numFmtId="2" fontId="6" fillId="0" borderId="0" xfId="1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11" fontId="6" fillId="0" borderId="0" xfId="1" applyNumberFormat="1" applyFont="1" applyFill="1" applyBorder="1" applyAlignment="1">
      <alignment horizontal="left" vertical="center"/>
    </xf>
    <xf numFmtId="11" fontId="6" fillId="0" borderId="0" xfId="0" applyNumberFormat="1" applyFont="1" applyAlignment="1">
      <alignment horizontal="left" vertical="center"/>
    </xf>
    <xf numFmtId="2" fontId="2" fillId="0" borderId="0" xfId="0" applyNumberFormat="1" applyFont="1" applyAlignment="1">
      <alignment horizontal="left" vertical="center"/>
    </xf>
    <xf numFmtId="1" fontId="6" fillId="0" borderId="0" xfId="1" applyNumberFormat="1" applyFont="1" applyFill="1" applyBorder="1" applyAlignment="1">
      <alignment horizontal="left" vertical="center"/>
    </xf>
    <xf numFmtId="166" fontId="9" fillId="0" borderId="0" xfId="0" applyNumberFormat="1" applyFont="1" applyAlignment="1">
      <alignment horizontal="left" vertical="center"/>
    </xf>
    <xf numFmtId="167" fontId="4" fillId="0" borderId="0" xfId="0" applyNumberFormat="1" applyFont="1" applyAlignment="1">
      <alignment horizontal="left" vertical="center"/>
    </xf>
    <xf numFmtId="1" fontId="9" fillId="0" borderId="0" xfId="0" applyNumberFormat="1" applyFont="1" applyAlignment="1">
      <alignment horizontal="left" vertical="center"/>
    </xf>
    <xf numFmtId="165" fontId="9" fillId="0" borderId="0" xfId="0" applyNumberFormat="1" applyFont="1" applyAlignment="1">
      <alignment horizontal="left" vertical="center"/>
    </xf>
    <xf numFmtId="165" fontId="6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2" fontId="4" fillId="0" borderId="0" xfId="0" applyNumberFormat="1" applyFont="1" applyAlignment="1">
      <alignment horizontal="left" vertical="center"/>
    </xf>
    <xf numFmtId="165" fontId="4" fillId="0" borderId="0" xfId="0" applyNumberFormat="1" applyFont="1" applyAlignment="1">
      <alignment horizontal="left" vertical="center"/>
    </xf>
    <xf numFmtId="1" fontId="6" fillId="0" borderId="0" xfId="0" applyNumberFormat="1" applyFont="1" applyAlignment="1">
      <alignment horizontal="left" vertical="center"/>
    </xf>
    <xf numFmtId="0" fontId="6" fillId="4" borderId="0" xfId="1" applyFont="1" applyFill="1" applyBorder="1" applyAlignment="1">
      <alignment horizontal="center"/>
    </xf>
    <xf numFmtId="0" fontId="6" fillId="0" borderId="0" xfId="1" applyFont="1" applyFill="1" applyBorder="1" applyAlignment="1"/>
    <xf numFmtId="11" fontId="3" fillId="0" borderId="0" xfId="0" applyNumberFormat="1" applyFont="1"/>
    <xf numFmtId="0" fontId="2" fillId="0" borderId="0" xfId="0" quotePrefix="1" applyFont="1"/>
    <xf numFmtId="11" fontId="6" fillId="0" borderId="0" xfId="1" applyNumberFormat="1" applyFont="1" applyFill="1" applyBorder="1" applyAlignment="1"/>
    <xf numFmtId="0" fontId="2" fillId="0" borderId="0" xfId="0" quotePrefix="1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right"/>
    </xf>
    <xf numFmtId="164" fontId="2" fillId="6" borderId="0" xfId="0" applyNumberFormat="1" applyFont="1" applyFill="1"/>
    <xf numFmtId="0" fontId="2" fillId="3" borderId="0" xfId="0" applyFont="1" applyFill="1"/>
    <xf numFmtId="169" fontId="6" fillId="7" borderId="0" xfId="0" applyNumberFormat="1" applyFont="1" applyFill="1" applyAlignment="1">
      <alignment horizontal="center"/>
    </xf>
    <xf numFmtId="167" fontId="2" fillId="7" borderId="0" xfId="0" applyNumberFormat="1" applyFont="1" applyFill="1" applyAlignment="1">
      <alignment horizontal="center"/>
    </xf>
    <xf numFmtId="170" fontId="2" fillId="0" borderId="0" xfId="0" applyNumberFormat="1" applyFont="1"/>
    <xf numFmtId="167" fontId="6" fillId="0" borderId="0" xfId="1" applyNumberFormat="1" applyFont="1" applyFill="1" applyBorder="1" applyAlignment="1">
      <alignment horizontal="center"/>
    </xf>
    <xf numFmtId="167" fontId="2" fillId="0" borderId="0" xfId="0" applyNumberFormat="1" applyFont="1" applyAlignment="1">
      <alignment horizontal="center"/>
    </xf>
    <xf numFmtId="0" fontId="6" fillId="0" borderId="0" xfId="1" applyNumberFormat="1" applyFont="1" applyFill="1" applyBorder="1" applyAlignment="1">
      <alignment horizontal="center"/>
    </xf>
    <xf numFmtId="168" fontId="2" fillId="0" borderId="0" xfId="0" applyNumberFormat="1" applyFont="1"/>
    <xf numFmtId="165" fontId="2" fillId="0" borderId="0" xfId="0" applyNumberFormat="1" applyFont="1"/>
    <xf numFmtId="11" fontId="0" fillId="0" borderId="0" xfId="0" applyNumberFormat="1"/>
    <xf numFmtId="0" fontId="2" fillId="4" borderId="0" xfId="0" applyFont="1" applyFill="1" applyAlignment="1">
      <alignment horizontal="center" wrapText="1"/>
    </xf>
    <xf numFmtId="0" fontId="2" fillId="4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/>
    </xf>
  </cellXfs>
  <cellStyles count="2">
    <cellStyle name="Neutraali" xfId="1" builtinId="28"/>
    <cellStyle name="Normaali" xfId="0" builtinId="0"/>
  </cellStyles>
  <dxfs count="31">
    <dxf>
      <font>
        <color auto="1"/>
      </font>
      <numFmt numFmtId="1" formatCode="0"/>
    </dxf>
    <dxf>
      <font>
        <color auto="1"/>
      </font>
      <numFmt numFmtId="1" formatCode="0"/>
    </dxf>
    <dxf>
      <font>
        <color auto="1"/>
      </font>
      <numFmt numFmtId="1" formatCode="0"/>
    </dxf>
    <dxf>
      <font>
        <color auto="1"/>
      </font>
      <numFmt numFmtId="1" formatCode="0"/>
    </dxf>
    <dxf>
      <font>
        <b/>
        <i val="0"/>
        <color theme="1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numFmt numFmtId="1" formatCode="0"/>
    </dxf>
    <dxf>
      <font>
        <color auto="1"/>
      </font>
      <numFmt numFmtId="1" formatCode="0"/>
    </dxf>
    <dxf>
      <font>
        <color auto="1"/>
      </font>
      <numFmt numFmtId="1" formatCode="0"/>
    </dxf>
    <dxf>
      <font>
        <color auto="1"/>
      </font>
      <numFmt numFmtId="1" formatCode="0"/>
    </dxf>
    <dxf>
      <font>
        <color auto="1"/>
      </font>
      <numFmt numFmtId="1" formatCode="0"/>
    </dxf>
    <dxf>
      <font>
        <color auto="1"/>
      </font>
      <numFmt numFmtId="1" formatCode="0"/>
    </dxf>
    <dxf>
      <font>
        <b/>
        <i val="0"/>
        <color theme="1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numFmt numFmtId="1" formatCode="0"/>
    </dxf>
    <dxf>
      <font>
        <color auto="1"/>
      </font>
      <numFmt numFmtId="1" formatCode="0"/>
    </dxf>
    <dxf>
      <font>
        <b/>
        <i val="0"/>
        <color theme="1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numFmt numFmtId="1" formatCode="0"/>
    </dxf>
    <dxf>
      <numFmt numFmtId="1" formatCode="0"/>
    </dxf>
    <dxf>
      <numFmt numFmtId="1" formatCode="0"/>
    </dxf>
    <dxf>
      <font>
        <b/>
        <i val="0"/>
        <color theme="1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/>
        <i val="0"/>
        <color theme="1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numFmt numFmtId="1" formatCode="0"/>
    </dxf>
    <dxf>
      <font>
        <color auto="1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53</xdr:col>
      <xdr:colOff>485861</xdr:colOff>
      <xdr:row>21</xdr:row>
      <xdr:rowOff>138377</xdr:rowOff>
    </xdr:from>
    <xdr:to>
      <xdr:col>61</xdr:col>
      <xdr:colOff>272255</xdr:colOff>
      <xdr:row>40</xdr:row>
      <xdr:rowOff>32279</xdr:rowOff>
    </xdr:to>
    <xdr:pic>
      <xdr:nvPicPr>
        <xdr:cNvPr id="4" name="Kuva 3">
          <a:extLst>
            <a:ext uri="{FF2B5EF4-FFF2-40B4-BE49-F238E27FC236}">
              <a16:creationId xmlns:a16="http://schemas.microsoft.com/office/drawing/2014/main" id="{2F977DC9-E7EE-C096-990C-35F263748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467209" y="3368594"/>
          <a:ext cx="5079810" cy="2726555"/>
        </a:xfrm>
        <a:prstGeom prst="rect">
          <a:avLst/>
        </a:prstGeom>
      </xdr:spPr>
    </xdr:pic>
    <xdr:clientData/>
  </xdr:twoCellAnchor>
  <xdr:twoCellAnchor editAs="oneCell">
    <xdr:from>
      <xdr:col>6</xdr:col>
      <xdr:colOff>481285</xdr:colOff>
      <xdr:row>1</xdr:row>
      <xdr:rowOff>141633</xdr:rowOff>
    </xdr:from>
    <xdr:to>
      <xdr:col>9</xdr:col>
      <xdr:colOff>271864</xdr:colOff>
      <xdr:row>16</xdr:row>
      <xdr:rowOff>74544</xdr:rowOff>
    </xdr:to>
    <xdr:pic>
      <xdr:nvPicPr>
        <xdr:cNvPr id="2" name="Kuva 1">
          <a:extLst>
            <a:ext uri="{FF2B5EF4-FFF2-40B4-BE49-F238E27FC236}">
              <a16:creationId xmlns:a16="http://schemas.microsoft.com/office/drawing/2014/main" id="{C1E1B1D6-F09A-4EC0-971B-90DCAD15B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08459" y="290720"/>
          <a:ext cx="1662448" cy="2268607"/>
        </a:xfrm>
        <a:prstGeom prst="rect">
          <a:avLst/>
        </a:prstGeom>
      </xdr:spPr>
    </xdr:pic>
    <xdr:clientData/>
  </xdr:twoCellAnchor>
  <xdr:twoCellAnchor editAs="oneCell">
    <xdr:from>
      <xdr:col>5</xdr:col>
      <xdr:colOff>41413</xdr:colOff>
      <xdr:row>77</xdr:row>
      <xdr:rowOff>0</xdr:rowOff>
    </xdr:from>
    <xdr:to>
      <xdr:col>10</xdr:col>
      <xdr:colOff>552251</xdr:colOff>
      <xdr:row>98</xdr:row>
      <xdr:rowOff>66261</xdr:rowOff>
    </xdr:to>
    <xdr:pic>
      <xdr:nvPicPr>
        <xdr:cNvPr id="3" name="Kuva 2">
          <a:extLst>
            <a:ext uri="{FF2B5EF4-FFF2-40B4-BE49-F238E27FC236}">
              <a16:creationId xmlns:a16="http://schemas.microsoft.com/office/drawing/2014/main" id="{9307D9D9-7156-701D-D272-FACC579DA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47391" y="11620500"/>
          <a:ext cx="3616817" cy="3197087"/>
        </a:xfrm>
        <a:prstGeom prst="rect">
          <a:avLst/>
        </a:prstGeom>
      </xdr:spPr>
    </xdr:pic>
    <xdr:clientData/>
  </xdr:twoCellAnchor>
  <xdr:twoCellAnchor editAs="oneCell">
    <xdr:from>
      <xdr:col>11</xdr:col>
      <xdr:colOff>488673</xdr:colOff>
      <xdr:row>76</xdr:row>
      <xdr:rowOff>50110</xdr:rowOff>
    </xdr:from>
    <xdr:to>
      <xdr:col>18</xdr:col>
      <xdr:colOff>221987</xdr:colOff>
      <xdr:row>91</xdr:row>
      <xdr:rowOff>72398</xdr:rowOff>
    </xdr:to>
    <xdr:pic>
      <xdr:nvPicPr>
        <xdr:cNvPr id="5" name="Kuva 4">
          <a:extLst>
            <a:ext uri="{FF2B5EF4-FFF2-40B4-BE49-F238E27FC236}">
              <a16:creationId xmlns:a16="http://schemas.microsoft.com/office/drawing/2014/main" id="{61598652-8122-D8F1-BC81-D8E9EEC9F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13543" y="11521523"/>
          <a:ext cx="4106531" cy="22585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52</xdr:col>
      <xdr:colOff>405554</xdr:colOff>
      <xdr:row>20</xdr:row>
      <xdr:rowOff>63558</xdr:rowOff>
    </xdr:from>
    <xdr:to>
      <xdr:col>63</xdr:col>
      <xdr:colOff>166638</xdr:colOff>
      <xdr:row>43</xdr:row>
      <xdr:rowOff>28196</xdr:rowOff>
    </xdr:to>
    <xdr:pic>
      <xdr:nvPicPr>
        <xdr:cNvPr id="3" name="Kuva 2">
          <a:extLst>
            <a:ext uri="{FF2B5EF4-FFF2-40B4-BE49-F238E27FC236}">
              <a16:creationId xmlns:a16="http://schemas.microsoft.com/office/drawing/2014/main" id="{3639D88D-DDF8-511C-22D5-4015EFEB1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47161" y="3165987"/>
          <a:ext cx="6872818" cy="3407245"/>
        </a:xfrm>
        <a:prstGeom prst="rect">
          <a:avLst/>
        </a:prstGeom>
      </xdr:spPr>
    </xdr:pic>
    <xdr:clientData/>
  </xdr:twoCellAnchor>
  <xdr:twoCellAnchor editAs="oneCell">
    <xdr:from>
      <xdr:col>6</xdr:col>
      <xdr:colOff>249278</xdr:colOff>
      <xdr:row>1</xdr:row>
      <xdr:rowOff>124239</xdr:rowOff>
    </xdr:from>
    <xdr:to>
      <xdr:col>9</xdr:col>
      <xdr:colOff>99392</xdr:colOff>
      <xdr:row>16</xdr:row>
      <xdr:rowOff>134546</xdr:rowOff>
    </xdr:to>
    <xdr:pic>
      <xdr:nvPicPr>
        <xdr:cNvPr id="2" name="Kuva 1">
          <a:extLst>
            <a:ext uri="{FF2B5EF4-FFF2-40B4-BE49-F238E27FC236}">
              <a16:creationId xmlns:a16="http://schemas.microsoft.com/office/drawing/2014/main" id="{F551A664-79F4-8802-EB1E-A5BA2FC4F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26756" y="273326"/>
          <a:ext cx="1688853" cy="234600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52</xdr:col>
      <xdr:colOff>555812</xdr:colOff>
      <xdr:row>20</xdr:row>
      <xdr:rowOff>63558</xdr:rowOff>
    </xdr:from>
    <xdr:to>
      <xdr:col>63</xdr:col>
      <xdr:colOff>16380</xdr:colOff>
      <xdr:row>43</xdr:row>
      <xdr:rowOff>28196</xdr:rowOff>
    </xdr:to>
    <xdr:pic>
      <xdr:nvPicPr>
        <xdr:cNvPr id="2" name="Kuva 1">
          <a:extLst>
            <a:ext uri="{FF2B5EF4-FFF2-40B4-BE49-F238E27FC236}">
              <a16:creationId xmlns:a16="http://schemas.microsoft.com/office/drawing/2014/main" id="{F5545A9B-3F79-4246-B694-FDE6CF89C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5887959" y="3246029"/>
          <a:ext cx="6497862" cy="3572932"/>
        </a:xfrm>
        <a:prstGeom prst="rect">
          <a:avLst/>
        </a:prstGeom>
      </xdr:spPr>
    </xdr:pic>
    <xdr:clientData/>
  </xdr:twoCellAnchor>
  <xdr:twoCellAnchor editAs="oneCell">
    <xdr:from>
      <xdr:col>6</xdr:col>
      <xdr:colOff>249278</xdr:colOff>
      <xdr:row>1</xdr:row>
      <xdr:rowOff>124239</xdr:rowOff>
    </xdr:from>
    <xdr:to>
      <xdr:col>9</xdr:col>
      <xdr:colOff>99392</xdr:colOff>
      <xdr:row>16</xdr:row>
      <xdr:rowOff>134546</xdr:rowOff>
    </xdr:to>
    <xdr:pic>
      <xdr:nvPicPr>
        <xdr:cNvPr id="3" name="Kuva 2">
          <a:extLst>
            <a:ext uri="{FF2B5EF4-FFF2-40B4-BE49-F238E27FC236}">
              <a16:creationId xmlns:a16="http://schemas.microsoft.com/office/drawing/2014/main" id="{6B958F5C-EC35-41A6-9889-2C2CB2241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06878" y="276639"/>
          <a:ext cx="1678914" cy="237250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459203</xdr:colOff>
      <xdr:row>47</xdr:row>
      <xdr:rowOff>152400</xdr:rowOff>
    </xdr:to>
    <xdr:pic>
      <xdr:nvPicPr>
        <xdr:cNvPr id="2" name="Kuva 1">
          <a:extLst>
            <a:ext uri="{FF2B5EF4-FFF2-40B4-BE49-F238E27FC236}">
              <a16:creationId xmlns:a16="http://schemas.microsoft.com/office/drawing/2014/main" id="{10433D3B-7AC3-4354-B501-58472B546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55203" cy="91059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481285</xdr:colOff>
      <xdr:row>1</xdr:row>
      <xdr:rowOff>141633</xdr:rowOff>
    </xdr:from>
    <xdr:to>
      <xdr:col>9</xdr:col>
      <xdr:colOff>271864</xdr:colOff>
      <xdr:row>16</xdr:row>
      <xdr:rowOff>112644</xdr:rowOff>
    </xdr:to>
    <xdr:pic>
      <xdr:nvPicPr>
        <xdr:cNvPr id="3" name="Kuva 2">
          <a:extLst>
            <a:ext uri="{FF2B5EF4-FFF2-40B4-BE49-F238E27FC236}">
              <a16:creationId xmlns:a16="http://schemas.microsoft.com/office/drawing/2014/main" id="{1CEE018A-C8B3-4B7B-BDF2-555D31C01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10385" y="294033"/>
          <a:ext cx="1924179" cy="2295111"/>
        </a:xfrm>
        <a:prstGeom prst="rect">
          <a:avLst/>
        </a:prstGeom>
      </xdr:spPr>
    </xdr:pic>
    <xdr:clientData/>
  </xdr:twoCellAnchor>
  <xdr:twoCellAnchor>
    <xdr:from>
      <xdr:col>27</xdr:col>
      <xdr:colOff>447675</xdr:colOff>
      <xdr:row>19</xdr:row>
      <xdr:rowOff>19050</xdr:rowOff>
    </xdr:from>
    <xdr:to>
      <xdr:col>33</xdr:col>
      <xdr:colOff>47625</xdr:colOff>
      <xdr:row>30</xdr:row>
      <xdr:rowOff>47625</xdr:rowOff>
    </xdr:to>
    <xdr:cxnSp macro="">
      <xdr:nvCxnSpPr>
        <xdr:cNvPr id="6" name="Suora yhdysviiva 5">
          <a:extLst>
            <a:ext uri="{FF2B5EF4-FFF2-40B4-BE49-F238E27FC236}">
              <a16:creationId xmlns:a16="http://schemas.microsoft.com/office/drawing/2014/main" id="{1523A8B1-9714-0231-0907-15AD0E004185}"/>
            </a:ext>
          </a:extLst>
        </xdr:cNvPr>
        <xdr:cNvCxnSpPr/>
      </xdr:nvCxnSpPr>
      <xdr:spPr>
        <a:xfrm flipV="1">
          <a:off x="17383125" y="2952750"/>
          <a:ext cx="3267075" cy="17049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485775</xdr:colOff>
      <xdr:row>27</xdr:row>
      <xdr:rowOff>95250</xdr:rowOff>
    </xdr:from>
    <xdr:to>
      <xdr:col>28</xdr:col>
      <xdr:colOff>323850</xdr:colOff>
      <xdr:row>29</xdr:row>
      <xdr:rowOff>9525</xdr:rowOff>
    </xdr:to>
    <xdr:cxnSp macro="">
      <xdr:nvCxnSpPr>
        <xdr:cNvPr id="8" name="Suora nuoliyhdysviiva 7">
          <a:extLst>
            <a:ext uri="{FF2B5EF4-FFF2-40B4-BE49-F238E27FC236}">
              <a16:creationId xmlns:a16="http://schemas.microsoft.com/office/drawing/2014/main" id="{A7655B74-8BC5-374B-49F1-A9B36210CC75}"/>
            </a:ext>
          </a:extLst>
        </xdr:cNvPr>
        <xdr:cNvCxnSpPr/>
      </xdr:nvCxnSpPr>
      <xdr:spPr>
        <a:xfrm flipH="1">
          <a:off x="17907000" y="4248150"/>
          <a:ext cx="447675" cy="2190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428625</xdr:colOff>
      <xdr:row>25</xdr:row>
      <xdr:rowOff>57150</xdr:rowOff>
    </xdr:from>
    <xdr:to>
      <xdr:col>29</xdr:col>
      <xdr:colOff>266700</xdr:colOff>
      <xdr:row>27</xdr:row>
      <xdr:rowOff>9525</xdr:rowOff>
    </xdr:to>
    <xdr:cxnSp macro="">
      <xdr:nvCxnSpPr>
        <xdr:cNvPr id="16" name="Suora nuoliyhdysviiva 15">
          <a:extLst>
            <a:ext uri="{FF2B5EF4-FFF2-40B4-BE49-F238E27FC236}">
              <a16:creationId xmlns:a16="http://schemas.microsoft.com/office/drawing/2014/main" id="{D0A16A50-9415-C1D7-95A4-44EE60E5281A}"/>
            </a:ext>
          </a:extLst>
        </xdr:cNvPr>
        <xdr:cNvCxnSpPr/>
      </xdr:nvCxnSpPr>
      <xdr:spPr>
        <a:xfrm flipH="1">
          <a:off x="18459450" y="3905250"/>
          <a:ext cx="457200" cy="2571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352425</xdr:colOff>
      <xdr:row>23</xdr:row>
      <xdr:rowOff>114300</xdr:rowOff>
    </xdr:from>
    <xdr:to>
      <xdr:col>30</xdr:col>
      <xdr:colOff>190500</xdr:colOff>
      <xdr:row>25</xdr:row>
      <xdr:rowOff>47625</xdr:rowOff>
    </xdr:to>
    <xdr:cxnSp macro="">
      <xdr:nvCxnSpPr>
        <xdr:cNvPr id="17" name="Suora nuoliyhdysviiva 16">
          <a:extLst>
            <a:ext uri="{FF2B5EF4-FFF2-40B4-BE49-F238E27FC236}">
              <a16:creationId xmlns:a16="http://schemas.microsoft.com/office/drawing/2014/main" id="{A2D29648-0509-F74E-F90B-1B44442DA531}"/>
            </a:ext>
          </a:extLst>
        </xdr:cNvPr>
        <xdr:cNvCxnSpPr/>
      </xdr:nvCxnSpPr>
      <xdr:spPr>
        <a:xfrm flipH="1">
          <a:off x="19002375" y="3657600"/>
          <a:ext cx="447675" cy="2381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314325</xdr:colOff>
      <xdr:row>21</xdr:row>
      <xdr:rowOff>133350</xdr:rowOff>
    </xdr:from>
    <xdr:to>
      <xdr:col>31</xdr:col>
      <xdr:colOff>95250</xdr:colOff>
      <xdr:row>23</xdr:row>
      <xdr:rowOff>38100</xdr:rowOff>
    </xdr:to>
    <xdr:cxnSp macro="">
      <xdr:nvCxnSpPr>
        <xdr:cNvPr id="18" name="Suora nuoliyhdysviiva 17">
          <a:extLst>
            <a:ext uri="{FF2B5EF4-FFF2-40B4-BE49-F238E27FC236}">
              <a16:creationId xmlns:a16="http://schemas.microsoft.com/office/drawing/2014/main" id="{DB240AFE-E66A-3330-207B-3907E38E0044}"/>
            </a:ext>
          </a:extLst>
        </xdr:cNvPr>
        <xdr:cNvCxnSpPr/>
      </xdr:nvCxnSpPr>
      <xdr:spPr>
        <a:xfrm flipH="1">
          <a:off x="19573875" y="3371850"/>
          <a:ext cx="390525" cy="2095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219075</xdr:colOff>
      <xdr:row>20</xdr:row>
      <xdr:rowOff>38100</xdr:rowOff>
    </xdr:from>
    <xdr:to>
      <xdr:col>31</xdr:col>
      <xdr:colOff>581025</xdr:colOff>
      <xdr:row>21</xdr:row>
      <xdr:rowOff>95250</xdr:rowOff>
    </xdr:to>
    <xdr:cxnSp macro="">
      <xdr:nvCxnSpPr>
        <xdr:cNvPr id="19" name="Suora nuoliyhdysviiva 18">
          <a:extLst>
            <a:ext uri="{FF2B5EF4-FFF2-40B4-BE49-F238E27FC236}">
              <a16:creationId xmlns:a16="http://schemas.microsoft.com/office/drawing/2014/main" id="{4E54B8C6-5777-2B92-8250-F9A805BA9E91}"/>
            </a:ext>
          </a:extLst>
        </xdr:cNvPr>
        <xdr:cNvCxnSpPr/>
      </xdr:nvCxnSpPr>
      <xdr:spPr>
        <a:xfrm flipH="1">
          <a:off x="20088225" y="3124200"/>
          <a:ext cx="361950" cy="2095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95250</xdr:colOff>
      <xdr:row>18</xdr:row>
      <xdr:rowOff>85725</xdr:rowOff>
    </xdr:from>
    <xdr:to>
      <xdr:col>32</xdr:col>
      <xdr:colOff>485775</xdr:colOff>
      <xdr:row>20</xdr:row>
      <xdr:rowOff>0</xdr:rowOff>
    </xdr:to>
    <xdr:cxnSp macro="">
      <xdr:nvCxnSpPr>
        <xdr:cNvPr id="20" name="Suora nuoliyhdysviiva 19">
          <a:extLst>
            <a:ext uri="{FF2B5EF4-FFF2-40B4-BE49-F238E27FC236}">
              <a16:creationId xmlns:a16="http://schemas.microsoft.com/office/drawing/2014/main" id="{D26DC36B-E325-0EC6-8064-7B9D80DED19D}"/>
            </a:ext>
          </a:extLst>
        </xdr:cNvPr>
        <xdr:cNvCxnSpPr/>
      </xdr:nvCxnSpPr>
      <xdr:spPr>
        <a:xfrm flipH="1">
          <a:off x="20574000" y="2867025"/>
          <a:ext cx="390525" cy="2190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38100</xdr:colOff>
      <xdr:row>16</xdr:row>
      <xdr:rowOff>19050</xdr:rowOff>
    </xdr:from>
    <xdr:to>
      <xdr:col>33</xdr:col>
      <xdr:colOff>457200</xdr:colOff>
      <xdr:row>17</xdr:row>
      <xdr:rowOff>133350</xdr:rowOff>
    </xdr:to>
    <xdr:cxnSp macro="">
      <xdr:nvCxnSpPr>
        <xdr:cNvPr id="21" name="Suora nuoliyhdysviiva 20">
          <a:extLst>
            <a:ext uri="{FF2B5EF4-FFF2-40B4-BE49-F238E27FC236}">
              <a16:creationId xmlns:a16="http://schemas.microsoft.com/office/drawing/2014/main" id="{E69AB766-A77C-B573-40EE-B9D54F83C73D}"/>
            </a:ext>
          </a:extLst>
        </xdr:cNvPr>
        <xdr:cNvCxnSpPr/>
      </xdr:nvCxnSpPr>
      <xdr:spPr>
        <a:xfrm flipH="1">
          <a:off x="21126450" y="2495550"/>
          <a:ext cx="419100" cy="266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409574</xdr:colOff>
      <xdr:row>30</xdr:row>
      <xdr:rowOff>95250</xdr:rowOff>
    </xdr:from>
    <xdr:to>
      <xdr:col>28</xdr:col>
      <xdr:colOff>57149</xdr:colOff>
      <xdr:row>32</xdr:row>
      <xdr:rowOff>104775</xdr:rowOff>
    </xdr:to>
    <xdr:sp macro="" textlink="">
      <xdr:nvSpPr>
        <xdr:cNvPr id="22" name="Vapaamuotoinen: Muoto 21">
          <a:extLst>
            <a:ext uri="{FF2B5EF4-FFF2-40B4-BE49-F238E27FC236}">
              <a16:creationId xmlns:a16="http://schemas.microsoft.com/office/drawing/2014/main" id="{4B3E4468-C607-BA43-9561-AB831B29284B}"/>
            </a:ext>
          </a:extLst>
        </xdr:cNvPr>
        <xdr:cNvSpPr/>
      </xdr:nvSpPr>
      <xdr:spPr>
        <a:xfrm rot="1142932">
          <a:off x="17345024" y="4705350"/>
          <a:ext cx="257175" cy="314325"/>
        </a:xfrm>
        <a:custGeom>
          <a:avLst/>
          <a:gdLst>
            <a:gd name="csX0" fmla="*/ 0 w 257175"/>
            <a:gd name="csY0" fmla="*/ 0 h 314325"/>
            <a:gd name="csX1" fmla="*/ 47625 w 257175"/>
            <a:gd name="csY1" fmla="*/ 314325 h 314325"/>
            <a:gd name="csX2" fmla="*/ 257175 w 257175"/>
            <a:gd name="csY2" fmla="*/ 85725 h 314325"/>
            <a:gd name="csX3" fmla="*/ 0 w 257175"/>
            <a:gd name="csY3" fmla="*/ 0 h 31432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</a:cxnLst>
          <a:rect l="l" t="t" r="r" b="b"/>
          <a:pathLst>
            <a:path w="257175" h="314325">
              <a:moveTo>
                <a:pt x="0" y="0"/>
              </a:moveTo>
              <a:lnTo>
                <a:pt x="47625" y="314325"/>
              </a:lnTo>
              <a:lnTo>
                <a:pt x="257175" y="85725"/>
              </a:lnTo>
              <a:lnTo>
                <a:pt x="0" y="0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FI" sz="1100"/>
        </a:p>
      </xdr:txBody>
    </xdr:sp>
    <xdr:clientData/>
  </xdr:twoCellAnchor>
  <xdr:twoCellAnchor>
    <xdr:from>
      <xdr:col>32</xdr:col>
      <xdr:colOff>600075</xdr:colOff>
      <xdr:row>19</xdr:row>
      <xdr:rowOff>76200</xdr:rowOff>
    </xdr:from>
    <xdr:to>
      <xdr:col>33</xdr:col>
      <xdr:colOff>247650</xdr:colOff>
      <xdr:row>21</xdr:row>
      <xdr:rowOff>85725</xdr:rowOff>
    </xdr:to>
    <xdr:sp macro="" textlink="">
      <xdr:nvSpPr>
        <xdr:cNvPr id="23" name="Vapaamuotoinen: Muoto 22">
          <a:extLst>
            <a:ext uri="{FF2B5EF4-FFF2-40B4-BE49-F238E27FC236}">
              <a16:creationId xmlns:a16="http://schemas.microsoft.com/office/drawing/2014/main" id="{49DCFA13-61E0-A7B4-4439-E44B69D62357}"/>
            </a:ext>
          </a:extLst>
        </xdr:cNvPr>
        <xdr:cNvSpPr/>
      </xdr:nvSpPr>
      <xdr:spPr>
        <a:xfrm rot="775669">
          <a:off x="20593050" y="3009900"/>
          <a:ext cx="257175" cy="314325"/>
        </a:xfrm>
        <a:custGeom>
          <a:avLst/>
          <a:gdLst>
            <a:gd name="csX0" fmla="*/ 0 w 257175"/>
            <a:gd name="csY0" fmla="*/ 0 h 314325"/>
            <a:gd name="csX1" fmla="*/ 47625 w 257175"/>
            <a:gd name="csY1" fmla="*/ 314325 h 314325"/>
            <a:gd name="csX2" fmla="*/ 257175 w 257175"/>
            <a:gd name="csY2" fmla="*/ 85725 h 314325"/>
            <a:gd name="csX3" fmla="*/ 0 w 257175"/>
            <a:gd name="csY3" fmla="*/ 0 h 31432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</a:cxnLst>
          <a:rect l="l" t="t" r="r" b="b"/>
          <a:pathLst>
            <a:path w="257175" h="314325">
              <a:moveTo>
                <a:pt x="0" y="0"/>
              </a:moveTo>
              <a:lnTo>
                <a:pt x="47625" y="314325"/>
              </a:lnTo>
              <a:lnTo>
                <a:pt x="257175" y="85725"/>
              </a:lnTo>
              <a:lnTo>
                <a:pt x="0" y="0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FI" sz="1100"/>
        </a:p>
      </xdr:txBody>
    </xdr:sp>
    <xdr:clientData/>
  </xdr:twoCellAnchor>
  <xdr:twoCellAnchor>
    <xdr:from>
      <xdr:col>32</xdr:col>
      <xdr:colOff>600075</xdr:colOff>
      <xdr:row>21</xdr:row>
      <xdr:rowOff>28575</xdr:rowOff>
    </xdr:from>
    <xdr:to>
      <xdr:col>33</xdr:col>
      <xdr:colOff>114300</xdr:colOff>
      <xdr:row>21</xdr:row>
      <xdr:rowOff>142875</xdr:rowOff>
    </xdr:to>
    <xdr:sp macro="" textlink="">
      <xdr:nvSpPr>
        <xdr:cNvPr id="24" name="Ellipsi 23">
          <a:extLst>
            <a:ext uri="{FF2B5EF4-FFF2-40B4-BE49-F238E27FC236}">
              <a16:creationId xmlns:a16="http://schemas.microsoft.com/office/drawing/2014/main" id="{77135142-8A06-5A07-C78D-584511B48964}"/>
            </a:ext>
          </a:extLst>
        </xdr:cNvPr>
        <xdr:cNvSpPr/>
      </xdr:nvSpPr>
      <xdr:spPr>
        <a:xfrm>
          <a:off x="20593050" y="3267075"/>
          <a:ext cx="123825" cy="1143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FI" sz="1100"/>
        </a:p>
      </xdr:txBody>
    </xdr:sp>
    <xdr:clientData/>
  </xdr:twoCellAnchor>
  <xdr:twoCellAnchor>
    <xdr:from>
      <xdr:col>33</xdr:col>
      <xdr:colOff>200025</xdr:colOff>
      <xdr:row>20</xdr:row>
      <xdr:rowOff>28575</xdr:rowOff>
    </xdr:from>
    <xdr:to>
      <xdr:col>33</xdr:col>
      <xdr:colOff>323850</xdr:colOff>
      <xdr:row>20</xdr:row>
      <xdr:rowOff>142875</xdr:rowOff>
    </xdr:to>
    <xdr:sp macro="" textlink="">
      <xdr:nvSpPr>
        <xdr:cNvPr id="25" name="Ellipsi 24">
          <a:extLst>
            <a:ext uri="{FF2B5EF4-FFF2-40B4-BE49-F238E27FC236}">
              <a16:creationId xmlns:a16="http://schemas.microsoft.com/office/drawing/2014/main" id="{C9D2E995-417E-D262-852B-4358ED6510B3}"/>
            </a:ext>
          </a:extLst>
        </xdr:cNvPr>
        <xdr:cNvSpPr/>
      </xdr:nvSpPr>
      <xdr:spPr>
        <a:xfrm>
          <a:off x="20802600" y="3114675"/>
          <a:ext cx="123825" cy="1143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FI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481285</xdr:colOff>
      <xdr:row>1</xdr:row>
      <xdr:rowOff>141633</xdr:rowOff>
    </xdr:from>
    <xdr:to>
      <xdr:col>9</xdr:col>
      <xdr:colOff>271864</xdr:colOff>
      <xdr:row>16</xdr:row>
      <xdr:rowOff>112644</xdr:rowOff>
    </xdr:to>
    <xdr:pic>
      <xdr:nvPicPr>
        <xdr:cNvPr id="2" name="Kuva 1">
          <a:extLst>
            <a:ext uri="{FF2B5EF4-FFF2-40B4-BE49-F238E27FC236}">
              <a16:creationId xmlns:a16="http://schemas.microsoft.com/office/drawing/2014/main" id="{AFE474AA-C4CB-437A-816E-E8BE835D5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6035" y="294033"/>
          <a:ext cx="1657479" cy="2295111"/>
        </a:xfrm>
        <a:prstGeom prst="rect">
          <a:avLst/>
        </a:prstGeom>
      </xdr:spPr>
    </xdr:pic>
    <xdr:clientData/>
  </xdr:twoCellAnchor>
  <xdr:twoCellAnchor>
    <xdr:from>
      <xdr:col>27</xdr:col>
      <xdr:colOff>447675</xdr:colOff>
      <xdr:row>19</xdr:row>
      <xdr:rowOff>19050</xdr:rowOff>
    </xdr:from>
    <xdr:to>
      <xdr:col>33</xdr:col>
      <xdr:colOff>47625</xdr:colOff>
      <xdr:row>30</xdr:row>
      <xdr:rowOff>47625</xdr:rowOff>
    </xdr:to>
    <xdr:cxnSp macro="">
      <xdr:nvCxnSpPr>
        <xdr:cNvPr id="3" name="Suora yhdysviiva 2">
          <a:extLst>
            <a:ext uri="{FF2B5EF4-FFF2-40B4-BE49-F238E27FC236}">
              <a16:creationId xmlns:a16="http://schemas.microsoft.com/office/drawing/2014/main" id="{85D37805-E29A-411A-99BF-28DAF46174A1}"/>
            </a:ext>
          </a:extLst>
        </xdr:cNvPr>
        <xdr:cNvCxnSpPr/>
      </xdr:nvCxnSpPr>
      <xdr:spPr>
        <a:xfrm flipV="1">
          <a:off x="17868900" y="2952750"/>
          <a:ext cx="3267075" cy="17049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85725</xdr:colOff>
      <xdr:row>25</xdr:row>
      <xdr:rowOff>114300</xdr:rowOff>
    </xdr:from>
    <xdr:to>
      <xdr:col>27</xdr:col>
      <xdr:colOff>485775</xdr:colOff>
      <xdr:row>29</xdr:row>
      <xdr:rowOff>9525</xdr:rowOff>
    </xdr:to>
    <xdr:cxnSp macro="">
      <xdr:nvCxnSpPr>
        <xdr:cNvPr id="4" name="Suora nuoliyhdysviiva 3">
          <a:extLst>
            <a:ext uri="{FF2B5EF4-FFF2-40B4-BE49-F238E27FC236}">
              <a16:creationId xmlns:a16="http://schemas.microsoft.com/office/drawing/2014/main" id="{3E60F86F-D213-49BC-8229-DC6AF7AE82CB}"/>
            </a:ext>
          </a:extLst>
        </xdr:cNvPr>
        <xdr:cNvCxnSpPr/>
      </xdr:nvCxnSpPr>
      <xdr:spPr>
        <a:xfrm>
          <a:off x="17849850" y="3962400"/>
          <a:ext cx="400050" cy="5048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38100</xdr:colOff>
      <xdr:row>14</xdr:row>
      <xdr:rowOff>95250</xdr:rowOff>
    </xdr:from>
    <xdr:to>
      <xdr:col>32</xdr:col>
      <xdr:colOff>247650</xdr:colOff>
      <xdr:row>25</xdr:row>
      <xdr:rowOff>123825</xdr:rowOff>
    </xdr:to>
    <xdr:cxnSp macro="">
      <xdr:nvCxnSpPr>
        <xdr:cNvPr id="5" name="Suora yhdysviiva 4">
          <a:extLst>
            <a:ext uri="{FF2B5EF4-FFF2-40B4-BE49-F238E27FC236}">
              <a16:creationId xmlns:a16="http://schemas.microsoft.com/office/drawing/2014/main" id="{B20BF5B7-A5F1-43F1-A73A-5D5EB42C5839}"/>
            </a:ext>
          </a:extLst>
        </xdr:cNvPr>
        <xdr:cNvCxnSpPr/>
      </xdr:nvCxnSpPr>
      <xdr:spPr>
        <a:xfrm flipV="1">
          <a:off x="17802225" y="2266950"/>
          <a:ext cx="3267075" cy="17049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238125</xdr:colOff>
      <xdr:row>14</xdr:row>
      <xdr:rowOff>95250</xdr:rowOff>
    </xdr:from>
    <xdr:to>
      <xdr:col>32</xdr:col>
      <xdr:colOff>561975</xdr:colOff>
      <xdr:row>18</xdr:row>
      <xdr:rowOff>0</xdr:rowOff>
    </xdr:to>
    <xdr:cxnSp macro="">
      <xdr:nvCxnSpPr>
        <xdr:cNvPr id="11" name="Suora nuoliyhdysviiva 10">
          <a:extLst>
            <a:ext uri="{FF2B5EF4-FFF2-40B4-BE49-F238E27FC236}">
              <a16:creationId xmlns:a16="http://schemas.microsoft.com/office/drawing/2014/main" id="{D055F5F4-E4B2-4C72-BC6F-29A9705FE712}"/>
            </a:ext>
          </a:extLst>
        </xdr:cNvPr>
        <xdr:cNvCxnSpPr/>
      </xdr:nvCxnSpPr>
      <xdr:spPr>
        <a:xfrm>
          <a:off x="21059775" y="2266950"/>
          <a:ext cx="323850" cy="514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323851</xdr:colOff>
      <xdr:row>19</xdr:row>
      <xdr:rowOff>9524</xdr:rowOff>
    </xdr:from>
    <xdr:to>
      <xdr:col>33</xdr:col>
      <xdr:colOff>28576</xdr:colOff>
      <xdr:row>20</xdr:row>
      <xdr:rowOff>114299</xdr:rowOff>
    </xdr:to>
    <xdr:sp macro="" textlink="">
      <xdr:nvSpPr>
        <xdr:cNvPr id="13" name="Vapaamuotoinen: Muoto 12">
          <a:extLst>
            <a:ext uri="{FF2B5EF4-FFF2-40B4-BE49-F238E27FC236}">
              <a16:creationId xmlns:a16="http://schemas.microsoft.com/office/drawing/2014/main" id="{63F3C0F9-C64E-44D9-BF30-E70DD1B24A67}"/>
            </a:ext>
          </a:extLst>
        </xdr:cNvPr>
        <xdr:cNvSpPr/>
      </xdr:nvSpPr>
      <xdr:spPr>
        <a:xfrm rot="5810539">
          <a:off x="21250276" y="2914649"/>
          <a:ext cx="257175" cy="314325"/>
        </a:xfrm>
        <a:custGeom>
          <a:avLst/>
          <a:gdLst>
            <a:gd name="csX0" fmla="*/ 0 w 257175"/>
            <a:gd name="csY0" fmla="*/ 0 h 314325"/>
            <a:gd name="csX1" fmla="*/ 47625 w 257175"/>
            <a:gd name="csY1" fmla="*/ 314325 h 314325"/>
            <a:gd name="csX2" fmla="*/ 257175 w 257175"/>
            <a:gd name="csY2" fmla="*/ 85725 h 314325"/>
            <a:gd name="csX3" fmla="*/ 0 w 257175"/>
            <a:gd name="csY3" fmla="*/ 0 h 31432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</a:cxnLst>
          <a:rect l="l" t="t" r="r" b="b"/>
          <a:pathLst>
            <a:path w="257175" h="314325">
              <a:moveTo>
                <a:pt x="0" y="0"/>
              </a:moveTo>
              <a:lnTo>
                <a:pt x="47625" y="314325"/>
              </a:lnTo>
              <a:lnTo>
                <a:pt x="257175" y="85725"/>
              </a:lnTo>
              <a:lnTo>
                <a:pt x="0" y="0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FI" sz="1100"/>
        </a:p>
      </xdr:txBody>
    </xdr:sp>
    <xdr:clientData/>
  </xdr:twoCellAnchor>
  <xdr:twoCellAnchor>
    <xdr:from>
      <xdr:col>32</xdr:col>
      <xdr:colOff>428625</xdr:colOff>
      <xdr:row>20</xdr:row>
      <xdr:rowOff>57150</xdr:rowOff>
    </xdr:from>
    <xdr:to>
      <xdr:col>32</xdr:col>
      <xdr:colOff>552450</xdr:colOff>
      <xdr:row>21</xdr:row>
      <xdr:rowOff>19050</xdr:rowOff>
    </xdr:to>
    <xdr:sp macro="" textlink="">
      <xdr:nvSpPr>
        <xdr:cNvPr id="14" name="Ellipsi 13">
          <a:extLst>
            <a:ext uri="{FF2B5EF4-FFF2-40B4-BE49-F238E27FC236}">
              <a16:creationId xmlns:a16="http://schemas.microsoft.com/office/drawing/2014/main" id="{55E3DDB5-02C1-4D7E-A52B-8730F6E78C00}"/>
            </a:ext>
          </a:extLst>
        </xdr:cNvPr>
        <xdr:cNvSpPr/>
      </xdr:nvSpPr>
      <xdr:spPr>
        <a:xfrm>
          <a:off x="21326475" y="3143250"/>
          <a:ext cx="123825" cy="1143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FI" sz="1100"/>
        </a:p>
      </xdr:txBody>
    </xdr:sp>
    <xdr:clientData/>
  </xdr:twoCellAnchor>
  <xdr:twoCellAnchor>
    <xdr:from>
      <xdr:col>32</xdr:col>
      <xdr:colOff>209550</xdr:colOff>
      <xdr:row>19</xdr:row>
      <xdr:rowOff>0</xdr:rowOff>
    </xdr:from>
    <xdr:to>
      <xdr:col>32</xdr:col>
      <xdr:colOff>333375</xdr:colOff>
      <xdr:row>19</xdr:row>
      <xdr:rowOff>114300</xdr:rowOff>
    </xdr:to>
    <xdr:sp macro="" textlink="">
      <xdr:nvSpPr>
        <xdr:cNvPr id="15" name="Ellipsi 14">
          <a:extLst>
            <a:ext uri="{FF2B5EF4-FFF2-40B4-BE49-F238E27FC236}">
              <a16:creationId xmlns:a16="http://schemas.microsoft.com/office/drawing/2014/main" id="{B786A94D-EECF-46C7-B03E-8165B039BC9F}"/>
            </a:ext>
          </a:extLst>
        </xdr:cNvPr>
        <xdr:cNvSpPr/>
      </xdr:nvSpPr>
      <xdr:spPr>
        <a:xfrm>
          <a:off x="21107400" y="2933700"/>
          <a:ext cx="123825" cy="1143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FI" sz="1100"/>
        </a:p>
      </xdr:txBody>
    </xdr:sp>
    <xdr:clientData/>
  </xdr:twoCellAnchor>
  <xdr:twoCellAnchor>
    <xdr:from>
      <xdr:col>28</xdr:col>
      <xdr:colOff>38100</xdr:colOff>
      <xdr:row>23</xdr:row>
      <xdr:rowOff>114300</xdr:rowOff>
    </xdr:from>
    <xdr:to>
      <xdr:col>28</xdr:col>
      <xdr:colOff>438150</xdr:colOff>
      <xdr:row>27</xdr:row>
      <xdr:rowOff>9525</xdr:rowOff>
    </xdr:to>
    <xdr:cxnSp macro="">
      <xdr:nvCxnSpPr>
        <xdr:cNvPr id="20" name="Suora nuoliyhdysviiva 19">
          <a:extLst>
            <a:ext uri="{FF2B5EF4-FFF2-40B4-BE49-F238E27FC236}">
              <a16:creationId xmlns:a16="http://schemas.microsoft.com/office/drawing/2014/main" id="{75F57A5E-A9CE-10D8-42F4-769D3826771E}"/>
            </a:ext>
          </a:extLst>
        </xdr:cNvPr>
        <xdr:cNvCxnSpPr/>
      </xdr:nvCxnSpPr>
      <xdr:spPr>
        <a:xfrm>
          <a:off x="18411825" y="3657600"/>
          <a:ext cx="400050" cy="5048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9525</xdr:colOff>
      <xdr:row>21</xdr:row>
      <xdr:rowOff>95250</xdr:rowOff>
    </xdr:from>
    <xdr:to>
      <xdr:col>29</xdr:col>
      <xdr:colOff>409575</xdr:colOff>
      <xdr:row>24</xdr:row>
      <xdr:rowOff>142875</xdr:rowOff>
    </xdr:to>
    <xdr:cxnSp macro="">
      <xdr:nvCxnSpPr>
        <xdr:cNvPr id="21" name="Suora nuoliyhdysviiva 20">
          <a:extLst>
            <a:ext uri="{FF2B5EF4-FFF2-40B4-BE49-F238E27FC236}">
              <a16:creationId xmlns:a16="http://schemas.microsoft.com/office/drawing/2014/main" id="{9828089E-19DF-CE78-3C4F-538B3E561BB0}"/>
            </a:ext>
          </a:extLst>
        </xdr:cNvPr>
        <xdr:cNvCxnSpPr/>
      </xdr:nvCxnSpPr>
      <xdr:spPr>
        <a:xfrm>
          <a:off x="19002375" y="3333750"/>
          <a:ext cx="400050" cy="5048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19050</xdr:colOff>
      <xdr:row>19</xdr:row>
      <xdr:rowOff>57150</xdr:rowOff>
    </xdr:from>
    <xdr:to>
      <xdr:col>30</xdr:col>
      <xdr:colOff>419100</xdr:colOff>
      <xdr:row>22</xdr:row>
      <xdr:rowOff>104775</xdr:rowOff>
    </xdr:to>
    <xdr:cxnSp macro="">
      <xdr:nvCxnSpPr>
        <xdr:cNvPr id="22" name="Suora nuoliyhdysviiva 21">
          <a:extLst>
            <a:ext uri="{FF2B5EF4-FFF2-40B4-BE49-F238E27FC236}">
              <a16:creationId xmlns:a16="http://schemas.microsoft.com/office/drawing/2014/main" id="{44DAB53D-9096-83C8-67D2-B02B8913FB52}"/>
            </a:ext>
          </a:extLst>
        </xdr:cNvPr>
        <xdr:cNvCxnSpPr/>
      </xdr:nvCxnSpPr>
      <xdr:spPr>
        <a:xfrm>
          <a:off x="19621500" y="2990850"/>
          <a:ext cx="400050" cy="5048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66675</xdr:colOff>
      <xdr:row>17</xdr:row>
      <xdr:rowOff>38100</xdr:rowOff>
    </xdr:from>
    <xdr:to>
      <xdr:col>31</xdr:col>
      <xdr:colOff>466725</xdr:colOff>
      <xdr:row>20</xdr:row>
      <xdr:rowOff>85725</xdr:rowOff>
    </xdr:to>
    <xdr:cxnSp macro="">
      <xdr:nvCxnSpPr>
        <xdr:cNvPr id="23" name="Suora nuoliyhdysviiva 22">
          <a:extLst>
            <a:ext uri="{FF2B5EF4-FFF2-40B4-BE49-F238E27FC236}">
              <a16:creationId xmlns:a16="http://schemas.microsoft.com/office/drawing/2014/main" id="{2B7E9C36-C0BA-EEFD-267C-299A8D885B1D}"/>
            </a:ext>
          </a:extLst>
        </xdr:cNvPr>
        <xdr:cNvCxnSpPr/>
      </xdr:nvCxnSpPr>
      <xdr:spPr>
        <a:xfrm>
          <a:off x="20278725" y="2667000"/>
          <a:ext cx="400050" cy="5048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238125</xdr:colOff>
      <xdr:row>30</xdr:row>
      <xdr:rowOff>38100</xdr:rowOff>
    </xdr:from>
    <xdr:to>
      <xdr:col>28</xdr:col>
      <xdr:colOff>38100</xdr:colOff>
      <xdr:row>32</xdr:row>
      <xdr:rowOff>85725</xdr:rowOff>
    </xdr:to>
    <xdr:sp macro="" textlink="">
      <xdr:nvSpPr>
        <xdr:cNvPr id="24" name="Suorakulmio 23">
          <a:extLst>
            <a:ext uri="{FF2B5EF4-FFF2-40B4-BE49-F238E27FC236}">
              <a16:creationId xmlns:a16="http://schemas.microsoft.com/office/drawing/2014/main" id="{82B26A39-1C42-A6D2-FCF6-EA643B4B33F5}"/>
            </a:ext>
          </a:extLst>
        </xdr:cNvPr>
        <xdr:cNvSpPr/>
      </xdr:nvSpPr>
      <xdr:spPr>
        <a:xfrm>
          <a:off x="18002250" y="4648200"/>
          <a:ext cx="409575" cy="3524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FI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9BDF3-3EE6-4BFB-9734-CB047BC6E804}">
  <sheetPr codeName="Taul1"/>
  <dimension ref="B1:CW227"/>
  <sheetViews>
    <sheetView topLeftCell="AB21" zoomScaleNormal="100" workbookViewId="0">
      <selection activeCell="AW81" sqref="AW81"/>
    </sheetView>
  </sheetViews>
  <sheetFormatPr defaultColWidth="9.140625" defaultRowHeight="12" x14ac:dyDescent="0.2"/>
  <cols>
    <col min="1" max="1" width="9.140625" style="1"/>
    <col min="2" max="4" width="9.28515625" style="1" bestFit="1" customWidth="1"/>
    <col min="5" max="5" width="9.42578125" style="1" bestFit="1" customWidth="1"/>
    <col min="6" max="7" width="9.28515625" style="1" bestFit="1" customWidth="1"/>
    <col min="8" max="8" width="9.140625" style="1"/>
    <col min="9" max="9" width="9.5703125" style="1" bestFit="1" customWidth="1"/>
    <col min="10" max="11" width="9.140625" style="1"/>
    <col min="12" max="12" width="9.7109375" style="1" bestFit="1" customWidth="1"/>
    <col min="13" max="14" width="9.28515625" style="1" bestFit="1" customWidth="1"/>
    <col min="15" max="15" width="9.42578125" style="1" bestFit="1" customWidth="1"/>
    <col min="16" max="17" width="9.28515625" style="1" bestFit="1" customWidth="1"/>
    <col min="18" max="18" width="9.140625" style="1"/>
    <col min="19" max="19" width="9.28515625" style="1" bestFit="1" customWidth="1"/>
    <col min="20" max="21" width="9.140625" style="1"/>
    <col min="22" max="24" width="9.28515625" style="1" bestFit="1" customWidth="1"/>
    <col min="25" max="25" width="9.42578125" style="1" bestFit="1" customWidth="1"/>
    <col min="26" max="27" width="9.28515625" style="1" bestFit="1" customWidth="1"/>
    <col min="28" max="28" width="9.140625" style="1"/>
    <col min="29" max="29" width="9.28515625" style="1" bestFit="1" customWidth="1"/>
    <col min="30" max="35" width="9.140625" style="1"/>
    <col min="36" max="36" width="9.28515625" style="1" bestFit="1" customWidth="1"/>
    <col min="37" max="37" width="11" style="1" bestFit="1" customWidth="1"/>
    <col min="38" max="38" width="11.140625" style="1" bestFit="1" customWidth="1"/>
    <col min="39" max="39" width="10.42578125" style="1" bestFit="1" customWidth="1"/>
    <col min="40" max="40" width="9.5703125" style="1" bestFit="1" customWidth="1"/>
    <col min="41" max="43" width="11" style="1" bestFit="1" customWidth="1"/>
    <col min="44" max="44" width="9.5703125" style="1" bestFit="1" customWidth="1"/>
    <col min="45" max="48" width="9.28515625" style="1" bestFit="1" customWidth="1"/>
    <col min="49" max="49" width="9.140625" style="1"/>
    <col min="50" max="53" width="9.28515625" style="1" bestFit="1" customWidth="1"/>
    <col min="54" max="54" width="12.42578125" style="1" bestFit="1" customWidth="1"/>
    <col min="55" max="55" width="9.28515625" style="1" bestFit="1" customWidth="1"/>
    <col min="56" max="56" width="11" style="1" bestFit="1" customWidth="1"/>
    <col min="57" max="62" width="9.28515625" style="1" bestFit="1" customWidth="1"/>
    <col min="63" max="16384" width="9.140625" style="1"/>
  </cols>
  <sheetData>
    <row r="1" spans="2:66" x14ac:dyDescent="0.2">
      <c r="B1" s="1" t="s">
        <v>34</v>
      </c>
    </row>
    <row r="3" spans="2:66" x14ac:dyDescent="0.2">
      <c r="B3" s="2" t="s">
        <v>13</v>
      </c>
      <c r="E3" s="23"/>
      <c r="F3" s="24"/>
      <c r="L3" s="2" t="s">
        <v>15</v>
      </c>
      <c r="O3" s="23"/>
      <c r="P3" s="24"/>
      <c r="S3" s="2"/>
      <c r="V3" s="2" t="s">
        <v>16</v>
      </c>
      <c r="X3" s="23"/>
      <c r="Y3" s="24"/>
    </row>
    <row r="4" spans="2:66" x14ac:dyDescent="0.2">
      <c r="B4" s="1" t="s">
        <v>17</v>
      </c>
      <c r="E4" s="35">
        <v>90</v>
      </c>
      <c r="F4" s="1" t="s">
        <v>0</v>
      </c>
      <c r="L4" s="1" t="s">
        <v>17</v>
      </c>
      <c r="O4" s="5">
        <v>0</v>
      </c>
      <c r="P4" s="1" t="s">
        <v>0</v>
      </c>
      <c r="V4" s="1" t="s">
        <v>17</v>
      </c>
      <c r="X4" s="4"/>
      <c r="Y4" s="5">
        <v>90</v>
      </c>
      <c r="Z4" s="1" t="s">
        <v>0</v>
      </c>
      <c r="AJ4" s="2" t="s">
        <v>35</v>
      </c>
      <c r="AZ4" s="2" t="s">
        <v>37</v>
      </c>
    </row>
    <row r="5" spans="2:66" x14ac:dyDescent="0.2">
      <c r="B5" s="34" t="s">
        <v>19</v>
      </c>
      <c r="C5" s="25">
        <f>COS(RADIANS(E4))</f>
        <v>6.1257422745431001E-17</v>
      </c>
      <c r="D5" s="34" t="s">
        <v>20</v>
      </c>
      <c r="E5" s="5">
        <f>SIN(RADIANS(E4))</f>
        <v>1</v>
      </c>
      <c r="L5" s="34" t="s">
        <v>19</v>
      </c>
      <c r="M5" s="25">
        <f>IF(ROUND(COS(RADIANS(O4)),5)=0,0,COS(RADIANS(O4)))</f>
        <v>1</v>
      </c>
      <c r="N5" s="34" t="s">
        <v>20</v>
      </c>
      <c r="O5" s="5">
        <f>IF(ROUND(SIN(RADIANS(O4)),5)=0,0,SIN(RADIANS(O4)))</f>
        <v>0</v>
      </c>
      <c r="V5" s="34" t="s">
        <v>19</v>
      </c>
      <c r="W5" s="25">
        <f>IF(ROUND(COS(RADIANS(Y4)),5)=0,0,COS(RADIANS(Y4)))</f>
        <v>0</v>
      </c>
      <c r="X5" s="34" t="s">
        <v>20</v>
      </c>
      <c r="Y5" s="5">
        <f>IF(ROUND(SIN(RADIANS(Y4)),5)=0,0,SIN(RADIANS(Y4)))</f>
        <v>1</v>
      </c>
      <c r="AJ5" s="9"/>
      <c r="AK5" s="78">
        <v>1</v>
      </c>
      <c r="AL5" s="78">
        <v>2</v>
      </c>
      <c r="AM5" s="78">
        <v>3</v>
      </c>
      <c r="AN5" s="78">
        <v>4</v>
      </c>
      <c r="AO5" s="78">
        <v>5</v>
      </c>
      <c r="AP5" s="78">
        <v>6</v>
      </c>
      <c r="AQ5" s="78">
        <v>7</v>
      </c>
      <c r="AR5" s="78">
        <v>8</v>
      </c>
      <c r="AS5" s="78">
        <v>9</v>
      </c>
      <c r="AT5" s="78">
        <v>10</v>
      </c>
      <c r="AU5" s="78">
        <v>11</v>
      </c>
      <c r="AV5" s="78">
        <v>12</v>
      </c>
      <c r="AW5" s="4"/>
      <c r="AX5" s="9" t="s">
        <v>50</v>
      </c>
      <c r="AZ5" s="9"/>
      <c r="BA5" s="78">
        <v>1</v>
      </c>
      <c r="BB5" s="78">
        <v>2</v>
      </c>
      <c r="BC5" s="78">
        <v>3</v>
      </c>
      <c r="BD5" s="78">
        <v>4</v>
      </c>
      <c r="BE5" s="78">
        <v>5</v>
      </c>
      <c r="BF5" s="78">
        <v>6</v>
      </c>
      <c r="BG5" s="78">
        <v>7</v>
      </c>
      <c r="BH5" s="78">
        <v>8</v>
      </c>
      <c r="BI5" s="78">
        <v>9</v>
      </c>
      <c r="BJ5" s="78">
        <v>10</v>
      </c>
      <c r="BK5" s="78">
        <v>11</v>
      </c>
      <c r="BL5" s="78">
        <v>12</v>
      </c>
      <c r="BM5" s="4"/>
      <c r="BN5" s="9" t="s">
        <v>50</v>
      </c>
    </row>
    <row r="6" spans="2:66" x14ac:dyDescent="0.2">
      <c r="B6" s="1" t="s">
        <v>2</v>
      </c>
      <c r="E6" s="5">
        <v>4000</v>
      </c>
      <c r="F6" s="1" t="s">
        <v>3</v>
      </c>
      <c r="L6" s="1" t="s">
        <v>2</v>
      </c>
      <c r="O6" s="5">
        <v>6000</v>
      </c>
      <c r="P6" s="1" t="s">
        <v>3</v>
      </c>
      <c r="V6" s="1" t="s">
        <v>2</v>
      </c>
      <c r="X6" s="4"/>
      <c r="Y6" s="5">
        <v>4000</v>
      </c>
      <c r="Z6" s="1" t="s">
        <v>3</v>
      </c>
      <c r="AJ6" s="78">
        <v>1</v>
      </c>
      <c r="AK6" s="11">
        <f t="shared" ref="AK6:AP11" si="0">B20</f>
        <v>328.125</v>
      </c>
      <c r="AL6" s="11">
        <f t="shared" si="0"/>
        <v>3.2140046849512931E-11</v>
      </c>
      <c r="AM6" s="11">
        <f t="shared" si="0"/>
        <v>-656250</v>
      </c>
      <c r="AN6" s="11">
        <f t="shared" si="0"/>
        <v>-328.125</v>
      </c>
      <c r="AO6" s="11">
        <f t="shared" si="0"/>
        <v>-3.2140046849512931E-11</v>
      </c>
      <c r="AP6" s="11">
        <f t="shared" si="0"/>
        <v>-656250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/>
      <c r="AX6" s="3">
        <f>I20</f>
        <v>20000</v>
      </c>
      <c r="AZ6" s="78">
        <v>1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/>
    </row>
    <row r="7" spans="2:66" ht="13.5" x14ac:dyDescent="0.2">
      <c r="B7" s="1" t="s">
        <v>21</v>
      </c>
      <c r="E7" s="13">
        <f>100*100</f>
        <v>10000</v>
      </c>
      <c r="F7" s="1" t="s">
        <v>4</v>
      </c>
      <c r="L7" s="1" t="s">
        <v>21</v>
      </c>
      <c r="O7" s="13">
        <f>100*200</f>
        <v>20000</v>
      </c>
      <c r="P7" s="1" t="s">
        <v>4</v>
      </c>
      <c r="V7" s="1" t="s">
        <v>21</v>
      </c>
      <c r="X7" s="26"/>
      <c r="Y7" s="13">
        <f>E7</f>
        <v>10000</v>
      </c>
      <c r="Z7" s="1" t="s">
        <v>4</v>
      </c>
      <c r="AJ7" s="78">
        <v>2</v>
      </c>
      <c r="AK7" s="11">
        <f t="shared" si="0"/>
        <v>3.2140046849512931E-11</v>
      </c>
      <c r="AL7" s="11">
        <f t="shared" si="0"/>
        <v>525000</v>
      </c>
      <c r="AM7" s="11">
        <f t="shared" si="0"/>
        <v>4.0200183676689094E-11</v>
      </c>
      <c r="AN7" s="11">
        <f t="shared" si="0"/>
        <v>-3.2140046849512931E-11</v>
      </c>
      <c r="AO7" s="11">
        <f t="shared" si="0"/>
        <v>-525000</v>
      </c>
      <c r="AP7" s="11">
        <f t="shared" si="0"/>
        <v>4.0200183676689094E-11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/>
      <c r="AX7" s="3">
        <f t="shared" ref="AX7:AX11" si="1">I21</f>
        <v>-1.22514845490862E-12</v>
      </c>
      <c r="AZ7" s="78">
        <v>2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/>
    </row>
    <row r="8" spans="2:66" ht="13.5" x14ac:dyDescent="0.2">
      <c r="B8" s="1" t="s">
        <v>5</v>
      </c>
      <c r="E8" s="13">
        <f>100*100^3/12</f>
        <v>8333333.333333333</v>
      </c>
      <c r="F8" s="1" t="s">
        <v>6</v>
      </c>
      <c r="L8" s="1" t="s">
        <v>5</v>
      </c>
      <c r="O8" s="13">
        <f>100*200^3/12</f>
        <v>66666666.666666664</v>
      </c>
      <c r="P8" s="1" t="s">
        <v>6</v>
      </c>
      <c r="V8" s="1" t="s">
        <v>5</v>
      </c>
      <c r="X8" s="26"/>
      <c r="Y8" s="13">
        <f>E8</f>
        <v>8333333.333333333</v>
      </c>
      <c r="Z8" s="1" t="s">
        <v>6</v>
      </c>
      <c r="AJ8" s="78">
        <v>3</v>
      </c>
      <c r="AK8" s="11">
        <f t="shared" si="0"/>
        <v>-656250</v>
      </c>
      <c r="AL8" s="11">
        <f t="shared" si="0"/>
        <v>4.0200183676689094E-11</v>
      </c>
      <c r="AM8" s="11">
        <f t="shared" si="0"/>
        <v>1750000000</v>
      </c>
      <c r="AN8" s="11">
        <f t="shared" si="0"/>
        <v>656250</v>
      </c>
      <c r="AO8" s="11">
        <f t="shared" si="0"/>
        <v>-4.0200183676689094E-11</v>
      </c>
      <c r="AP8" s="11">
        <f t="shared" si="0"/>
        <v>875000000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/>
      <c r="AX8" s="3">
        <f t="shared" si="1"/>
        <v>-13333333.333333334</v>
      </c>
      <c r="AZ8" s="78">
        <v>3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/>
    </row>
    <row r="9" spans="2:66" ht="13.5" x14ac:dyDescent="0.2">
      <c r="B9" s="1" t="s">
        <v>7</v>
      </c>
      <c r="E9" s="13">
        <f>210*10^3</f>
        <v>210000</v>
      </c>
      <c r="F9" s="1" t="s">
        <v>24</v>
      </c>
      <c r="L9" s="1" t="s">
        <v>7</v>
      </c>
      <c r="O9" s="13">
        <f>210*10^3</f>
        <v>210000</v>
      </c>
      <c r="P9" s="1" t="s">
        <v>12</v>
      </c>
      <c r="V9" s="1" t="s">
        <v>7</v>
      </c>
      <c r="X9" s="26"/>
      <c r="Y9" s="13">
        <f>E9</f>
        <v>210000</v>
      </c>
      <c r="Z9" s="1" t="s">
        <v>8</v>
      </c>
      <c r="AJ9" s="78">
        <v>4</v>
      </c>
      <c r="AK9" s="11">
        <f t="shared" si="0"/>
        <v>-328.125</v>
      </c>
      <c r="AL9" s="11">
        <f t="shared" si="0"/>
        <v>-3.2140046849512931E-11</v>
      </c>
      <c r="AM9" s="11">
        <f t="shared" si="0"/>
        <v>656250</v>
      </c>
      <c r="AN9" s="11">
        <f t="shared" si="0"/>
        <v>328.125</v>
      </c>
      <c r="AO9" s="11">
        <f t="shared" si="0"/>
        <v>3.2140046849512931E-11</v>
      </c>
      <c r="AP9" s="11">
        <f t="shared" si="0"/>
        <v>656250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/>
      <c r="AX9" s="3">
        <f t="shared" si="1"/>
        <v>20000</v>
      </c>
      <c r="AZ9" s="78">
        <v>4</v>
      </c>
      <c r="BA9" s="4">
        <v>0</v>
      </c>
      <c r="BB9" s="4">
        <v>0</v>
      </c>
      <c r="BC9" s="4">
        <v>0</v>
      </c>
      <c r="BD9" s="15">
        <f t="shared" ref="BD9:BF11" si="2">L20</f>
        <v>700000</v>
      </c>
      <c r="BE9" s="15">
        <f t="shared" si="2"/>
        <v>0</v>
      </c>
      <c r="BF9" s="15">
        <f t="shared" si="2"/>
        <v>0</v>
      </c>
      <c r="BG9" s="4">
        <v>0</v>
      </c>
      <c r="BH9" s="4">
        <v>0</v>
      </c>
      <c r="BI9" s="4">
        <v>0</v>
      </c>
      <c r="BJ9" s="15">
        <f t="shared" ref="BJ9:BL11" si="3">O20</f>
        <v>-700000</v>
      </c>
      <c r="BK9" s="15">
        <f t="shared" si="3"/>
        <v>0</v>
      </c>
      <c r="BL9" s="15">
        <f t="shared" si="3"/>
        <v>0</v>
      </c>
      <c r="BM9" s="16"/>
      <c r="BN9" s="3" cm="1">
        <f t="array" ref="BN9:BN11">S20:S22</f>
        <v>0</v>
      </c>
    </row>
    <row r="10" spans="2:66" x14ac:dyDescent="0.2">
      <c r="B10" s="1" t="s">
        <v>23</v>
      </c>
      <c r="E10" s="36">
        <f>E9*E7</f>
        <v>2100000000</v>
      </c>
      <c r="F10" s="1" t="s">
        <v>9</v>
      </c>
      <c r="L10" s="1" t="s">
        <v>23</v>
      </c>
      <c r="O10" s="36">
        <f>O9*O7</f>
        <v>4200000000</v>
      </c>
      <c r="P10" s="1" t="s">
        <v>9</v>
      </c>
      <c r="V10" s="1" t="s">
        <v>23</v>
      </c>
      <c r="X10" s="26"/>
      <c r="Y10" s="36">
        <f>E10</f>
        <v>2100000000</v>
      </c>
      <c r="Z10" s="1" t="s">
        <v>9</v>
      </c>
      <c r="AJ10" s="78">
        <v>5</v>
      </c>
      <c r="AK10" s="11">
        <f t="shared" si="0"/>
        <v>-3.2140046849512931E-11</v>
      </c>
      <c r="AL10" s="11">
        <f t="shared" si="0"/>
        <v>-525000</v>
      </c>
      <c r="AM10" s="11">
        <f t="shared" si="0"/>
        <v>-4.0200183676689094E-11</v>
      </c>
      <c r="AN10" s="11">
        <f t="shared" si="0"/>
        <v>3.2140046849512931E-11</v>
      </c>
      <c r="AO10" s="11">
        <f t="shared" si="0"/>
        <v>525000</v>
      </c>
      <c r="AP10" s="11">
        <f t="shared" si="0"/>
        <v>-4.0200183676689094E-11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/>
      <c r="AX10" s="3">
        <f>I24</f>
        <v>-1.22514845490862E-12</v>
      </c>
      <c r="AZ10" s="78">
        <v>5</v>
      </c>
      <c r="BA10" s="4">
        <v>0</v>
      </c>
      <c r="BB10" s="4">
        <v>0</v>
      </c>
      <c r="BC10" s="4">
        <v>0</v>
      </c>
      <c r="BD10" s="15">
        <f t="shared" si="2"/>
        <v>0</v>
      </c>
      <c r="BE10" s="15">
        <f t="shared" si="2"/>
        <v>777.77777777777783</v>
      </c>
      <c r="BF10" s="15">
        <f t="shared" si="2"/>
        <v>2333333.3333333335</v>
      </c>
      <c r="BG10" s="4">
        <v>0</v>
      </c>
      <c r="BH10" s="4">
        <v>0</v>
      </c>
      <c r="BI10" s="4">
        <v>0</v>
      </c>
      <c r="BJ10" s="15">
        <f t="shared" si="3"/>
        <v>0</v>
      </c>
      <c r="BK10" s="15">
        <f t="shared" si="3"/>
        <v>-777.77777777777783</v>
      </c>
      <c r="BL10" s="15">
        <f t="shared" si="3"/>
        <v>2333333.3333333335</v>
      </c>
      <c r="BM10" s="16"/>
      <c r="BN10" s="1">
        <v>-30000</v>
      </c>
    </row>
    <row r="11" spans="2:66" ht="13.5" x14ac:dyDescent="0.2">
      <c r="B11" s="1" t="s">
        <v>22</v>
      </c>
      <c r="E11" s="36">
        <f>E9*E8</f>
        <v>1750000000000</v>
      </c>
      <c r="F11" s="1" t="s">
        <v>25</v>
      </c>
      <c r="L11" s="1" t="s">
        <v>22</v>
      </c>
      <c r="O11" s="36">
        <f>O9*O8</f>
        <v>14000000000000</v>
      </c>
      <c r="P11" s="1" t="s">
        <v>10</v>
      </c>
      <c r="V11" s="1" t="s">
        <v>22</v>
      </c>
      <c r="X11" s="26"/>
      <c r="Y11" s="36">
        <f>E11</f>
        <v>1750000000000</v>
      </c>
      <c r="Z11" s="1" t="s">
        <v>10</v>
      </c>
      <c r="AJ11" s="78">
        <v>6</v>
      </c>
      <c r="AK11" s="11">
        <f t="shared" si="0"/>
        <v>-656250</v>
      </c>
      <c r="AL11" s="11">
        <f t="shared" si="0"/>
        <v>4.0200183676689094E-11</v>
      </c>
      <c r="AM11" s="11">
        <f t="shared" si="0"/>
        <v>875000000</v>
      </c>
      <c r="AN11" s="11">
        <f t="shared" si="0"/>
        <v>656250</v>
      </c>
      <c r="AO11" s="11">
        <f t="shared" si="0"/>
        <v>-4.0200183676689094E-11</v>
      </c>
      <c r="AP11" s="11">
        <f t="shared" si="0"/>
        <v>1750000000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/>
      <c r="AX11" s="3">
        <f t="shared" si="1"/>
        <v>13333333.333333334</v>
      </c>
      <c r="AZ11" s="78">
        <v>6</v>
      </c>
      <c r="BA11" s="4">
        <v>0</v>
      </c>
      <c r="BB11" s="4">
        <v>0</v>
      </c>
      <c r="BC11" s="4">
        <v>0</v>
      </c>
      <c r="BD11" s="15">
        <f t="shared" si="2"/>
        <v>0</v>
      </c>
      <c r="BE11" s="15">
        <f t="shared" si="2"/>
        <v>2333333.3333333335</v>
      </c>
      <c r="BF11" s="15">
        <f t="shared" si="2"/>
        <v>9333333333.333334</v>
      </c>
      <c r="BG11" s="4">
        <v>0</v>
      </c>
      <c r="BH11" s="4">
        <v>0</v>
      </c>
      <c r="BI11" s="4">
        <v>0</v>
      </c>
      <c r="BJ11" s="15">
        <f t="shared" si="3"/>
        <v>0</v>
      </c>
      <c r="BK11" s="15">
        <f t="shared" si="3"/>
        <v>-2333333.3333333335</v>
      </c>
      <c r="BL11" s="15">
        <f t="shared" si="3"/>
        <v>4666666666.666667</v>
      </c>
      <c r="BM11" s="16"/>
      <c r="BN11" s="1">
        <v>-30000000</v>
      </c>
    </row>
    <row r="12" spans="2:66" x14ac:dyDescent="0.2">
      <c r="X12" s="26"/>
      <c r="AJ12" s="78">
        <v>7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/>
      <c r="AZ12" s="78">
        <v>7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16"/>
    </row>
    <row r="13" spans="2:66" x14ac:dyDescent="0.2">
      <c r="B13" s="2" t="s">
        <v>14</v>
      </c>
      <c r="L13" s="2" t="s">
        <v>14</v>
      </c>
      <c r="V13" s="2" t="s">
        <v>14</v>
      </c>
      <c r="X13" s="26"/>
      <c r="AJ13" s="78">
        <v>8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/>
      <c r="AZ13" s="78">
        <v>8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/>
    </row>
    <row r="14" spans="2:66" x14ac:dyDescent="0.2">
      <c r="B14" s="1" t="s">
        <v>11</v>
      </c>
      <c r="E14" s="14">
        <v>0</v>
      </c>
      <c r="F14" s="1" t="s">
        <v>56</v>
      </c>
      <c r="L14" s="1" t="s">
        <v>11</v>
      </c>
      <c r="O14" s="14">
        <v>0</v>
      </c>
      <c r="P14" s="1" t="s">
        <v>56</v>
      </c>
      <c r="V14" s="1" t="s">
        <v>11</v>
      </c>
      <c r="Y14" s="14">
        <v>0</v>
      </c>
      <c r="Z14" s="1" t="s">
        <v>56</v>
      </c>
      <c r="AJ14" s="78">
        <v>9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/>
      <c r="AZ14" s="78">
        <v>9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/>
    </row>
    <row r="15" spans="2:66" x14ac:dyDescent="0.2">
      <c r="B15" s="1" t="s">
        <v>18</v>
      </c>
      <c r="E15" s="14">
        <v>10</v>
      </c>
      <c r="F15" s="1" t="s">
        <v>56</v>
      </c>
      <c r="L15" s="1" t="s">
        <v>18</v>
      </c>
      <c r="O15" s="14">
        <v>10</v>
      </c>
      <c r="P15" s="1" t="s">
        <v>56</v>
      </c>
      <c r="V15" s="1" t="s">
        <v>18</v>
      </c>
      <c r="Y15" s="14">
        <v>-5</v>
      </c>
      <c r="Z15" s="1" t="s">
        <v>56</v>
      </c>
      <c r="AJ15" s="78">
        <v>10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/>
      <c r="AX15" s="12"/>
      <c r="AZ15" s="78">
        <v>10</v>
      </c>
      <c r="BA15" s="4">
        <v>0</v>
      </c>
      <c r="BB15" s="4">
        <v>0</v>
      </c>
      <c r="BC15" s="4">
        <v>0</v>
      </c>
      <c r="BD15" s="15">
        <f t="shared" ref="BD15:BF17" si="4">L23</f>
        <v>-700000</v>
      </c>
      <c r="BE15" s="15">
        <f t="shared" si="4"/>
        <v>0</v>
      </c>
      <c r="BF15" s="15">
        <f t="shared" si="4"/>
        <v>0</v>
      </c>
      <c r="BG15" s="4">
        <v>0</v>
      </c>
      <c r="BH15" s="4">
        <v>0</v>
      </c>
      <c r="BI15" s="4">
        <v>0</v>
      </c>
      <c r="BJ15" s="15">
        <f t="shared" ref="BJ15:BL17" si="5">O23</f>
        <v>700000</v>
      </c>
      <c r="BK15" s="15">
        <f t="shared" si="5"/>
        <v>0</v>
      </c>
      <c r="BL15" s="15">
        <f t="shared" si="5"/>
        <v>0</v>
      </c>
      <c r="BM15" s="16"/>
      <c r="BN15" s="16" cm="1">
        <f t="array" ref="BN15:BN17">S23:S25</f>
        <v>0</v>
      </c>
    </row>
    <row r="16" spans="2:66" x14ac:dyDescent="0.2">
      <c r="E16" s="3"/>
      <c r="O16" s="3"/>
      <c r="S16" s="2"/>
      <c r="Y16" s="3"/>
      <c r="AJ16" s="78">
        <v>11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/>
      <c r="AX16" s="12"/>
      <c r="AZ16" s="78">
        <v>11</v>
      </c>
      <c r="BA16" s="4">
        <v>0</v>
      </c>
      <c r="BB16" s="4">
        <v>0</v>
      </c>
      <c r="BC16" s="4">
        <v>0</v>
      </c>
      <c r="BD16" s="15">
        <f t="shared" si="4"/>
        <v>0</v>
      </c>
      <c r="BE16" s="15">
        <f t="shared" si="4"/>
        <v>-777.77777777777783</v>
      </c>
      <c r="BF16" s="15">
        <f t="shared" si="4"/>
        <v>-2333333.3333333335</v>
      </c>
      <c r="BG16" s="4">
        <v>0</v>
      </c>
      <c r="BH16" s="4">
        <v>0</v>
      </c>
      <c r="BI16" s="4">
        <v>0</v>
      </c>
      <c r="BJ16" s="15">
        <f t="shared" si="5"/>
        <v>0</v>
      </c>
      <c r="BK16" s="15">
        <f t="shared" si="5"/>
        <v>777.77777777777783</v>
      </c>
      <c r="BL16" s="15">
        <f t="shared" si="5"/>
        <v>-2333333.3333333335</v>
      </c>
      <c r="BM16" s="16"/>
      <c r="BN16" s="12">
        <v>-30000</v>
      </c>
    </row>
    <row r="17" spans="2:66" x14ac:dyDescent="0.2">
      <c r="AJ17" s="78">
        <v>12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/>
      <c r="AX17" s="12"/>
      <c r="AZ17" s="78">
        <v>12</v>
      </c>
      <c r="BA17" s="4">
        <v>0</v>
      </c>
      <c r="BB17" s="4">
        <v>0</v>
      </c>
      <c r="BC17" s="4">
        <v>0</v>
      </c>
      <c r="BD17" s="15">
        <f t="shared" si="4"/>
        <v>0</v>
      </c>
      <c r="BE17" s="15">
        <f t="shared" si="4"/>
        <v>2333333.3333333335</v>
      </c>
      <c r="BF17" s="15">
        <f t="shared" si="4"/>
        <v>4666666666.666667</v>
      </c>
      <c r="BG17" s="4">
        <v>0</v>
      </c>
      <c r="BH17" s="4">
        <v>0</v>
      </c>
      <c r="BI17" s="4">
        <v>0</v>
      </c>
      <c r="BJ17" s="15">
        <f t="shared" si="5"/>
        <v>0</v>
      </c>
      <c r="BK17" s="15">
        <f t="shared" si="5"/>
        <v>-2333333.3333333335</v>
      </c>
      <c r="BL17" s="15">
        <f t="shared" si="5"/>
        <v>9333333333.333334</v>
      </c>
      <c r="BM17" s="16"/>
      <c r="BN17" s="12">
        <v>30000000</v>
      </c>
    </row>
    <row r="18" spans="2:66" x14ac:dyDescent="0.2"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Z18" s="4"/>
      <c r="BA18" s="4"/>
      <c r="BB18" s="4"/>
      <c r="BC18" s="4"/>
      <c r="BD18" s="16"/>
      <c r="BE18" s="16"/>
      <c r="BF18" s="4"/>
      <c r="BG18" s="16"/>
      <c r="BH18" s="4"/>
      <c r="BI18" s="4"/>
      <c r="BJ18" s="4"/>
      <c r="BK18" s="16"/>
      <c r="BL18" s="16"/>
      <c r="BM18" s="4"/>
      <c r="BN18" s="16"/>
    </row>
    <row r="19" spans="2:66" x14ac:dyDescent="0.2">
      <c r="B19" s="2" t="s">
        <v>26</v>
      </c>
      <c r="I19" s="2" t="s">
        <v>32</v>
      </c>
      <c r="L19" s="2" t="s">
        <v>26</v>
      </c>
      <c r="S19" s="2" t="s">
        <v>32</v>
      </c>
      <c r="V19" s="2" t="s">
        <v>26</v>
      </c>
      <c r="AC19" s="2" t="s">
        <v>32</v>
      </c>
      <c r="AM19" s="4"/>
      <c r="AN19" s="7"/>
      <c r="AO19" s="4"/>
      <c r="AP19" s="4"/>
      <c r="AQ19" s="4"/>
      <c r="AR19" s="4"/>
      <c r="AS19" s="4"/>
      <c r="AT19" s="4"/>
      <c r="AU19" s="7"/>
      <c r="AV19" s="4"/>
      <c r="AW19" s="4"/>
      <c r="AX19" s="4"/>
      <c r="AZ19" s="4"/>
      <c r="BA19" s="4"/>
      <c r="BB19" s="4"/>
      <c r="BC19" s="4"/>
      <c r="BD19" s="16"/>
      <c r="BE19" s="16"/>
      <c r="BF19" s="4"/>
      <c r="BG19" s="16"/>
      <c r="BH19" s="4"/>
      <c r="BI19" s="4"/>
      <c r="BJ19" s="4"/>
      <c r="BK19" s="16"/>
      <c r="BL19" s="16"/>
      <c r="BM19" s="4"/>
      <c r="BN19" s="16"/>
    </row>
    <row r="20" spans="2:66" x14ac:dyDescent="0.2">
      <c r="B20" s="37">
        <f t="shared" ref="B20:G21" si="6">$B36*B$45+$C36*B$46+$D36*B$47+$E36*B$48+$F36*B$49+$G36*B$50</f>
        <v>328.125</v>
      </c>
      <c r="C20" s="37">
        <f t="shared" si="6"/>
        <v>3.2140046849512931E-11</v>
      </c>
      <c r="D20" s="37">
        <f t="shared" si="6"/>
        <v>-656250</v>
      </c>
      <c r="E20" s="37">
        <f t="shared" si="6"/>
        <v>-328.125</v>
      </c>
      <c r="F20" s="37">
        <f t="shared" si="6"/>
        <v>-3.2140046849512931E-11</v>
      </c>
      <c r="G20" s="37">
        <f t="shared" si="6"/>
        <v>-656250</v>
      </c>
      <c r="I20" s="151">
        <f>B54*I28+C54*I29+D54*I30+E54*I31+F54*I32+G54*I33</f>
        <v>20000</v>
      </c>
      <c r="L20" s="19">
        <f t="shared" ref="L20:Q25" si="7">$L37*L$46+$M37*L$47+$N37*L$48+$O37*L$49+$P37*L$50+$Q37*L$51</f>
        <v>700000</v>
      </c>
      <c r="M20" s="19">
        <f t="shared" si="7"/>
        <v>0</v>
      </c>
      <c r="N20" s="19">
        <f t="shared" si="7"/>
        <v>0</v>
      </c>
      <c r="O20" s="19">
        <f t="shared" si="7"/>
        <v>-700000</v>
      </c>
      <c r="P20" s="19">
        <f t="shared" si="7"/>
        <v>0</v>
      </c>
      <c r="Q20" s="19">
        <f t="shared" si="7"/>
        <v>0</v>
      </c>
      <c r="S20" s="40">
        <f>L55*S28+M55*S29+N55*S30+O55*S31+P55*S32+Q55*S33</f>
        <v>0</v>
      </c>
      <c r="V20" s="20">
        <f t="shared" ref="V20:AA21" si="8">$V37*B$45+$W37*B$46+$X37*B$47+$Y37*B$48+$Z37*B$49+$AA37*B$50</f>
        <v>328.125</v>
      </c>
      <c r="W20" s="20">
        <f t="shared" si="8"/>
        <v>3.2140046849512931E-11</v>
      </c>
      <c r="X20" s="20">
        <f t="shared" si="8"/>
        <v>-656250</v>
      </c>
      <c r="Y20" s="20">
        <f t="shared" si="8"/>
        <v>-328.125</v>
      </c>
      <c r="Z20" s="20">
        <f t="shared" si="8"/>
        <v>-3.2140046849512931E-11</v>
      </c>
      <c r="AA20" s="20">
        <f t="shared" si="8"/>
        <v>-656250</v>
      </c>
      <c r="AC20" s="40">
        <f>V55*AC28+W55*AC29+X55*AC30+Y55*AC31+Z55*AC32+AA55*AC33</f>
        <v>-10000</v>
      </c>
      <c r="AJ20" s="2" t="s">
        <v>38</v>
      </c>
    </row>
    <row r="21" spans="2:66" x14ac:dyDescent="0.2">
      <c r="B21" s="37">
        <f t="shared" si="6"/>
        <v>3.2140046849512931E-11</v>
      </c>
      <c r="C21" s="37">
        <f t="shared" si="6"/>
        <v>525000</v>
      </c>
      <c r="D21" s="37">
        <f t="shared" si="6"/>
        <v>4.0200183676689094E-11</v>
      </c>
      <c r="E21" s="37">
        <f t="shared" si="6"/>
        <v>-3.2140046849512931E-11</v>
      </c>
      <c r="F21" s="37">
        <f t="shared" si="6"/>
        <v>-525000</v>
      </c>
      <c r="G21" s="37">
        <f t="shared" si="6"/>
        <v>4.0200183676689094E-11</v>
      </c>
      <c r="I21" s="151">
        <f>B55*I28+C55*I29+D55*I30+E55*I31+F55*I32+G55*I33</f>
        <v>-1.22514845490862E-12</v>
      </c>
      <c r="L21" s="19">
        <f t="shared" si="7"/>
        <v>0</v>
      </c>
      <c r="M21" s="19">
        <f t="shared" si="7"/>
        <v>777.77777777777783</v>
      </c>
      <c r="N21" s="19">
        <f t="shared" si="7"/>
        <v>2333333.3333333335</v>
      </c>
      <c r="O21" s="19">
        <f t="shared" si="7"/>
        <v>0</v>
      </c>
      <c r="P21" s="19">
        <f t="shared" si="7"/>
        <v>-777.77777777777783</v>
      </c>
      <c r="Q21" s="19">
        <f t="shared" si="7"/>
        <v>2333333.3333333335</v>
      </c>
      <c r="S21" s="40">
        <f>L56*S28+M56*S29+N56*S30+O56*S31+P56*S32+Q56*S33</f>
        <v>-30000</v>
      </c>
      <c r="V21" s="20">
        <f t="shared" si="8"/>
        <v>3.2140046849512931E-11</v>
      </c>
      <c r="W21" s="20">
        <f t="shared" si="8"/>
        <v>525000</v>
      </c>
      <c r="X21" s="20">
        <f t="shared" si="8"/>
        <v>4.0200183676689094E-11</v>
      </c>
      <c r="Y21" s="20">
        <f t="shared" si="8"/>
        <v>-3.2140046849512931E-11</v>
      </c>
      <c r="Z21" s="20">
        <f t="shared" si="8"/>
        <v>-525000</v>
      </c>
      <c r="AA21" s="20">
        <f t="shared" si="8"/>
        <v>4.0200183676689094E-11</v>
      </c>
      <c r="AC21" s="40">
        <f>V56*AC28+W56*AC29+X56*AC30+Y56*AC31+Z56*AC32+AA56*AC33</f>
        <v>6.1257422745431001E-13</v>
      </c>
      <c r="AJ21" s="9"/>
      <c r="AK21" s="78">
        <v>1</v>
      </c>
      <c r="AL21" s="78">
        <v>2</v>
      </c>
      <c r="AM21" s="78">
        <v>3</v>
      </c>
      <c r="AN21" s="78">
        <v>4</v>
      </c>
      <c r="AO21" s="78">
        <v>5</v>
      </c>
      <c r="AP21" s="78">
        <v>6</v>
      </c>
      <c r="AQ21" s="78">
        <v>7</v>
      </c>
      <c r="AR21" s="78">
        <v>8</v>
      </c>
      <c r="AS21" s="78">
        <v>9</v>
      </c>
      <c r="AT21" s="78">
        <v>10</v>
      </c>
      <c r="AU21" s="78">
        <v>11</v>
      </c>
      <c r="AV21" s="78">
        <v>12</v>
      </c>
      <c r="AW21" s="4"/>
      <c r="AX21" s="9" t="s">
        <v>50</v>
      </c>
    </row>
    <row r="22" spans="2:66" x14ac:dyDescent="0.2">
      <c r="B22" s="37">
        <f t="shared" ref="B22:F25" si="9">$B38*B$45+$C38*B$46+$D38*B$47+$E38*B$48+$F38*B$49+$G38*B$50</f>
        <v>-656250</v>
      </c>
      <c r="C22" s="37">
        <f t="shared" si="9"/>
        <v>4.0200183676689094E-11</v>
      </c>
      <c r="D22" s="37">
        <f t="shared" si="9"/>
        <v>1750000000</v>
      </c>
      <c r="E22" s="37">
        <f t="shared" si="9"/>
        <v>656250</v>
      </c>
      <c r="F22" s="37">
        <f t="shared" si="9"/>
        <v>-4.0200183676689094E-11</v>
      </c>
      <c r="G22" s="37">
        <f>-1*$B38*G$45+$C38*G$46+$D38*G$47+$E38*G$48+$F38*G$49+$G38*G$50</f>
        <v>875000000</v>
      </c>
      <c r="I22" s="151">
        <f>B56*I28+C56*I29+D56*I30+E56*I31+F56*I32+G56*I33</f>
        <v>-13333333.333333334</v>
      </c>
      <c r="L22" s="19">
        <f t="shared" si="7"/>
        <v>0</v>
      </c>
      <c r="M22" s="19">
        <f t="shared" si="7"/>
        <v>2333333.3333333335</v>
      </c>
      <c r="N22" s="19">
        <f t="shared" si="7"/>
        <v>9333333333.333334</v>
      </c>
      <c r="O22" s="19">
        <f t="shared" si="7"/>
        <v>0</v>
      </c>
      <c r="P22" s="19">
        <f t="shared" si="7"/>
        <v>-2333333.3333333335</v>
      </c>
      <c r="Q22" s="19">
        <f t="shared" si="7"/>
        <v>4666666666.666667</v>
      </c>
      <c r="S22" s="40">
        <f>L57*S28+M57*S29+N57*S30+O57*S31+P57*S32+Q57*S33</f>
        <v>-30000000</v>
      </c>
      <c r="V22" s="20">
        <f t="shared" ref="V22:Z25" si="10">$V39*B$45+$W39*B$46+$X39*B$47+$Y39*B$48+$Z39*B$49+$AA39*B$50</f>
        <v>-656250</v>
      </c>
      <c r="W22" s="20">
        <f t="shared" si="10"/>
        <v>4.0200183676689094E-11</v>
      </c>
      <c r="X22" s="20">
        <f t="shared" si="10"/>
        <v>1750000000</v>
      </c>
      <c r="Y22" s="20">
        <f t="shared" si="10"/>
        <v>656250</v>
      </c>
      <c r="Z22" s="20">
        <f t="shared" si="10"/>
        <v>-4.0200183676689094E-11</v>
      </c>
      <c r="AA22" s="20">
        <f>-1*$V39*G$45+$W39*G$46+$X39*G$47+$Y39*G$48+$Z39*G$49+$AA39*G$50</f>
        <v>875000000</v>
      </c>
      <c r="AC22" s="40">
        <f>V57*AC28+W57*AC29+X57*AC30+Y57*AC31+Z57*AC32+AA57*AC33</f>
        <v>6666666.666666667</v>
      </c>
      <c r="AJ22" s="78">
        <v>1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/>
    </row>
    <row r="23" spans="2:66" x14ac:dyDescent="0.2">
      <c r="B23" s="37">
        <f t="shared" si="9"/>
        <v>-328.125</v>
      </c>
      <c r="C23" s="37">
        <f t="shared" si="9"/>
        <v>-3.2140046849512931E-11</v>
      </c>
      <c r="D23" s="37">
        <f t="shared" si="9"/>
        <v>656250</v>
      </c>
      <c r="E23" s="37">
        <f t="shared" si="9"/>
        <v>328.125</v>
      </c>
      <c r="F23" s="37">
        <f t="shared" si="9"/>
        <v>3.2140046849512931E-11</v>
      </c>
      <c r="G23" s="37">
        <f>$B39*G$45+$C39*G$46+$D39*G$47+$E39*G$48+$F39*G$49+$G39*G$50</f>
        <v>656250</v>
      </c>
      <c r="I23" s="151">
        <f>B57*I28+C57*I29+D57*I30+E57*I31+F57*I32+G57*I33</f>
        <v>20000</v>
      </c>
      <c r="L23" s="19">
        <f t="shared" si="7"/>
        <v>-700000</v>
      </c>
      <c r="M23" s="19">
        <f t="shared" si="7"/>
        <v>0</v>
      </c>
      <c r="N23" s="19">
        <f t="shared" si="7"/>
        <v>0</v>
      </c>
      <c r="O23" s="19">
        <f t="shared" si="7"/>
        <v>700000</v>
      </c>
      <c r="P23" s="19">
        <f t="shared" si="7"/>
        <v>0</v>
      </c>
      <c r="Q23" s="19">
        <f t="shared" si="7"/>
        <v>0</v>
      </c>
      <c r="S23" s="40">
        <f>L58*S28+M58*S29+N58*S30+O58*S31+P58*S32+Q58*S33</f>
        <v>0</v>
      </c>
      <c r="V23" s="20">
        <f t="shared" si="10"/>
        <v>-328.125</v>
      </c>
      <c r="W23" s="20">
        <f t="shared" si="10"/>
        <v>-3.2140046849512931E-11</v>
      </c>
      <c r="X23" s="20">
        <f t="shared" si="10"/>
        <v>656250</v>
      </c>
      <c r="Y23" s="20">
        <f t="shared" si="10"/>
        <v>328.125</v>
      </c>
      <c r="Z23" s="20">
        <f t="shared" si="10"/>
        <v>3.2140046849512931E-11</v>
      </c>
      <c r="AA23" s="20">
        <f>$V40*G$45+$W40*G$46+$X40*G$47+$Y40*G$48+$Z40*G$49+$AA40*G$50</f>
        <v>656250</v>
      </c>
      <c r="AC23" s="40">
        <f>V58*AC28+W58*AC29+X58*AC30+Y58*AC31+Z58*AC32+AA58*AC33</f>
        <v>-10000</v>
      </c>
      <c r="AJ23" s="78">
        <v>2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/>
    </row>
    <row r="24" spans="2:66" x14ac:dyDescent="0.2">
      <c r="B24" s="37">
        <f t="shared" si="9"/>
        <v>-3.2140046849512931E-11</v>
      </c>
      <c r="C24" s="37">
        <f t="shared" si="9"/>
        <v>-525000</v>
      </c>
      <c r="D24" s="37">
        <f t="shared" si="9"/>
        <v>-4.0200183676689094E-11</v>
      </c>
      <c r="E24" s="37">
        <f t="shared" si="9"/>
        <v>3.2140046849512931E-11</v>
      </c>
      <c r="F24" s="37">
        <f t="shared" si="9"/>
        <v>525000</v>
      </c>
      <c r="G24" s="37">
        <f>$B40*G$45+$C40*G$46+$D40*G$47+$E40*G$48+$F40*G$49+$G40*G$50</f>
        <v>-4.0200183676689094E-11</v>
      </c>
      <c r="I24" s="151">
        <f>B58*I28+C58*I29+D58*I30+E58*I31+F58*I32+G58*I33</f>
        <v>-1.22514845490862E-12</v>
      </c>
      <c r="L24" s="19">
        <f t="shared" si="7"/>
        <v>0</v>
      </c>
      <c r="M24" s="19">
        <f t="shared" si="7"/>
        <v>-777.77777777777783</v>
      </c>
      <c r="N24" s="19">
        <f t="shared" si="7"/>
        <v>-2333333.3333333335</v>
      </c>
      <c r="O24" s="19">
        <f t="shared" si="7"/>
        <v>0</v>
      </c>
      <c r="P24" s="19">
        <f t="shared" si="7"/>
        <v>777.77777777777783</v>
      </c>
      <c r="Q24" s="19">
        <f t="shared" si="7"/>
        <v>-2333333.3333333335</v>
      </c>
      <c r="S24" s="40">
        <f>L59*S28+M59*S29+N59*S30+O59*S31+P59*S32+Q59*S33</f>
        <v>-30000</v>
      </c>
      <c r="V24" s="20">
        <f t="shared" si="10"/>
        <v>-3.2140046849512931E-11</v>
      </c>
      <c r="W24" s="20">
        <f t="shared" si="10"/>
        <v>-525000</v>
      </c>
      <c r="X24" s="20">
        <f t="shared" si="10"/>
        <v>-4.0200183676689094E-11</v>
      </c>
      <c r="Y24" s="20">
        <f t="shared" si="10"/>
        <v>3.2140046849512931E-11</v>
      </c>
      <c r="Z24" s="20">
        <f t="shared" si="10"/>
        <v>525000</v>
      </c>
      <c r="AA24" s="20">
        <f>$V41*G$45+$W41*G$46+$X41*G$47+$Y41*G$48+$Z41*G$49+$AA41*G$50</f>
        <v>-4.0200183676689094E-11</v>
      </c>
      <c r="AC24" s="40">
        <f>V59*AC28+W59*AC29+X59*AC30+Y59*AC31+Z59*AC32+AA59*AC33</f>
        <v>6.1257422745431001E-13</v>
      </c>
      <c r="AJ24" s="78">
        <v>3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/>
    </row>
    <row r="25" spans="2:66" x14ac:dyDescent="0.2">
      <c r="B25" s="37">
        <f t="shared" si="9"/>
        <v>-656250</v>
      </c>
      <c r="C25" s="37">
        <f t="shared" si="9"/>
        <v>4.0200183676689094E-11</v>
      </c>
      <c r="D25" s="37">
        <f t="shared" si="9"/>
        <v>875000000</v>
      </c>
      <c r="E25" s="37">
        <f t="shared" si="9"/>
        <v>656250</v>
      </c>
      <c r="F25" s="37">
        <f t="shared" si="9"/>
        <v>-4.0200183676689094E-11</v>
      </c>
      <c r="G25" s="37">
        <f>$B41*G$45+$C41*G$46+$D41*G$47+$E41*G$48+$F41*G$49+$G41*G$50</f>
        <v>1750000000</v>
      </c>
      <c r="I25" s="151">
        <f>B59*I28+C59*I29+D59*I30+E59*I31+F59*I32+G59*I33</f>
        <v>13333333.333333334</v>
      </c>
      <c r="K25" s="2"/>
      <c r="L25" s="19">
        <f t="shared" si="7"/>
        <v>0</v>
      </c>
      <c r="M25" s="19">
        <f t="shared" si="7"/>
        <v>2333333.3333333335</v>
      </c>
      <c r="N25" s="19">
        <f t="shared" si="7"/>
        <v>4666666666.666667</v>
      </c>
      <c r="O25" s="19">
        <f t="shared" si="7"/>
        <v>0</v>
      </c>
      <c r="P25" s="19">
        <f t="shared" si="7"/>
        <v>-2333333.3333333335</v>
      </c>
      <c r="Q25" s="19">
        <f t="shared" si="7"/>
        <v>9333333333.333334</v>
      </c>
      <c r="S25" s="40">
        <f>L60*S28+M60*S29+N60*S30+O60*S31+P60*S32+Q60*S33</f>
        <v>30000000</v>
      </c>
      <c r="U25" s="2"/>
      <c r="V25" s="20">
        <f t="shared" si="10"/>
        <v>-656250</v>
      </c>
      <c r="W25" s="20">
        <f t="shared" si="10"/>
        <v>4.0200183676689094E-11</v>
      </c>
      <c r="X25" s="20">
        <f t="shared" si="10"/>
        <v>875000000</v>
      </c>
      <c r="Y25" s="20">
        <f t="shared" si="10"/>
        <v>656250</v>
      </c>
      <c r="Z25" s="20">
        <f t="shared" si="10"/>
        <v>-4.0200183676689094E-11</v>
      </c>
      <c r="AA25" s="20">
        <f>$V42*G$45+$W42*G$46+$X42*G$47+$Y42*G$48+$Z42*G$49+$AA42*G$50</f>
        <v>1750000000</v>
      </c>
      <c r="AC25" s="40">
        <f>V60*AC28+W60*AC29+X60*AC30+Y60*AC31+Z60*AC32+AA60*AC33</f>
        <v>-6666666.666666667</v>
      </c>
      <c r="AE25" s="2"/>
      <c r="AJ25" s="78">
        <v>4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/>
    </row>
    <row r="26" spans="2:66" x14ac:dyDescent="0.2">
      <c r="I26" s="3"/>
      <c r="S26" s="2"/>
      <c r="U26" s="2"/>
      <c r="AC26" s="2"/>
      <c r="AE26" s="2"/>
      <c r="AJ26" s="78">
        <v>5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/>
      <c r="AY26" s="2"/>
    </row>
    <row r="27" spans="2:66" x14ac:dyDescent="0.2">
      <c r="B27" s="2" t="s">
        <v>27</v>
      </c>
      <c r="I27" s="143" t="s">
        <v>31</v>
      </c>
      <c r="L27" s="2" t="s">
        <v>27</v>
      </c>
      <c r="S27" s="2" t="s">
        <v>31</v>
      </c>
      <c r="V27" s="2" t="s">
        <v>27</v>
      </c>
      <c r="AC27" s="2" t="s">
        <v>31</v>
      </c>
      <c r="AJ27" s="78">
        <v>6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/>
      <c r="AY27" s="2"/>
    </row>
    <row r="28" spans="2:66" x14ac:dyDescent="0.2">
      <c r="B28" s="38">
        <f>$E$10/E6</f>
        <v>525000</v>
      </c>
      <c r="C28" s="39">
        <v>0</v>
      </c>
      <c r="D28" s="39">
        <v>0</v>
      </c>
      <c r="E28" s="38">
        <f>-$E$10/E6</f>
        <v>-525000</v>
      </c>
      <c r="F28" s="39">
        <v>0</v>
      </c>
      <c r="G28" s="39">
        <v>0</v>
      </c>
      <c r="I28" s="38">
        <f>-E6/2*E14</f>
        <v>0</v>
      </c>
      <c r="L28" s="38">
        <f>$O$10/O6</f>
        <v>700000</v>
      </c>
      <c r="M28" s="39">
        <v>0</v>
      </c>
      <c r="N28" s="39">
        <v>0</v>
      </c>
      <c r="O28" s="38">
        <f>-$O$10/O6</f>
        <v>-700000</v>
      </c>
      <c r="P28" s="39">
        <v>0</v>
      </c>
      <c r="Q28" s="39">
        <v>0</v>
      </c>
      <c r="S28" s="41">
        <v>0</v>
      </c>
      <c r="V28" s="38">
        <f>$E$10/Y6</f>
        <v>525000</v>
      </c>
      <c r="W28" s="39">
        <v>0</v>
      </c>
      <c r="X28" s="39">
        <v>0</v>
      </c>
      <c r="Y28" s="38">
        <f>-$E$10/Y6</f>
        <v>-525000</v>
      </c>
      <c r="Z28" s="39">
        <v>0</v>
      </c>
      <c r="AA28" s="39">
        <v>0</v>
      </c>
      <c r="AC28" s="38">
        <f>-Y6/2*Y14</f>
        <v>0</v>
      </c>
      <c r="AJ28" s="78">
        <v>7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17">
        <f t="shared" ref="AQ28:AV33" si="11">V20</f>
        <v>328.125</v>
      </c>
      <c r="AR28" s="17">
        <f t="shared" si="11"/>
        <v>3.2140046849512931E-11</v>
      </c>
      <c r="AS28" s="17">
        <f t="shared" si="11"/>
        <v>-656250</v>
      </c>
      <c r="AT28" s="17">
        <f t="shared" si="11"/>
        <v>-328.125</v>
      </c>
      <c r="AU28" s="17">
        <f t="shared" si="11"/>
        <v>-3.2140046849512931E-11</v>
      </c>
      <c r="AV28" s="17">
        <f t="shared" si="11"/>
        <v>-656250</v>
      </c>
      <c r="AW28" s="4"/>
      <c r="AX28" s="3">
        <f>AC20</f>
        <v>-10000</v>
      </c>
      <c r="AY28" s="8"/>
    </row>
    <row r="29" spans="2:66" x14ac:dyDescent="0.2">
      <c r="B29" s="39">
        <v>0</v>
      </c>
      <c r="C29" s="38">
        <f>(12*$E$11)/$E$6^3</f>
        <v>328.125</v>
      </c>
      <c r="D29" s="38">
        <f>(6*$E$11)/$E$6^2</f>
        <v>656250</v>
      </c>
      <c r="E29" s="39">
        <v>0</v>
      </c>
      <c r="F29" s="38">
        <f>-(12*$E$11)/$E$6^3</f>
        <v>-328.125</v>
      </c>
      <c r="G29" s="38">
        <f>(6*$E$11)/$E$6^2</f>
        <v>656250</v>
      </c>
      <c r="I29" s="38">
        <f>-E6/2*E15</f>
        <v>-20000</v>
      </c>
      <c r="L29" s="39">
        <v>0</v>
      </c>
      <c r="M29" s="38">
        <f>(12*$O$11)/$O$6^3</f>
        <v>777.77777777777783</v>
      </c>
      <c r="N29" s="38">
        <f>(6*$O$11)/$O$6^2</f>
        <v>2333333.3333333335</v>
      </c>
      <c r="O29" s="39">
        <v>0</v>
      </c>
      <c r="P29" s="38">
        <f>-(12*$O$11)/$O$6^3</f>
        <v>-777.77777777777783</v>
      </c>
      <c r="Q29" s="38">
        <f>(6*$O$11)/$O$6^2</f>
        <v>2333333.3333333335</v>
      </c>
      <c r="S29" s="38">
        <f>-O6/2*(O14+O15)</f>
        <v>-30000</v>
      </c>
      <c r="V29" s="39">
        <v>0</v>
      </c>
      <c r="W29" s="38">
        <f>(12*$E$11)/$E$6^3</f>
        <v>328.125</v>
      </c>
      <c r="X29" s="38">
        <f>(6*$E$11)/$E$6^2</f>
        <v>656250</v>
      </c>
      <c r="Y29" s="39">
        <v>0</v>
      </c>
      <c r="Z29" s="38">
        <f>-(12*$E$11)/$E$6^3</f>
        <v>-328.125</v>
      </c>
      <c r="AA29" s="38">
        <f>(6*$E$11)/$E$6^2</f>
        <v>656250</v>
      </c>
      <c r="AC29" s="38">
        <f>-Y6/2*Y15</f>
        <v>10000</v>
      </c>
      <c r="AJ29" s="78">
        <v>8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17">
        <f t="shared" si="11"/>
        <v>3.2140046849512931E-11</v>
      </c>
      <c r="AR29" s="17">
        <f t="shared" si="11"/>
        <v>525000</v>
      </c>
      <c r="AS29" s="17">
        <f t="shared" si="11"/>
        <v>4.0200183676689094E-11</v>
      </c>
      <c r="AT29" s="17">
        <f t="shared" si="11"/>
        <v>-3.2140046849512931E-11</v>
      </c>
      <c r="AU29" s="17">
        <f t="shared" si="11"/>
        <v>-525000</v>
      </c>
      <c r="AV29" s="17">
        <f t="shared" si="11"/>
        <v>4.0200183676689094E-11</v>
      </c>
      <c r="AW29" s="4"/>
      <c r="AX29" s="3">
        <f t="shared" ref="AX29:AX33" si="12">AC21</f>
        <v>6.1257422745431001E-13</v>
      </c>
      <c r="AY29" s="10"/>
    </row>
    <row r="30" spans="2:66" x14ac:dyDescent="0.2">
      <c r="B30" s="39">
        <v>0</v>
      </c>
      <c r="C30" s="38">
        <f>(6*$E$11)/$E$6^2</f>
        <v>656250</v>
      </c>
      <c r="D30" s="38">
        <f>4*$E$11/$E$6</f>
        <v>1750000000</v>
      </c>
      <c r="E30" s="39">
        <v>0</v>
      </c>
      <c r="F30" s="38">
        <f>-(6*$E$11)/$E$6^2</f>
        <v>-656250</v>
      </c>
      <c r="G30" s="38">
        <f>2*$E$11/$E$6</f>
        <v>875000000</v>
      </c>
      <c r="I30" s="38">
        <f>-1*(E15*E6^2)/12</f>
        <v>-13333333.333333334</v>
      </c>
      <c r="L30" s="39">
        <v>0</v>
      </c>
      <c r="M30" s="38">
        <f>(6*$O$11)/$O$6^2</f>
        <v>2333333.3333333335</v>
      </c>
      <c r="N30" s="38">
        <f>4*$O$11/$O$6</f>
        <v>9333333333.333334</v>
      </c>
      <c r="O30" s="39">
        <v>0</v>
      </c>
      <c r="P30" s="38">
        <f>-(6*$O$11)/$O$6^2</f>
        <v>-2333333.3333333335</v>
      </c>
      <c r="Q30" s="38">
        <f>2*$O$11/$O$6</f>
        <v>4666666666.666667</v>
      </c>
      <c r="S30" s="38">
        <f>-1*((O14+O15)*O6^2)/12</f>
        <v>-30000000</v>
      </c>
      <c r="V30" s="39">
        <v>0</v>
      </c>
      <c r="W30" s="38">
        <f>(6*$E$11)/$E$6^2</f>
        <v>656250</v>
      </c>
      <c r="X30" s="38">
        <f>4*$E$11/$E$6</f>
        <v>1750000000</v>
      </c>
      <c r="Y30" s="39">
        <v>0</v>
      </c>
      <c r="Z30" s="38">
        <f>-(6*$E$11)/$E$6^2</f>
        <v>-656250</v>
      </c>
      <c r="AA30" s="38">
        <f>2*$E$11/$E$6</f>
        <v>875000000</v>
      </c>
      <c r="AC30" s="38">
        <f>-1*(Y15*Y6^2)/12</f>
        <v>6666666.666666667</v>
      </c>
      <c r="AJ30" s="78">
        <v>9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17">
        <f t="shared" si="11"/>
        <v>-656250</v>
      </c>
      <c r="AR30" s="17">
        <f t="shared" si="11"/>
        <v>4.0200183676689094E-11</v>
      </c>
      <c r="AS30" s="17">
        <f t="shared" si="11"/>
        <v>1750000000</v>
      </c>
      <c r="AT30" s="17">
        <f t="shared" si="11"/>
        <v>656250</v>
      </c>
      <c r="AU30" s="17">
        <f t="shared" si="11"/>
        <v>-4.0200183676689094E-11</v>
      </c>
      <c r="AV30" s="17">
        <f t="shared" si="11"/>
        <v>875000000</v>
      </c>
      <c r="AW30" s="4"/>
      <c r="AX30" s="3">
        <f t="shared" si="12"/>
        <v>6666666.666666667</v>
      </c>
      <c r="AY30" s="8"/>
    </row>
    <row r="31" spans="2:66" x14ac:dyDescent="0.2">
      <c r="B31" s="38">
        <f>-$E$10/E6</f>
        <v>-525000</v>
      </c>
      <c r="C31" s="39">
        <v>0</v>
      </c>
      <c r="D31" s="39">
        <v>0</v>
      </c>
      <c r="E31" s="38">
        <f>$E$10/E6</f>
        <v>525000</v>
      </c>
      <c r="F31" s="39">
        <v>0</v>
      </c>
      <c r="G31" s="39">
        <v>0</v>
      </c>
      <c r="I31" s="38">
        <f>-E6/2*E14</f>
        <v>0</v>
      </c>
      <c r="L31" s="38">
        <f>-$O$10/O6</f>
        <v>-700000</v>
      </c>
      <c r="M31" s="39">
        <v>0</v>
      </c>
      <c r="N31" s="39">
        <v>0</v>
      </c>
      <c r="O31" s="38">
        <f>$O$10/O6</f>
        <v>700000</v>
      </c>
      <c r="P31" s="39">
        <v>0</v>
      </c>
      <c r="Q31" s="39">
        <v>0</v>
      </c>
      <c r="S31" s="41">
        <v>0</v>
      </c>
      <c r="V31" s="38">
        <f>-$E$10/Y6</f>
        <v>-525000</v>
      </c>
      <c r="W31" s="39">
        <v>0</v>
      </c>
      <c r="X31" s="39">
        <v>0</v>
      </c>
      <c r="Y31" s="38">
        <f>$E$10/Y6</f>
        <v>525000</v>
      </c>
      <c r="Z31" s="39">
        <v>0</v>
      </c>
      <c r="AA31" s="39">
        <v>0</v>
      </c>
      <c r="AC31" s="38">
        <f>-Y6/2*Y14</f>
        <v>0</v>
      </c>
      <c r="AJ31" s="78">
        <v>10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17">
        <f t="shared" si="11"/>
        <v>-328.125</v>
      </c>
      <c r="AR31" s="17">
        <f t="shared" si="11"/>
        <v>-3.2140046849512931E-11</v>
      </c>
      <c r="AS31" s="17">
        <f t="shared" si="11"/>
        <v>656250</v>
      </c>
      <c r="AT31" s="17">
        <f t="shared" si="11"/>
        <v>328.125</v>
      </c>
      <c r="AU31" s="17">
        <f t="shared" si="11"/>
        <v>3.2140046849512931E-11</v>
      </c>
      <c r="AV31" s="17">
        <f t="shared" si="11"/>
        <v>656250</v>
      </c>
      <c r="AW31" s="4"/>
      <c r="AX31" s="3">
        <f t="shared" si="12"/>
        <v>-10000</v>
      </c>
      <c r="AY31" s="8"/>
    </row>
    <row r="32" spans="2:66" x14ac:dyDescent="0.2">
      <c r="B32" s="39">
        <v>0</v>
      </c>
      <c r="C32" s="38">
        <f>-(12*$E$11)/$E$6^3</f>
        <v>-328.125</v>
      </c>
      <c r="D32" s="38">
        <f>-(6*$E$11)/$E$6^2</f>
        <v>-656250</v>
      </c>
      <c r="E32" s="39">
        <v>0</v>
      </c>
      <c r="F32" s="38">
        <f>(12*$E$11)/$E$6^3</f>
        <v>328.125</v>
      </c>
      <c r="G32" s="38">
        <f>-(6*$E$11)/$E$6^2</f>
        <v>-656250</v>
      </c>
      <c r="I32" s="38">
        <f>-E6/2*E15</f>
        <v>-20000</v>
      </c>
      <c r="L32" s="39">
        <v>0</v>
      </c>
      <c r="M32" s="38">
        <f>-(12*$O$11)/$O$6^3</f>
        <v>-777.77777777777783</v>
      </c>
      <c r="N32" s="38">
        <f>-(6*$O$11)/$O$6^2</f>
        <v>-2333333.3333333335</v>
      </c>
      <c r="O32" s="39">
        <v>0</v>
      </c>
      <c r="P32" s="38">
        <f>(12*$O$11)/$O$6^3</f>
        <v>777.77777777777783</v>
      </c>
      <c r="Q32" s="38">
        <f>-(6*$O$11)/$O$6^2</f>
        <v>-2333333.3333333335</v>
      </c>
      <c r="R32" s="2"/>
      <c r="S32" s="38">
        <f>-O6/2*(O14+O15)</f>
        <v>-30000</v>
      </c>
      <c r="V32" s="39">
        <v>0</v>
      </c>
      <c r="W32" s="38">
        <f>-(12*$E$11)/$E$6^3</f>
        <v>-328.125</v>
      </c>
      <c r="X32" s="38">
        <f>-(6*$E$11)/$E$6^2</f>
        <v>-656250</v>
      </c>
      <c r="Y32" s="39">
        <v>0</v>
      </c>
      <c r="Z32" s="38">
        <f>(12*$E$11)/$E$6^3</f>
        <v>328.125</v>
      </c>
      <c r="AA32" s="38">
        <f>-(6*$E$11)/$E$6^2</f>
        <v>-656250</v>
      </c>
      <c r="AC32" s="38">
        <f>-Y6/2*Y15</f>
        <v>10000</v>
      </c>
      <c r="AJ32" s="78">
        <v>11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17">
        <f t="shared" si="11"/>
        <v>-3.2140046849512931E-11</v>
      </c>
      <c r="AR32" s="17">
        <f t="shared" si="11"/>
        <v>-525000</v>
      </c>
      <c r="AS32" s="17">
        <f t="shared" si="11"/>
        <v>-4.0200183676689094E-11</v>
      </c>
      <c r="AT32" s="17">
        <f t="shared" si="11"/>
        <v>3.2140046849512931E-11</v>
      </c>
      <c r="AU32" s="17">
        <f t="shared" si="11"/>
        <v>525000</v>
      </c>
      <c r="AV32" s="17">
        <f t="shared" si="11"/>
        <v>-4.0200183676689094E-11</v>
      </c>
      <c r="AW32" s="4"/>
      <c r="AX32" s="3">
        <f t="shared" si="12"/>
        <v>6.1257422745431001E-13</v>
      </c>
      <c r="AY32" s="10"/>
    </row>
    <row r="33" spans="2:83" x14ac:dyDescent="0.2">
      <c r="B33" s="39">
        <v>0</v>
      </c>
      <c r="C33" s="38">
        <f>(6*$E$11)/$E$6^2</f>
        <v>656250</v>
      </c>
      <c r="D33" s="38">
        <f>2*$E$11/$E$6</f>
        <v>875000000</v>
      </c>
      <c r="E33" s="39">
        <v>0</v>
      </c>
      <c r="F33" s="38">
        <f>-(6*$E$11)/$E$6^2</f>
        <v>-656250</v>
      </c>
      <c r="G33" s="38">
        <f>4*$E$11/$E$6</f>
        <v>1750000000</v>
      </c>
      <c r="I33" s="38">
        <f>1*(E15*E6^2)/12</f>
        <v>13333333.333333334</v>
      </c>
      <c r="L33" s="39">
        <v>0</v>
      </c>
      <c r="M33" s="38">
        <f>(6*$O$11)/$O$6^2</f>
        <v>2333333.3333333335</v>
      </c>
      <c r="N33" s="38">
        <f>2*$O$11/$O$6</f>
        <v>4666666666.666667</v>
      </c>
      <c r="O33" s="39">
        <v>0</v>
      </c>
      <c r="P33" s="38">
        <f>-(6*$O$11)/$O$6^2</f>
        <v>-2333333.3333333335</v>
      </c>
      <c r="Q33" s="38">
        <f>4*$O$11/$O$6</f>
        <v>9333333333.333334</v>
      </c>
      <c r="S33" s="38">
        <f>1*((O14+O15)*O6^2)/12</f>
        <v>30000000</v>
      </c>
      <c r="V33" s="39">
        <v>0</v>
      </c>
      <c r="W33" s="38">
        <f>(6*$E$11)/$E$6^2</f>
        <v>656250</v>
      </c>
      <c r="X33" s="38">
        <f>2*$E$11/$E$6</f>
        <v>875000000</v>
      </c>
      <c r="Y33" s="39">
        <v>0</v>
      </c>
      <c r="Z33" s="38">
        <f>-(6*$E$11)/$E$6^2</f>
        <v>-656250</v>
      </c>
      <c r="AA33" s="38">
        <f>4*$E$11/$E$6</f>
        <v>1750000000</v>
      </c>
      <c r="AC33" s="38">
        <f>1*(Y15*Y6^2)/12</f>
        <v>-6666666.666666667</v>
      </c>
      <c r="AJ33" s="78">
        <v>12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17">
        <f t="shared" si="11"/>
        <v>-656250</v>
      </c>
      <c r="AR33" s="17">
        <f t="shared" si="11"/>
        <v>4.0200183676689094E-11</v>
      </c>
      <c r="AS33" s="17">
        <f t="shared" si="11"/>
        <v>875000000</v>
      </c>
      <c r="AT33" s="17">
        <f t="shared" si="11"/>
        <v>656250</v>
      </c>
      <c r="AU33" s="17">
        <f t="shared" si="11"/>
        <v>-4.0200183676689094E-11</v>
      </c>
      <c r="AV33" s="17">
        <f t="shared" si="11"/>
        <v>1750000000</v>
      </c>
      <c r="AW33" s="4"/>
      <c r="AX33" s="3">
        <f t="shared" si="12"/>
        <v>-6666666.666666667</v>
      </c>
      <c r="AY33" s="8"/>
    </row>
    <row r="34" spans="2:83" x14ac:dyDescent="0.2"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</row>
    <row r="35" spans="2:83" x14ac:dyDescent="0.2">
      <c r="B35" s="2" t="s">
        <v>28</v>
      </c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</row>
    <row r="36" spans="2:83" x14ac:dyDescent="0.2">
      <c r="B36" s="38">
        <f t="shared" ref="B36:G36" si="13">$B54*B28+$C54*B29+$D54*B30+$E54*B31+$F54*B32+$G54*B33</f>
        <v>3.2160146941351275E-11</v>
      </c>
      <c r="C36" s="38">
        <f t="shared" si="13"/>
        <v>-328.125</v>
      </c>
      <c r="D36" s="38">
        <f t="shared" si="13"/>
        <v>-656250</v>
      </c>
      <c r="E36" s="38">
        <f t="shared" si="13"/>
        <v>-3.2160146941351275E-11</v>
      </c>
      <c r="F36" s="38">
        <f t="shared" si="13"/>
        <v>328.125</v>
      </c>
      <c r="G36" s="38">
        <f t="shared" si="13"/>
        <v>-656250</v>
      </c>
      <c r="L36" s="2" t="s">
        <v>28</v>
      </c>
      <c r="V36" s="2" t="s">
        <v>28</v>
      </c>
    </row>
    <row r="37" spans="2:83" x14ac:dyDescent="0.2">
      <c r="B37" s="38">
        <f t="shared" ref="B37:G37" si="14">$B55*B28+$C55*B29+$D55*B30+$E55*B31+$F55*B32+$G55*B33</f>
        <v>525000</v>
      </c>
      <c r="C37" s="38">
        <f t="shared" si="14"/>
        <v>2.0100091838344547E-14</v>
      </c>
      <c r="D37" s="38">
        <f t="shared" si="14"/>
        <v>4.0200183676689094E-11</v>
      </c>
      <c r="E37" s="38">
        <f t="shared" si="14"/>
        <v>-525000</v>
      </c>
      <c r="F37" s="38">
        <f t="shared" si="14"/>
        <v>-2.0100091838344547E-14</v>
      </c>
      <c r="G37" s="38">
        <f t="shared" si="14"/>
        <v>4.0200183676689094E-11</v>
      </c>
      <c r="L37" s="38">
        <f t="shared" ref="L37:Q42" si="15">$L55*L$28+$M55*L$29+$N55*L$30+$O55*L$31+$P55*L$32+$Q55*L$33</f>
        <v>700000</v>
      </c>
      <c r="M37" s="38">
        <f t="shared" si="15"/>
        <v>0</v>
      </c>
      <c r="N37" s="38">
        <f t="shared" si="15"/>
        <v>0</v>
      </c>
      <c r="O37" s="38">
        <f t="shared" si="15"/>
        <v>-700000</v>
      </c>
      <c r="P37" s="38">
        <f t="shared" si="15"/>
        <v>0</v>
      </c>
      <c r="Q37" s="38">
        <f t="shared" si="15"/>
        <v>0</v>
      </c>
      <c r="V37" s="38">
        <f t="shared" ref="V37:AA37" si="16">$V55*V28+$W55*V29+$X55*V30+$Y55*V31+$Z55*V32+$AA55*V33</f>
        <v>3.2160146941351275E-11</v>
      </c>
      <c r="W37" s="38">
        <f t="shared" si="16"/>
        <v>-328.125</v>
      </c>
      <c r="X37" s="38">
        <f t="shared" si="16"/>
        <v>-656250</v>
      </c>
      <c r="Y37" s="38">
        <f t="shared" si="16"/>
        <v>-3.2160146941351275E-11</v>
      </c>
      <c r="Z37" s="38">
        <f t="shared" si="16"/>
        <v>328.125</v>
      </c>
      <c r="AA37" s="38">
        <f t="shared" si="16"/>
        <v>-656250</v>
      </c>
    </row>
    <row r="38" spans="2:83" x14ac:dyDescent="0.2">
      <c r="B38" s="38">
        <f t="shared" ref="B38:G38" si="17">$B56*B28+$C56*B29+$D56*B30+$E56*B31+$F56*B32+$G56*B33</f>
        <v>0</v>
      </c>
      <c r="C38" s="38">
        <f t="shared" si="17"/>
        <v>656250</v>
      </c>
      <c r="D38" s="38">
        <f t="shared" si="17"/>
        <v>1750000000</v>
      </c>
      <c r="E38" s="38">
        <f t="shared" si="17"/>
        <v>0</v>
      </c>
      <c r="F38" s="38">
        <f t="shared" si="17"/>
        <v>-656250</v>
      </c>
      <c r="G38" s="38">
        <f t="shared" si="17"/>
        <v>875000000</v>
      </c>
      <c r="L38" s="38">
        <f t="shared" si="15"/>
        <v>0</v>
      </c>
      <c r="M38" s="38">
        <f t="shared" si="15"/>
        <v>777.77777777777783</v>
      </c>
      <c r="N38" s="38">
        <f t="shared" si="15"/>
        <v>2333333.3333333335</v>
      </c>
      <c r="O38" s="38">
        <f t="shared" si="15"/>
        <v>0</v>
      </c>
      <c r="P38" s="38">
        <f t="shared" si="15"/>
        <v>-777.77777777777783</v>
      </c>
      <c r="Q38" s="38">
        <f t="shared" si="15"/>
        <v>2333333.3333333335</v>
      </c>
      <c r="V38" s="38">
        <f t="shared" ref="V38:AA38" si="18">$V56*V28+$W56*V29+$X56*V30+$Y56*V31+$Z56*V32+$AA56*V33</f>
        <v>525000</v>
      </c>
      <c r="W38" s="38">
        <f t="shared" si="18"/>
        <v>2.0100091838344547E-14</v>
      </c>
      <c r="X38" s="38">
        <f t="shared" si="18"/>
        <v>4.0200183676689094E-11</v>
      </c>
      <c r="Y38" s="38">
        <f t="shared" si="18"/>
        <v>-525000</v>
      </c>
      <c r="Z38" s="38">
        <f t="shared" si="18"/>
        <v>-2.0100091838344547E-14</v>
      </c>
      <c r="AA38" s="38">
        <f t="shared" si="18"/>
        <v>4.0200183676689094E-11</v>
      </c>
    </row>
    <row r="39" spans="2:83" x14ac:dyDescent="0.2">
      <c r="B39" s="38">
        <f t="shared" ref="B39:G41" si="19">$B57*B$28+$C57*B$29+$D57*B$30+$E57*B$31+$F57*B$32+$G57*B$33</f>
        <v>-3.2160146941351275E-11</v>
      </c>
      <c r="C39" s="38">
        <f t="shared" si="19"/>
        <v>328.125</v>
      </c>
      <c r="D39" s="38">
        <f t="shared" si="19"/>
        <v>656250</v>
      </c>
      <c r="E39" s="38">
        <f t="shared" si="19"/>
        <v>3.2160146941351275E-11</v>
      </c>
      <c r="F39" s="38">
        <f t="shared" si="19"/>
        <v>-328.125</v>
      </c>
      <c r="G39" s="38">
        <f t="shared" si="19"/>
        <v>656250</v>
      </c>
      <c r="L39" s="38">
        <f t="shared" si="15"/>
        <v>0</v>
      </c>
      <c r="M39" s="38">
        <f t="shared" si="15"/>
        <v>2333333.3333333335</v>
      </c>
      <c r="N39" s="38">
        <f t="shared" si="15"/>
        <v>9333333333.333334</v>
      </c>
      <c r="O39" s="38">
        <f t="shared" si="15"/>
        <v>0</v>
      </c>
      <c r="P39" s="38">
        <f t="shared" si="15"/>
        <v>-2333333.3333333335</v>
      </c>
      <c r="Q39" s="38">
        <f t="shared" si="15"/>
        <v>4666666666.666667</v>
      </c>
      <c r="V39" s="38">
        <f t="shared" ref="V39:AA39" si="20">$V57*V28+$W57*V29+$X57*V30+$Y57*V31+$Z57*V32+$AA57*V33</f>
        <v>0</v>
      </c>
      <c r="W39" s="38">
        <f t="shared" si="20"/>
        <v>656250</v>
      </c>
      <c r="X39" s="38">
        <f t="shared" si="20"/>
        <v>1750000000</v>
      </c>
      <c r="Y39" s="38">
        <f t="shared" si="20"/>
        <v>0</v>
      </c>
      <c r="Z39" s="38">
        <f t="shared" si="20"/>
        <v>-656250</v>
      </c>
      <c r="AA39" s="38">
        <f t="shared" si="20"/>
        <v>875000000</v>
      </c>
    </row>
    <row r="40" spans="2:83" x14ac:dyDescent="0.2">
      <c r="B40" s="38">
        <f t="shared" si="19"/>
        <v>-525000</v>
      </c>
      <c r="C40" s="38">
        <f t="shared" si="19"/>
        <v>-2.0100091838344547E-14</v>
      </c>
      <c r="D40" s="38">
        <f t="shared" si="19"/>
        <v>-4.0200183676689094E-11</v>
      </c>
      <c r="E40" s="38">
        <f t="shared" si="19"/>
        <v>525000</v>
      </c>
      <c r="F40" s="38">
        <f t="shared" si="19"/>
        <v>2.0100091838344547E-14</v>
      </c>
      <c r="G40" s="38">
        <f t="shared" si="19"/>
        <v>-4.0200183676689094E-11</v>
      </c>
      <c r="L40" s="38">
        <f t="shared" si="15"/>
        <v>-700000</v>
      </c>
      <c r="M40" s="38">
        <f t="shared" si="15"/>
        <v>0</v>
      </c>
      <c r="N40" s="38">
        <f t="shared" si="15"/>
        <v>0</v>
      </c>
      <c r="O40" s="38">
        <f t="shared" si="15"/>
        <v>700000</v>
      </c>
      <c r="P40" s="38">
        <f t="shared" si="15"/>
        <v>0</v>
      </c>
      <c r="Q40" s="38">
        <f t="shared" si="15"/>
        <v>0</v>
      </c>
      <c r="S40" s="2"/>
      <c r="V40" s="38">
        <f t="shared" ref="V40:AA42" si="21">$V58*B$28+$W58*B$29+$X58*B$30+$Y58*B$31+$Z58*B$32+$AA58*B$33</f>
        <v>-3.2160146941351275E-11</v>
      </c>
      <c r="W40" s="38">
        <f t="shared" si="21"/>
        <v>328.125</v>
      </c>
      <c r="X40" s="38">
        <f t="shared" si="21"/>
        <v>656250</v>
      </c>
      <c r="Y40" s="38">
        <f t="shared" si="21"/>
        <v>3.2160146941351275E-11</v>
      </c>
      <c r="Z40" s="38">
        <f t="shared" si="21"/>
        <v>-328.125</v>
      </c>
      <c r="AA40" s="38">
        <f t="shared" si="21"/>
        <v>656250</v>
      </c>
    </row>
    <row r="41" spans="2:83" x14ac:dyDescent="0.2">
      <c r="B41" s="38">
        <f t="shared" si="19"/>
        <v>0</v>
      </c>
      <c r="C41" s="38">
        <f t="shared" si="19"/>
        <v>656250</v>
      </c>
      <c r="D41" s="38">
        <f t="shared" si="19"/>
        <v>875000000</v>
      </c>
      <c r="E41" s="38">
        <f t="shared" si="19"/>
        <v>0</v>
      </c>
      <c r="F41" s="38">
        <f t="shared" si="19"/>
        <v>-656250</v>
      </c>
      <c r="G41" s="38">
        <f t="shared" si="19"/>
        <v>1750000000</v>
      </c>
      <c r="L41" s="38">
        <f t="shared" si="15"/>
        <v>0</v>
      </c>
      <c r="M41" s="38">
        <f t="shared" si="15"/>
        <v>-777.77777777777783</v>
      </c>
      <c r="N41" s="38">
        <f t="shared" si="15"/>
        <v>-2333333.3333333335</v>
      </c>
      <c r="O41" s="38">
        <f t="shared" si="15"/>
        <v>0</v>
      </c>
      <c r="P41" s="38">
        <f t="shared" si="15"/>
        <v>777.77777777777783</v>
      </c>
      <c r="Q41" s="38">
        <f t="shared" si="15"/>
        <v>-2333333.3333333335</v>
      </c>
      <c r="V41" s="38">
        <f t="shared" si="21"/>
        <v>-525000</v>
      </c>
      <c r="W41" s="38">
        <f t="shared" si="21"/>
        <v>-2.0100091838344547E-14</v>
      </c>
      <c r="X41" s="38">
        <f t="shared" si="21"/>
        <v>-4.0200183676689094E-11</v>
      </c>
      <c r="Y41" s="38">
        <f t="shared" si="21"/>
        <v>525000</v>
      </c>
      <c r="Z41" s="38">
        <f t="shared" si="21"/>
        <v>2.0100091838344547E-14</v>
      </c>
      <c r="AA41" s="38">
        <f t="shared" si="21"/>
        <v>-4.0200183676689094E-11</v>
      </c>
      <c r="AJ41" s="2" t="s">
        <v>36</v>
      </c>
      <c r="AS41" s="4"/>
      <c r="AT41" s="4"/>
      <c r="AU41" s="4"/>
      <c r="AV41" s="4"/>
    </row>
    <row r="42" spans="2:83" x14ac:dyDescent="0.2">
      <c r="L42" s="38">
        <f t="shared" si="15"/>
        <v>0</v>
      </c>
      <c r="M42" s="38">
        <f t="shared" si="15"/>
        <v>2333333.3333333335</v>
      </c>
      <c r="N42" s="38">
        <f t="shared" si="15"/>
        <v>4666666666.666667</v>
      </c>
      <c r="O42" s="38">
        <f t="shared" si="15"/>
        <v>0</v>
      </c>
      <c r="P42" s="38">
        <f t="shared" si="15"/>
        <v>-2333333.3333333335</v>
      </c>
      <c r="Q42" s="38">
        <f t="shared" si="15"/>
        <v>9333333333.333334</v>
      </c>
      <c r="V42" s="38">
        <f t="shared" si="21"/>
        <v>0</v>
      </c>
      <c r="W42" s="38">
        <f t="shared" si="21"/>
        <v>656250</v>
      </c>
      <c r="X42" s="38">
        <f t="shared" si="21"/>
        <v>875000000</v>
      </c>
      <c r="Y42" s="38">
        <f t="shared" si="21"/>
        <v>0</v>
      </c>
      <c r="Z42" s="38">
        <f t="shared" si="21"/>
        <v>-656250</v>
      </c>
      <c r="AA42" s="38">
        <f t="shared" si="21"/>
        <v>1750000000</v>
      </c>
      <c r="AJ42" s="9"/>
      <c r="AK42" s="78">
        <v>1</v>
      </c>
      <c r="AL42" s="78">
        <v>2</v>
      </c>
      <c r="AM42" s="78">
        <v>3</v>
      </c>
      <c r="AN42" s="78">
        <v>4</v>
      </c>
      <c r="AO42" s="78">
        <v>5</v>
      </c>
      <c r="AP42" s="78">
        <v>6</v>
      </c>
      <c r="AQ42" s="78">
        <v>7</v>
      </c>
      <c r="AR42" s="78">
        <v>8</v>
      </c>
      <c r="AS42" s="78">
        <v>9</v>
      </c>
      <c r="AT42" s="78">
        <v>10</v>
      </c>
      <c r="AU42" s="78">
        <v>11</v>
      </c>
      <c r="AV42" s="78">
        <v>12</v>
      </c>
      <c r="AW42" s="4" t="s">
        <v>1</v>
      </c>
      <c r="AX42" s="9" t="s">
        <v>39</v>
      </c>
      <c r="AY42" s="4" t="s">
        <v>49</v>
      </c>
      <c r="AZ42" s="9" t="s">
        <v>50</v>
      </c>
      <c r="BB42" s="9" t="s">
        <v>39</v>
      </c>
      <c r="BC42" s="80"/>
      <c r="BD42" s="80" t="s">
        <v>88</v>
      </c>
    </row>
    <row r="43" spans="2:83" x14ac:dyDescent="0.2">
      <c r="H43" s="27"/>
      <c r="AE43" s="2"/>
      <c r="AJ43" s="78">
        <v>1</v>
      </c>
      <c r="AK43" s="11">
        <f>AK6+BA6+AK22</f>
        <v>328.125</v>
      </c>
      <c r="AL43" s="11">
        <f t="shared" ref="AL43:AV43" si="22">AL6+BB6+AL22</f>
        <v>3.2140046849512931E-11</v>
      </c>
      <c r="AM43" s="11">
        <f t="shared" si="22"/>
        <v>-656250</v>
      </c>
      <c r="AN43" s="11">
        <f t="shared" si="22"/>
        <v>-328.125</v>
      </c>
      <c r="AO43" s="11">
        <f t="shared" si="22"/>
        <v>-3.2140046849512931E-11</v>
      </c>
      <c r="AP43" s="11">
        <f t="shared" si="22"/>
        <v>-656250</v>
      </c>
      <c r="AQ43" s="7">
        <f t="shared" si="22"/>
        <v>0</v>
      </c>
      <c r="AR43" s="7">
        <f t="shared" si="22"/>
        <v>0</v>
      </c>
      <c r="AS43" s="7">
        <f t="shared" si="22"/>
        <v>0</v>
      </c>
      <c r="AT43" s="7">
        <f t="shared" si="22"/>
        <v>0</v>
      </c>
      <c r="AU43" s="7">
        <f t="shared" si="22"/>
        <v>0</v>
      </c>
      <c r="AV43" s="7">
        <f t="shared" si="22"/>
        <v>0</v>
      </c>
      <c r="AX43" s="4">
        <v>0</v>
      </c>
      <c r="AZ43" s="3">
        <f>AX6+BN6+AX22</f>
        <v>20000</v>
      </c>
      <c r="BA43" s="144" t="s">
        <v>52</v>
      </c>
      <c r="BB43" s="153" cm="1">
        <f t="array" ref="BB43:BB44">AX43:AX44</f>
        <v>0</v>
      </c>
      <c r="BC43" s="4"/>
      <c r="BD43" s="4">
        <f t="array" ref="BD43:BD54">MMULT(AK43:AV54,BB43:BB54)-AZ43:AZ54</f>
        <v>-20427.724341873007</v>
      </c>
    </row>
    <row r="44" spans="2:83" x14ac:dyDescent="0.2">
      <c r="B44" s="2" t="s">
        <v>29</v>
      </c>
      <c r="AE44" s="2"/>
      <c r="AJ44" s="78">
        <v>2</v>
      </c>
      <c r="AK44" s="11">
        <f t="shared" ref="AK44:AK54" si="23">AK7+BA7+AK23</f>
        <v>3.2140046849512931E-11</v>
      </c>
      <c r="AL44" s="11">
        <f t="shared" ref="AL44:AL54" si="24">AL7+BB7+AL23</f>
        <v>525000</v>
      </c>
      <c r="AM44" s="11">
        <f t="shared" ref="AM44:AM54" si="25">AM7+BC7+AM23</f>
        <v>4.0200183676689094E-11</v>
      </c>
      <c r="AN44" s="11">
        <f t="shared" ref="AN44:AN54" si="26">AN7+BD7+AN23</f>
        <v>-3.2140046849512931E-11</v>
      </c>
      <c r="AO44" s="11">
        <f t="shared" ref="AO44:AO54" si="27">AO7+BE7+AO23</f>
        <v>-525000</v>
      </c>
      <c r="AP44" s="11">
        <f t="shared" ref="AP44:AP54" si="28">AP7+BF7+AP23</f>
        <v>4.0200183676689094E-11</v>
      </c>
      <c r="AQ44" s="7">
        <f t="shared" ref="AQ44:AQ54" si="29">AQ7+BG7+AQ23</f>
        <v>0</v>
      </c>
      <c r="AR44" s="7">
        <f t="shared" ref="AR44:AR54" si="30">AR7+BH7+AR23</f>
        <v>0</v>
      </c>
      <c r="AS44" s="7">
        <f t="shared" ref="AS44:AS54" si="31">AS7+BI7+AS23</f>
        <v>0</v>
      </c>
      <c r="AT44" s="7">
        <f t="shared" ref="AT44:AT54" si="32">AT7+BJ7+AT23</f>
        <v>0</v>
      </c>
      <c r="AU44" s="7">
        <f t="shared" ref="AU44:AU54" si="33">AU7+BK7+AU23</f>
        <v>0</v>
      </c>
      <c r="AV44" s="7">
        <f t="shared" ref="AV44:AV54" si="34">AV7+BL7+AV23</f>
        <v>0</v>
      </c>
      <c r="AX44" s="4">
        <v>0</v>
      </c>
      <c r="AZ44" s="3">
        <f t="shared" ref="AZ44:AZ54" si="35">AX7+BN7+AX23</f>
        <v>-1.22514845490862E-12</v>
      </c>
      <c r="BA44" s="144" t="s">
        <v>51</v>
      </c>
      <c r="BB44" s="153">
        <v>0</v>
      </c>
      <c r="BC44" s="154"/>
      <c r="BD44" s="156">
        <v>23333.33333332961</v>
      </c>
    </row>
    <row r="45" spans="2:83" x14ac:dyDescent="0.2">
      <c r="B45" s="152">
        <f>$C$5</f>
        <v>6.1257422745431001E-17</v>
      </c>
      <c r="C45" s="152">
        <f>$E$5</f>
        <v>1</v>
      </c>
      <c r="D45" s="152">
        <v>0</v>
      </c>
      <c r="E45" s="152">
        <v>0</v>
      </c>
      <c r="F45" s="152">
        <v>0</v>
      </c>
      <c r="G45" s="152">
        <v>0</v>
      </c>
      <c r="L45" s="2" t="s">
        <v>29</v>
      </c>
      <c r="V45" s="2" t="s">
        <v>29</v>
      </c>
      <c r="AE45" s="8"/>
      <c r="AJ45" s="78">
        <v>3</v>
      </c>
      <c r="AK45" s="11">
        <f t="shared" si="23"/>
        <v>-656250</v>
      </c>
      <c r="AL45" s="11">
        <f t="shared" si="24"/>
        <v>4.0200183676689094E-11</v>
      </c>
      <c r="AM45" s="11">
        <f t="shared" si="25"/>
        <v>1750000000</v>
      </c>
      <c r="AN45" s="11">
        <f t="shared" si="26"/>
        <v>656250</v>
      </c>
      <c r="AO45" s="11">
        <f t="shared" si="27"/>
        <v>-4.0200183676689094E-11</v>
      </c>
      <c r="AP45" s="11">
        <f t="shared" si="28"/>
        <v>875000000</v>
      </c>
      <c r="AQ45" s="7">
        <f t="shared" si="29"/>
        <v>0</v>
      </c>
      <c r="AR45" s="7">
        <f t="shared" si="30"/>
        <v>0</v>
      </c>
      <c r="AS45" s="7">
        <f t="shared" si="31"/>
        <v>0</v>
      </c>
      <c r="AT45" s="7">
        <f t="shared" si="32"/>
        <v>0</v>
      </c>
      <c r="AU45" s="7">
        <f t="shared" si="33"/>
        <v>0</v>
      </c>
      <c r="AV45" s="7">
        <f t="shared" si="34"/>
        <v>0</v>
      </c>
      <c r="AX45" s="4" t="s">
        <v>40</v>
      </c>
      <c r="AZ45" s="3">
        <f t="shared" si="35"/>
        <v>-13333333.333333334</v>
      </c>
      <c r="BB45" s="153" cm="1">
        <f t="array" ref="BB45:BB48">AV71:AV74</f>
        <v>-3.6373783993449142E-2</v>
      </c>
      <c r="BC45" s="154"/>
      <c r="BD45" s="156">
        <v>-2.2351741790771484E-8</v>
      </c>
    </row>
    <row r="46" spans="2:83" x14ac:dyDescent="0.2">
      <c r="B46" s="152">
        <f>-$E$5</f>
        <v>-1</v>
      </c>
      <c r="C46" s="152">
        <f>$C$5</f>
        <v>6.1257422745431001E-17</v>
      </c>
      <c r="D46" s="152">
        <v>0</v>
      </c>
      <c r="E46" s="152">
        <v>0</v>
      </c>
      <c r="F46" s="152">
        <v>0</v>
      </c>
      <c r="G46" s="152">
        <v>0</v>
      </c>
      <c r="L46" s="152">
        <f>$M$5</f>
        <v>1</v>
      </c>
      <c r="M46" s="152">
        <f>$O$5</f>
        <v>0</v>
      </c>
      <c r="N46" s="152">
        <v>0</v>
      </c>
      <c r="O46" s="152">
        <v>0</v>
      </c>
      <c r="P46" s="152">
        <v>0</v>
      </c>
      <c r="Q46" s="152">
        <v>0</v>
      </c>
      <c r="V46" s="152">
        <f>$C$5</f>
        <v>6.1257422745431001E-17</v>
      </c>
      <c r="W46" s="152">
        <f>$E$5</f>
        <v>1</v>
      </c>
      <c r="X46" s="152">
        <v>0</v>
      </c>
      <c r="Y46" s="152">
        <v>0</v>
      </c>
      <c r="Z46" s="152">
        <v>0</v>
      </c>
      <c r="AA46" s="152">
        <v>0</v>
      </c>
      <c r="AE46" s="10"/>
      <c r="AJ46" s="78">
        <v>4</v>
      </c>
      <c r="AK46" s="11">
        <f t="shared" si="23"/>
        <v>-328.125</v>
      </c>
      <c r="AL46" s="11">
        <f t="shared" si="24"/>
        <v>-3.2140046849512931E-11</v>
      </c>
      <c r="AM46" s="11">
        <f t="shared" si="25"/>
        <v>656250</v>
      </c>
      <c r="AN46" s="18">
        <f t="shared" si="26"/>
        <v>700328.125</v>
      </c>
      <c r="AO46" s="18">
        <f t="shared" si="27"/>
        <v>3.2140046849512931E-11</v>
      </c>
      <c r="AP46" s="18">
        <f t="shared" si="28"/>
        <v>656250</v>
      </c>
      <c r="AQ46" s="16">
        <f t="shared" si="29"/>
        <v>0</v>
      </c>
      <c r="AR46" s="7">
        <f t="shared" si="30"/>
        <v>0</v>
      </c>
      <c r="AS46" s="7">
        <f t="shared" si="31"/>
        <v>0</v>
      </c>
      <c r="AT46" s="19">
        <f t="shared" si="32"/>
        <v>-700000</v>
      </c>
      <c r="AU46" s="15">
        <f t="shared" si="33"/>
        <v>0</v>
      </c>
      <c r="AV46" s="15">
        <f t="shared" si="34"/>
        <v>0</v>
      </c>
      <c r="AX46" s="4" t="s">
        <v>41</v>
      </c>
      <c r="AZ46" s="3">
        <f t="shared" si="35"/>
        <v>20000</v>
      </c>
      <c r="BB46" s="153">
        <v>81.935673318570522</v>
      </c>
      <c r="BC46" s="154"/>
      <c r="BD46" s="156">
        <v>-7.4505805969238281E-9</v>
      </c>
      <c r="CE46" s="2"/>
    </row>
    <row r="47" spans="2:83" x14ac:dyDescent="0.2">
      <c r="B47" s="152">
        <v>0</v>
      </c>
      <c r="C47" s="152">
        <v>0</v>
      </c>
      <c r="D47" s="152">
        <v>1</v>
      </c>
      <c r="E47" s="152">
        <v>0</v>
      </c>
      <c r="F47" s="152">
        <v>0</v>
      </c>
      <c r="G47" s="152">
        <v>0</v>
      </c>
      <c r="L47" s="152">
        <f>-$O$5</f>
        <v>0</v>
      </c>
      <c r="M47" s="152">
        <f>$M$5</f>
        <v>1</v>
      </c>
      <c r="N47" s="152">
        <v>0</v>
      </c>
      <c r="O47" s="152">
        <v>0</v>
      </c>
      <c r="P47" s="152">
        <v>0</v>
      </c>
      <c r="Q47" s="152">
        <v>0</v>
      </c>
      <c r="V47" s="152">
        <f>-$E$5</f>
        <v>-1</v>
      </c>
      <c r="W47" s="152">
        <f>$C$5</f>
        <v>6.1257422745431001E-17</v>
      </c>
      <c r="X47" s="152">
        <v>0</v>
      </c>
      <c r="Y47" s="152">
        <v>0</v>
      </c>
      <c r="Z47" s="152">
        <v>0</v>
      </c>
      <c r="AA47" s="152">
        <v>0</v>
      </c>
      <c r="AE47" s="8"/>
      <c r="AJ47" s="78">
        <v>5</v>
      </c>
      <c r="AK47" s="11">
        <f t="shared" si="23"/>
        <v>-3.2140046849512931E-11</v>
      </c>
      <c r="AL47" s="11">
        <f t="shared" si="24"/>
        <v>-525000</v>
      </c>
      <c r="AM47" s="11">
        <f t="shared" si="25"/>
        <v>-4.0200183676689094E-11</v>
      </c>
      <c r="AN47" s="18">
        <f t="shared" si="26"/>
        <v>3.2140046849512931E-11</v>
      </c>
      <c r="AO47" s="18">
        <f t="shared" si="27"/>
        <v>525777.77777777775</v>
      </c>
      <c r="AP47" s="18">
        <f t="shared" si="28"/>
        <v>2333333.3333333335</v>
      </c>
      <c r="AQ47" s="16">
        <f t="shared" si="29"/>
        <v>0</v>
      </c>
      <c r="AR47" s="7">
        <f t="shared" si="30"/>
        <v>0</v>
      </c>
      <c r="AS47" s="7">
        <f t="shared" si="31"/>
        <v>0</v>
      </c>
      <c r="AT47" s="19">
        <f t="shared" si="32"/>
        <v>0</v>
      </c>
      <c r="AU47" s="15">
        <f t="shared" si="33"/>
        <v>-777.77777777777783</v>
      </c>
      <c r="AV47" s="15">
        <f t="shared" si="34"/>
        <v>2333333.3333333335</v>
      </c>
      <c r="AX47" s="4" t="s">
        <v>42</v>
      </c>
      <c r="AZ47" s="3">
        <f>AX10+BN10+AX26</f>
        <v>-30000</v>
      </c>
      <c r="BB47" s="153">
        <v>-4.4444444444442371E-2</v>
      </c>
      <c r="BC47" s="80"/>
      <c r="BD47" s="80">
        <v>5.8535079006105661E-9</v>
      </c>
      <c r="BS47" s="3"/>
      <c r="CE47" s="2"/>
    </row>
    <row r="48" spans="2:83" x14ac:dyDescent="0.2">
      <c r="B48" s="152">
        <v>0</v>
      </c>
      <c r="C48" s="152">
        <v>0</v>
      </c>
      <c r="D48" s="152">
        <v>0</v>
      </c>
      <c r="E48" s="152">
        <f>$C$5</f>
        <v>6.1257422745431001E-17</v>
      </c>
      <c r="F48" s="152">
        <f>$E$5</f>
        <v>1</v>
      </c>
      <c r="G48" s="152">
        <v>0</v>
      </c>
      <c r="L48" s="152">
        <v>0</v>
      </c>
      <c r="M48" s="152">
        <v>0</v>
      </c>
      <c r="N48" s="152">
        <v>1</v>
      </c>
      <c r="O48" s="152">
        <v>0</v>
      </c>
      <c r="P48" s="152">
        <v>0</v>
      </c>
      <c r="Q48" s="152">
        <v>0</v>
      </c>
      <c r="V48" s="152">
        <v>0</v>
      </c>
      <c r="W48" s="152">
        <v>0</v>
      </c>
      <c r="X48" s="152">
        <v>1</v>
      </c>
      <c r="Y48" s="152">
        <v>0</v>
      </c>
      <c r="Z48" s="152">
        <v>0</v>
      </c>
      <c r="AA48" s="152">
        <v>0</v>
      </c>
      <c r="AE48" s="8"/>
      <c r="AJ48" s="78">
        <v>6</v>
      </c>
      <c r="AK48" s="11">
        <f t="shared" si="23"/>
        <v>-656250</v>
      </c>
      <c r="AL48" s="11">
        <f t="shared" si="24"/>
        <v>4.0200183676689094E-11</v>
      </c>
      <c r="AM48" s="11">
        <f t="shared" si="25"/>
        <v>875000000</v>
      </c>
      <c r="AN48" s="18">
        <f t="shared" si="26"/>
        <v>656250</v>
      </c>
      <c r="AO48" s="18">
        <f t="shared" si="27"/>
        <v>2333333.3333333335</v>
      </c>
      <c r="AP48" s="18">
        <f t="shared" si="28"/>
        <v>11083333333.333334</v>
      </c>
      <c r="AQ48" s="7">
        <f t="shared" si="29"/>
        <v>0</v>
      </c>
      <c r="AR48" s="7">
        <f t="shared" si="30"/>
        <v>0</v>
      </c>
      <c r="AS48" s="7">
        <f t="shared" si="31"/>
        <v>0</v>
      </c>
      <c r="AT48" s="19">
        <f t="shared" si="32"/>
        <v>0</v>
      </c>
      <c r="AU48" s="19">
        <f t="shared" si="33"/>
        <v>-2333333.3333333335</v>
      </c>
      <c r="AV48" s="19">
        <f t="shared" si="34"/>
        <v>4666666666.666667</v>
      </c>
      <c r="AX48" s="4" t="s">
        <v>43</v>
      </c>
      <c r="AZ48" s="3">
        <f t="shared" si="35"/>
        <v>-16666666.666666666</v>
      </c>
      <c r="BB48" s="157">
        <v>-3.9422822401248706E-3</v>
      </c>
      <c r="BC48" s="154"/>
      <c r="BD48" s="156">
        <v>0</v>
      </c>
    </row>
    <row r="49" spans="2:101" x14ac:dyDescent="0.2">
      <c r="B49" s="152">
        <v>0</v>
      </c>
      <c r="C49" s="152">
        <v>0</v>
      </c>
      <c r="D49" s="152">
        <v>0</v>
      </c>
      <c r="E49" s="152">
        <f>-$E$5</f>
        <v>-1</v>
      </c>
      <c r="F49" s="152">
        <f>$C$5</f>
        <v>6.1257422745431001E-17</v>
      </c>
      <c r="G49" s="152">
        <v>0</v>
      </c>
      <c r="L49" s="152">
        <v>0</v>
      </c>
      <c r="M49" s="152">
        <v>0</v>
      </c>
      <c r="N49" s="152">
        <v>0</v>
      </c>
      <c r="O49" s="152">
        <f>$M$5</f>
        <v>1</v>
      </c>
      <c r="P49" s="152">
        <f>$O$5</f>
        <v>0</v>
      </c>
      <c r="Q49" s="152">
        <v>0</v>
      </c>
      <c r="V49" s="152">
        <v>0</v>
      </c>
      <c r="W49" s="152">
        <v>0</v>
      </c>
      <c r="X49" s="152">
        <v>0</v>
      </c>
      <c r="Y49" s="152">
        <f>$C$5</f>
        <v>6.1257422745431001E-17</v>
      </c>
      <c r="Z49" s="152">
        <f>$E$5</f>
        <v>1</v>
      </c>
      <c r="AA49" s="152">
        <v>0</v>
      </c>
      <c r="AE49" s="10"/>
      <c r="AH49" s="2"/>
      <c r="AI49" s="2"/>
      <c r="AJ49" s="78">
        <v>7</v>
      </c>
      <c r="AK49" s="7">
        <f t="shared" si="23"/>
        <v>0</v>
      </c>
      <c r="AL49" s="7">
        <f t="shared" si="24"/>
        <v>0</v>
      </c>
      <c r="AM49" s="7">
        <f t="shared" si="25"/>
        <v>0</v>
      </c>
      <c r="AN49" s="16">
        <f t="shared" si="26"/>
        <v>0</v>
      </c>
      <c r="AO49" s="16">
        <f t="shared" si="27"/>
        <v>0</v>
      </c>
      <c r="AP49" s="7">
        <f t="shared" si="28"/>
        <v>0</v>
      </c>
      <c r="AQ49" s="17">
        <f t="shared" si="29"/>
        <v>328.125</v>
      </c>
      <c r="AR49" s="20">
        <f t="shared" si="30"/>
        <v>3.2140046849512931E-11</v>
      </c>
      <c r="AS49" s="20">
        <f t="shared" si="31"/>
        <v>-656250</v>
      </c>
      <c r="AT49" s="20">
        <f t="shared" si="32"/>
        <v>-328.125</v>
      </c>
      <c r="AU49" s="17">
        <f t="shared" si="33"/>
        <v>-3.2140046849512931E-11</v>
      </c>
      <c r="AV49" s="17">
        <f t="shared" si="34"/>
        <v>-656250</v>
      </c>
      <c r="AX49" s="4">
        <v>0</v>
      </c>
      <c r="AZ49" s="3">
        <f t="shared" si="35"/>
        <v>-10000</v>
      </c>
      <c r="BA49" s="144" t="s">
        <v>53</v>
      </c>
      <c r="BB49" s="153" cm="1">
        <f t="array" ref="BB49:BB50">AX49:AX50</f>
        <v>0</v>
      </c>
      <c r="BC49" s="154"/>
      <c r="BD49" s="156">
        <v>427.7243418762082</v>
      </c>
      <c r="CW49" s="2"/>
    </row>
    <row r="50" spans="2:101" x14ac:dyDescent="0.2">
      <c r="B50" s="152">
        <v>0</v>
      </c>
      <c r="C50" s="152">
        <v>0</v>
      </c>
      <c r="D50" s="152">
        <v>0</v>
      </c>
      <c r="E50" s="152">
        <v>0</v>
      </c>
      <c r="F50" s="152">
        <v>0</v>
      </c>
      <c r="G50" s="152">
        <f>D47</f>
        <v>1</v>
      </c>
      <c r="L50" s="152">
        <v>0</v>
      </c>
      <c r="M50" s="152">
        <v>0</v>
      </c>
      <c r="N50" s="152">
        <v>0</v>
      </c>
      <c r="O50" s="152">
        <f>-$O$5</f>
        <v>0</v>
      </c>
      <c r="P50" s="152">
        <f>$M$5</f>
        <v>1</v>
      </c>
      <c r="Q50" s="152">
        <v>0</v>
      </c>
      <c r="V50" s="152">
        <v>0</v>
      </c>
      <c r="W50" s="152">
        <v>0</v>
      </c>
      <c r="X50" s="152">
        <v>0</v>
      </c>
      <c r="Y50" s="152">
        <f>-$E$5</f>
        <v>-1</v>
      </c>
      <c r="Z50" s="152">
        <f>$C$5</f>
        <v>6.1257422745431001E-17</v>
      </c>
      <c r="AA50" s="152">
        <v>0</v>
      </c>
      <c r="AE50" s="8"/>
      <c r="AH50" s="2"/>
      <c r="AI50" s="2"/>
      <c r="AJ50" s="78">
        <v>8</v>
      </c>
      <c r="AK50" s="7">
        <f t="shared" si="23"/>
        <v>0</v>
      </c>
      <c r="AL50" s="7">
        <f t="shared" si="24"/>
        <v>0</v>
      </c>
      <c r="AM50" s="7">
        <f t="shared" si="25"/>
        <v>0</v>
      </c>
      <c r="AN50" s="7">
        <f t="shared" si="26"/>
        <v>0</v>
      </c>
      <c r="AO50" s="7">
        <f t="shared" si="27"/>
        <v>0</v>
      </c>
      <c r="AP50" s="7">
        <f t="shared" si="28"/>
        <v>0</v>
      </c>
      <c r="AQ50" s="20">
        <f t="shared" si="29"/>
        <v>3.2140046849512931E-11</v>
      </c>
      <c r="AR50" s="17">
        <f t="shared" si="30"/>
        <v>525000</v>
      </c>
      <c r="AS50" s="17">
        <f t="shared" si="31"/>
        <v>4.0200183676689094E-11</v>
      </c>
      <c r="AT50" s="17">
        <f t="shared" si="32"/>
        <v>-3.2140046849512931E-11</v>
      </c>
      <c r="AU50" s="17">
        <f t="shared" si="33"/>
        <v>-525000</v>
      </c>
      <c r="AV50" s="17">
        <f t="shared" si="34"/>
        <v>4.0200183676689094E-11</v>
      </c>
      <c r="AX50" s="4">
        <v>0</v>
      </c>
      <c r="AZ50" s="3">
        <f t="shared" si="35"/>
        <v>6.1257422745431001E-13</v>
      </c>
      <c r="BA50" s="144" t="s">
        <v>54</v>
      </c>
      <c r="BB50" s="153">
        <v>0</v>
      </c>
      <c r="BC50" s="155"/>
      <c r="BD50" s="4">
        <v>36666.666666664547</v>
      </c>
      <c r="BK50" s="2"/>
      <c r="CW50" s="2"/>
    </row>
    <row r="51" spans="2:101" x14ac:dyDescent="0.2">
      <c r="E51" s="4"/>
      <c r="F51" s="4"/>
      <c r="L51" s="152">
        <v>0</v>
      </c>
      <c r="M51" s="152">
        <v>0</v>
      </c>
      <c r="N51" s="152">
        <v>0</v>
      </c>
      <c r="O51" s="152">
        <v>0</v>
      </c>
      <c r="P51" s="152">
        <v>0</v>
      </c>
      <c r="Q51" s="152">
        <f>N48</f>
        <v>1</v>
      </c>
      <c r="V51" s="152">
        <v>0</v>
      </c>
      <c r="W51" s="152">
        <v>0</v>
      </c>
      <c r="X51" s="152">
        <v>0</v>
      </c>
      <c r="Y51" s="152">
        <v>0</v>
      </c>
      <c r="Z51" s="152">
        <v>0</v>
      </c>
      <c r="AA51" s="152">
        <f>X48</f>
        <v>1</v>
      </c>
      <c r="AH51" s="8"/>
      <c r="AI51" s="8"/>
      <c r="AJ51" s="78">
        <v>9</v>
      </c>
      <c r="AK51" s="7">
        <f t="shared" si="23"/>
        <v>0</v>
      </c>
      <c r="AL51" s="7">
        <f t="shared" si="24"/>
        <v>0</v>
      </c>
      <c r="AM51" s="7">
        <f t="shared" si="25"/>
        <v>0</v>
      </c>
      <c r="AN51" s="7">
        <f t="shared" si="26"/>
        <v>0</v>
      </c>
      <c r="AO51" s="7">
        <f t="shared" si="27"/>
        <v>0</v>
      </c>
      <c r="AP51" s="7">
        <f t="shared" si="28"/>
        <v>0</v>
      </c>
      <c r="AQ51" s="20">
        <f t="shared" si="29"/>
        <v>-656250</v>
      </c>
      <c r="AR51" s="17">
        <f t="shared" si="30"/>
        <v>4.0200183676689094E-11</v>
      </c>
      <c r="AS51" s="17">
        <f t="shared" si="31"/>
        <v>1750000000</v>
      </c>
      <c r="AT51" s="17">
        <f t="shared" si="32"/>
        <v>656250</v>
      </c>
      <c r="AU51" s="17">
        <f t="shared" si="33"/>
        <v>-4.0200183676689094E-11</v>
      </c>
      <c r="AV51" s="17">
        <f t="shared" si="34"/>
        <v>875000000</v>
      </c>
      <c r="AX51" s="4" t="s">
        <v>44</v>
      </c>
      <c r="AZ51" s="3">
        <f t="shared" si="35"/>
        <v>6666666.666666667</v>
      </c>
      <c r="BB51" s="153" cm="1">
        <f t="array" ref="BB51:BB54">AV75:AV78</f>
        <v>-2.7444205424524807E-2</v>
      </c>
      <c r="BC51" s="154"/>
      <c r="BD51" s="156">
        <v>-9.3132257461547852E-9</v>
      </c>
      <c r="BK51" s="6"/>
      <c r="BL51" s="6"/>
      <c r="BM51" s="6"/>
      <c r="BN51" s="6"/>
      <c r="BO51" s="6"/>
      <c r="BP51" s="6"/>
      <c r="BR51" s="4"/>
      <c r="BT51" s="4"/>
      <c r="BV51" s="4"/>
      <c r="BY51" s="4"/>
    </row>
    <row r="52" spans="2:101" x14ac:dyDescent="0.2">
      <c r="Y52" s="4"/>
      <c r="Z52" s="4"/>
      <c r="AH52" s="10"/>
      <c r="AI52" s="10"/>
      <c r="AJ52" s="78">
        <v>10</v>
      </c>
      <c r="AK52" s="7">
        <f t="shared" si="23"/>
        <v>0</v>
      </c>
      <c r="AL52" s="7">
        <f t="shared" si="24"/>
        <v>0</v>
      </c>
      <c r="AM52" s="7">
        <f t="shared" si="25"/>
        <v>0</v>
      </c>
      <c r="AN52" s="19">
        <f t="shared" si="26"/>
        <v>-700000</v>
      </c>
      <c r="AO52" s="19">
        <f t="shared" si="27"/>
        <v>0</v>
      </c>
      <c r="AP52" s="19">
        <f t="shared" si="28"/>
        <v>0</v>
      </c>
      <c r="AQ52" s="20">
        <f t="shared" si="29"/>
        <v>-328.125</v>
      </c>
      <c r="AR52" s="17">
        <f t="shared" si="30"/>
        <v>-3.2140046849512931E-11</v>
      </c>
      <c r="AS52" s="17">
        <f t="shared" si="31"/>
        <v>656250</v>
      </c>
      <c r="AT52" s="21">
        <f t="shared" si="32"/>
        <v>700328.125</v>
      </c>
      <c r="AU52" s="21">
        <f t="shared" si="33"/>
        <v>3.2140046849512931E-11</v>
      </c>
      <c r="AV52" s="21">
        <f t="shared" si="34"/>
        <v>656250</v>
      </c>
      <c r="AX52" s="4" t="s">
        <v>45</v>
      </c>
      <c r="AZ52" s="3">
        <f t="shared" si="35"/>
        <v>-10000</v>
      </c>
      <c r="BB52" s="153">
        <v>81.907712924773207</v>
      </c>
      <c r="BC52" s="155"/>
      <c r="BD52" s="4">
        <v>1.597072696313262E-9</v>
      </c>
      <c r="BE52" s="16"/>
      <c r="BK52" s="6"/>
      <c r="BL52" s="6"/>
      <c r="BM52" s="6"/>
      <c r="BN52" s="6"/>
      <c r="BO52" s="6"/>
      <c r="BP52" s="6"/>
      <c r="BR52" s="4"/>
      <c r="BT52" s="4"/>
      <c r="BV52" s="4"/>
      <c r="BY52" s="4"/>
    </row>
    <row r="53" spans="2:101" x14ac:dyDescent="0.2">
      <c r="B53" s="2" t="s">
        <v>30</v>
      </c>
      <c r="I53" s="3"/>
      <c r="AH53" s="8"/>
      <c r="AI53" s="8"/>
      <c r="AJ53" s="78">
        <v>11</v>
      </c>
      <c r="AK53" s="7">
        <f t="shared" si="23"/>
        <v>0</v>
      </c>
      <c r="AL53" s="7">
        <f t="shared" si="24"/>
        <v>0</v>
      </c>
      <c r="AM53" s="7">
        <f t="shared" si="25"/>
        <v>0</v>
      </c>
      <c r="AN53" s="15">
        <f t="shared" si="26"/>
        <v>0</v>
      </c>
      <c r="AO53" s="15">
        <f t="shared" si="27"/>
        <v>-777.77777777777783</v>
      </c>
      <c r="AP53" s="19">
        <f t="shared" si="28"/>
        <v>-2333333.3333333335</v>
      </c>
      <c r="AQ53" s="17">
        <f t="shared" si="29"/>
        <v>-3.2140046849512931E-11</v>
      </c>
      <c r="AR53" s="17">
        <f t="shared" si="30"/>
        <v>-525000</v>
      </c>
      <c r="AS53" s="17">
        <f t="shared" si="31"/>
        <v>-4.0200183676689094E-11</v>
      </c>
      <c r="AT53" s="21">
        <f t="shared" si="32"/>
        <v>3.2140046849512931E-11</v>
      </c>
      <c r="AU53" s="21">
        <f t="shared" si="33"/>
        <v>525777.77777777775</v>
      </c>
      <c r="AV53" s="21">
        <f t="shared" si="34"/>
        <v>-2333333.3333333335</v>
      </c>
      <c r="AX53" s="4" t="s">
        <v>46</v>
      </c>
      <c r="AZ53" s="3">
        <f t="shared" si="35"/>
        <v>-30000</v>
      </c>
      <c r="BB53" s="153">
        <v>-6.9841269841270814E-2</v>
      </c>
      <c r="BC53" s="155"/>
      <c r="BD53" s="4">
        <v>0</v>
      </c>
      <c r="BE53" s="16"/>
      <c r="BK53" s="6"/>
      <c r="BL53" s="6"/>
      <c r="BM53" s="6"/>
      <c r="BN53" s="6"/>
      <c r="BO53" s="6"/>
      <c r="BP53" s="6"/>
      <c r="BQ53" s="4"/>
      <c r="BR53" s="4"/>
      <c r="BS53" s="4"/>
      <c r="BT53" s="4"/>
      <c r="BU53" s="4"/>
      <c r="BV53" s="4"/>
      <c r="BW53" s="4"/>
      <c r="BX53" s="4"/>
      <c r="BY53" s="4"/>
    </row>
    <row r="54" spans="2:101" x14ac:dyDescent="0.2">
      <c r="B54" s="152">
        <f>$C$5</f>
        <v>6.1257422745431001E-17</v>
      </c>
      <c r="C54" s="152">
        <f>-$E$5</f>
        <v>-1</v>
      </c>
      <c r="D54" s="152">
        <v>0</v>
      </c>
      <c r="E54" s="152">
        <v>0</v>
      </c>
      <c r="F54" s="152">
        <v>0</v>
      </c>
      <c r="G54" s="152">
        <v>0</v>
      </c>
      <c r="L54" s="2" t="s">
        <v>30</v>
      </c>
      <c r="V54" s="2" t="s">
        <v>30</v>
      </c>
      <c r="AB54" s="4"/>
      <c r="AH54" s="8"/>
      <c r="AI54" s="8"/>
      <c r="AJ54" s="78">
        <v>12</v>
      </c>
      <c r="AK54" s="7">
        <f t="shared" si="23"/>
        <v>0</v>
      </c>
      <c r="AL54" s="7">
        <f t="shared" si="24"/>
        <v>0</v>
      </c>
      <c r="AM54" s="7">
        <f t="shared" si="25"/>
        <v>0</v>
      </c>
      <c r="AN54" s="15">
        <f t="shared" si="26"/>
        <v>0</v>
      </c>
      <c r="AO54" s="15">
        <f t="shared" si="27"/>
        <v>2333333.3333333335</v>
      </c>
      <c r="AP54" s="19">
        <f t="shared" si="28"/>
        <v>4666666666.666667</v>
      </c>
      <c r="AQ54" s="17">
        <f t="shared" si="29"/>
        <v>-656250</v>
      </c>
      <c r="AR54" s="17">
        <f t="shared" si="30"/>
        <v>4.0200183676689094E-11</v>
      </c>
      <c r="AS54" s="17">
        <f t="shared" si="31"/>
        <v>875000000</v>
      </c>
      <c r="AT54" s="21">
        <f t="shared" si="32"/>
        <v>656250</v>
      </c>
      <c r="AU54" s="21">
        <f t="shared" si="33"/>
        <v>-2333333.3333333335</v>
      </c>
      <c r="AV54" s="21">
        <f t="shared" si="34"/>
        <v>11083333333.333334</v>
      </c>
      <c r="AX54" s="4" t="s">
        <v>47</v>
      </c>
      <c r="AZ54" s="3">
        <f t="shared" si="35"/>
        <v>23333333.333333332</v>
      </c>
      <c r="BB54" s="158">
        <v>1.0766737745173162E-3</v>
      </c>
      <c r="BC54" s="155"/>
      <c r="BD54" s="4">
        <v>0</v>
      </c>
      <c r="BE54" s="16"/>
      <c r="BK54" s="6"/>
      <c r="BL54" s="6"/>
      <c r="BM54" s="6"/>
      <c r="BN54" s="6"/>
      <c r="BO54" s="6"/>
      <c r="BP54" s="6"/>
      <c r="BR54" s="67"/>
      <c r="BT54" s="4"/>
      <c r="BV54" s="4"/>
      <c r="BY54" s="4"/>
    </row>
    <row r="55" spans="2:101" x14ac:dyDescent="0.2">
      <c r="B55" s="152">
        <f>$E$5</f>
        <v>1</v>
      </c>
      <c r="C55" s="152">
        <f>$C$5</f>
        <v>6.1257422745431001E-17</v>
      </c>
      <c r="D55" s="152">
        <v>0</v>
      </c>
      <c r="E55" s="152">
        <v>0</v>
      </c>
      <c r="F55" s="152">
        <v>0</v>
      </c>
      <c r="G55" s="152">
        <v>0</v>
      </c>
      <c r="L55" s="152">
        <f>$M$5</f>
        <v>1</v>
      </c>
      <c r="M55" s="152">
        <f>-$O$5</f>
        <v>0</v>
      </c>
      <c r="N55" s="152">
        <v>0</v>
      </c>
      <c r="O55" s="152">
        <v>0</v>
      </c>
      <c r="P55" s="152">
        <v>0</v>
      </c>
      <c r="Q55" s="152">
        <v>0</v>
      </c>
      <c r="V55" s="152">
        <f>$C$5</f>
        <v>6.1257422745431001E-17</v>
      </c>
      <c r="W55" s="152">
        <f>-$E$5</f>
        <v>-1</v>
      </c>
      <c r="X55" s="152">
        <v>0</v>
      </c>
      <c r="Y55" s="152">
        <v>0</v>
      </c>
      <c r="Z55" s="152">
        <v>0</v>
      </c>
      <c r="AA55" s="152">
        <v>0</v>
      </c>
      <c r="AB55" s="4"/>
      <c r="AH55" s="10"/>
      <c r="AI55" s="10"/>
      <c r="AZ55" s="12"/>
      <c r="BB55" s="153"/>
      <c r="BC55" s="155"/>
      <c r="BD55" s="155"/>
      <c r="BE55" s="16"/>
      <c r="BK55" s="6"/>
      <c r="BL55" s="6"/>
      <c r="BM55" s="6"/>
      <c r="BN55" s="6"/>
      <c r="BO55" s="6"/>
      <c r="BP55" s="6"/>
      <c r="BR55" s="67"/>
      <c r="BT55" s="4"/>
      <c r="BV55" s="4"/>
      <c r="BY55" s="4"/>
    </row>
    <row r="56" spans="2:101" x14ac:dyDescent="0.2">
      <c r="B56" s="152">
        <v>0</v>
      </c>
      <c r="C56" s="152">
        <v>0</v>
      </c>
      <c r="D56" s="152">
        <f>D47</f>
        <v>1</v>
      </c>
      <c r="E56" s="152">
        <v>0</v>
      </c>
      <c r="F56" s="152">
        <v>0</v>
      </c>
      <c r="G56" s="152">
        <v>0</v>
      </c>
      <c r="L56" s="152">
        <f>$O$5</f>
        <v>0</v>
      </c>
      <c r="M56" s="152">
        <f>$M$5</f>
        <v>1</v>
      </c>
      <c r="N56" s="152">
        <v>0</v>
      </c>
      <c r="O56" s="152">
        <v>0</v>
      </c>
      <c r="P56" s="152">
        <v>0</v>
      </c>
      <c r="Q56" s="152">
        <v>0</v>
      </c>
      <c r="V56" s="152">
        <f>$E$5</f>
        <v>1</v>
      </c>
      <c r="W56" s="152">
        <f>$C$5</f>
        <v>6.1257422745431001E-17</v>
      </c>
      <c r="X56" s="152">
        <v>0</v>
      </c>
      <c r="Y56" s="152">
        <v>0</v>
      </c>
      <c r="Z56" s="152">
        <v>0</v>
      </c>
      <c r="AA56" s="152">
        <v>0</v>
      </c>
      <c r="AB56" s="4"/>
      <c r="AH56" s="8"/>
      <c r="AI56" s="8"/>
      <c r="AZ56" s="12"/>
      <c r="BB56" s="153"/>
      <c r="BC56" s="80"/>
      <c r="BD56" s="80"/>
      <c r="BE56" s="16"/>
      <c r="BK56" s="6"/>
      <c r="BL56" s="6"/>
      <c r="BM56" s="6"/>
      <c r="BN56" s="6"/>
      <c r="BO56" s="6"/>
      <c r="BP56" s="6"/>
      <c r="BR56" s="67"/>
      <c r="BT56" s="4"/>
      <c r="BV56" s="4"/>
      <c r="BY56" s="4"/>
    </row>
    <row r="57" spans="2:101" x14ac:dyDescent="0.2">
      <c r="B57" s="152">
        <v>0</v>
      </c>
      <c r="C57" s="152">
        <v>0</v>
      </c>
      <c r="D57" s="152">
        <v>0</v>
      </c>
      <c r="E57" s="152">
        <f>$C$5</f>
        <v>6.1257422745431001E-17</v>
      </c>
      <c r="F57" s="152">
        <f>-$E$5</f>
        <v>-1</v>
      </c>
      <c r="G57" s="152">
        <v>0</v>
      </c>
      <c r="L57" s="152">
        <v>0</v>
      </c>
      <c r="M57" s="152">
        <v>0</v>
      </c>
      <c r="N57" s="152">
        <f>N48</f>
        <v>1</v>
      </c>
      <c r="O57" s="152">
        <v>0</v>
      </c>
      <c r="P57" s="152">
        <v>0</v>
      </c>
      <c r="Q57" s="152">
        <v>0</v>
      </c>
      <c r="V57" s="152">
        <v>0</v>
      </c>
      <c r="W57" s="152">
        <v>0</v>
      </c>
      <c r="X57" s="152">
        <f>X48</f>
        <v>1</v>
      </c>
      <c r="Y57" s="152">
        <v>0</v>
      </c>
      <c r="Z57" s="152">
        <v>0</v>
      </c>
      <c r="AA57" s="152">
        <v>0</v>
      </c>
      <c r="AB57" s="4"/>
      <c r="AZ57" s="12"/>
      <c r="BB57" s="4"/>
      <c r="BE57" s="16"/>
    </row>
    <row r="58" spans="2:101" x14ac:dyDescent="0.2">
      <c r="B58" s="152">
        <v>0</v>
      </c>
      <c r="C58" s="152">
        <v>0</v>
      </c>
      <c r="D58" s="152">
        <v>0</v>
      </c>
      <c r="E58" s="152">
        <f>$E$5</f>
        <v>1</v>
      </c>
      <c r="F58" s="152">
        <f>$C$5</f>
        <v>6.1257422745431001E-17</v>
      </c>
      <c r="G58" s="152">
        <v>0</v>
      </c>
      <c r="L58" s="152">
        <v>0</v>
      </c>
      <c r="M58" s="152">
        <v>0</v>
      </c>
      <c r="N58" s="152">
        <v>0</v>
      </c>
      <c r="O58" s="152">
        <f>$M$5</f>
        <v>1</v>
      </c>
      <c r="P58" s="152">
        <f>-$O$5</f>
        <v>0</v>
      </c>
      <c r="Q58" s="152">
        <v>0</v>
      </c>
      <c r="V58" s="152">
        <v>0</v>
      </c>
      <c r="W58" s="152">
        <v>0</v>
      </c>
      <c r="X58" s="152">
        <v>0</v>
      </c>
      <c r="Y58" s="152">
        <f>$C$5</f>
        <v>6.1257422745431001E-17</v>
      </c>
      <c r="Z58" s="152">
        <f>-$E$5</f>
        <v>-1</v>
      </c>
      <c r="AA58" s="152">
        <v>0</v>
      </c>
      <c r="AB58" s="4"/>
      <c r="AJ58" s="2" t="s">
        <v>48</v>
      </c>
      <c r="AY58" s="4"/>
      <c r="AZ58" s="12"/>
      <c r="BA58" s="4"/>
      <c r="BB58" s="12"/>
      <c r="BC58" s="28"/>
      <c r="BD58" s="28"/>
      <c r="BE58" s="12"/>
      <c r="BK58" s="2"/>
    </row>
    <row r="59" spans="2:101" x14ac:dyDescent="0.2">
      <c r="B59" s="152">
        <v>0</v>
      </c>
      <c r="C59" s="152">
        <v>0</v>
      </c>
      <c r="D59" s="152">
        <v>0</v>
      </c>
      <c r="E59" s="152">
        <v>0</v>
      </c>
      <c r="F59" s="152">
        <v>0</v>
      </c>
      <c r="G59" s="152">
        <f>D47</f>
        <v>1</v>
      </c>
      <c r="L59" s="152">
        <v>0</v>
      </c>
      <c r="M59" s="152">
        <v>0</v>
      </c>
      <c r="N59" s="152">
        <v>0</v>
      </c>
      <c r="O59" s="152">
        <f>$O$5</f>
        <v>0</v>
      </c>
      <c r="P59" s="152">
        <f>$M$5</f>
        <v>1</v>
      </c>
      <c r="Q59" s="152">
        <v>0</v>
      </c>
      <c r="V59" s="152">
        <v>0</v>
      </c>
      <c r="W59" s="152">
        <v>0</v>
      </c>
      <c r="X59" s="152">
        <v>0</v>
      </c>
      <c r="Y59" s="152">
        <f>$E$5</f>
        <v>1</v>
      </c>
      <c r="Z59" s="152">
        <f>$C$5</f>
        <v>6.1257422745431001E-17</v>
      </c>
      <c r="AA59" s="152">
        <v>0</v>
      </c>
      <c r="AB59" s="4"/>
      <c r="AJ59" s="9"/>
      <c r="AK59" s="9">
        <v>3</v>
      </c>
      <c r="AL59" s="9">
        <v>4</v>
      </c>
      <c r="AM59" s="9">
        <v>5</v>
      </c>
      <c r="AN59" s="9">
        <v>6</v>
      </c>
      <c r="AO59" s="9">
        <v>9</v>
      </c>
      <c r="AP59" s="9">
        <v>10</v>
      </c>
      <c r="AQ59" s="9">
        <v>11</v>
      </c>
      <c r="AR59" s="9">
        <v>12</v>
      </c>
      <c r="AS59" s="4" t="s">
        <v>1</v>
      </c>
      <c r="AT59" s="9" t="s">
        <v>39</v>
      </c>
      <c r="AU59" s="4" t="s">
        <v>49</v>
      </c>
      <c r="AV59" s="141" t="s">
        <v>50</v>
      </c>
      <c r="BB59" s="12"/>
      <c r="BE59" s="12"/>
      <c r="BK59" s="7"/>
      <c r="BL59" s="4"/>
      <c r="BM59" s="4"/>
      <c r="BN59" s="4"/>
      <c r="BO59" s="4"/>
      <c r="BP59" s="4"/>
      <c r="BR59" s="4"/>
      <c r="BT59" s="6"/>
      <c r="BV59" s="4"/>
      <c r="BY59" s="65"/>
      <c r="CA59" s="63"/>
    </row>
    <row r="60" spans="2:101" x14ac:dyDescent="0.2">
      <c r="L60" s="152">
        <v>0</v>
      </c>
      <c r="M60" s="152">
        <v>0</v>
      </c>
      <c r="N60" s="152">
        <v>0</v>
      </c>
      <c r="O60" s="152">
        <v>0</v>
      </c>
      <c r="P60" s="152">
        <v>0</v>
      </c>
      <c r="Q60" s="152">
        <f>N48</f>
        <v>1</v>
      </c>
      <c r="V60" s="152">
        <v>0</v>
      </c>
      <c r="W60" s="152">
        <v>0</v>
      </c>
      <c r="X60" s="152">
        <v>0</v>
      </c>
      <c r="Y60" s="152">
        <v>0</v>
      </c>
      <c r="Z60" s="152">
        <v>0</v>
      </c>
      <c r="AA60" s="152">
        <f>X48</f>
        <v>1</v>
      </c>
      <c r="AB60" s="4"/>
      <c r="AJ60" s="9">
        <v>3</v>
      </c>
      <c r="AK60" s="3" cm="1">
        <f t="array" ref="AK60:AN63">AM45:AP48</f>
        <v>1750000000</v>
      </c>
      <c r="AL60" s="3">
        <v>656250</v>
      </c>
      <c r="AM60" s="3">
        <v>-4.0200183676689094E-11</v>
      </c>
      <c r="AN60" s="3">
        <v>875000000</v>
      </c>
      <c r="AO60" s="3" cm="1">
        <f t="array" ref="AO60:AR63">AS45:AV48</f>
        <v>0</v>
      </c>
      <c r="AP60" s="3">
        <v>0</v>
      </c>
      <c r="AQ60" s="3">
        <v>0</v>
      </c>
      <c r="AR60" s="3">
        <v>0</v>
      </c>
      <c r="AS60" s="3"/>
      <c r="AT60" s="7" t="str">
        <f>AX45</f>
        <v>r13</v>
      </c>
      <c r="AV60" s="145" cm="1">
        <f t="array" ref="AV60:AV63">AZ45:AZ48</f>
        <v>-13333333.333333334</v>
      </c>
      <c r="BB60" s="12"/>
      <c r="BE60" s="12"/>
      <c r="BK60" s="7"/>
      <c r="BL60" s="4"/>
      <c r="BM60" s="4"/>
      <c r="BN60" s="4"/>
      <c r="BO60" s="4"/>
      <c r="BP60" s="4"/>
      <c r="BR60" s="4"/>
      <c r="BT60" s="6"/>
      <c r="BV60" s="4"/>
      <c r="BY60" s="65"/>
      <c r="CA60" s="63"/>
    </row>
    <row r="61" spans="2:101" x14ac:dyDescent="0.2">
      <c r="V61" s="4"/>
      <c r="AC61" s="4"/>
      <c r="AJ61" s="9">
        <v>4</v>
      </c>
      <c r="AK61" s="3">
        <v>656250</v>
      </c>
      <c r="AL61" s="3">
        <v>700328.125</v>
      </c>
      <c r="AM61" s="3">
        <v>3.2140046849512931E-11</v>
      </c>
      <c r="AN61" s="3">
        <v>656250</v>
      </c>
      <c r="AO61" s="3">
        <v>0</v>
      </c>
      <c r="AP61" s="3">
        <v>-700000</v>
      </c>
      <c r="AQ61" s="3">
        <v>0</v>
      </c>
      <c r="AR61" s="3">
        <v>0</v>
      </c>
      <c r="AS61" s="3"/>
      <c r="AT61" s="7" t="str">
        <f>AX46</f>
        <v>r21</v>
      </c>
      <c r="AV61" s="142">
        <v>20000</v>
      </c>
      <c r="BA61" s="4"/>
      <c r="BB61" s="12"/>
      <c r="BC61" s="4"/>
      <c r="BD61" s="4"/>
      <c r="BE61" s="12"/>
      <c r="BF61" s="4"/>
      <c r="BK61" s="7"/>
      <c r="BL61" s="4"/>
      <c r="BM61" s="4"/>
      <c r="BN61" s="4"/>
      <c r="BO61" s="4"/>
      <c r="BP61" s="4"/>
      <c r="BQ61" s="4"/>
      <c r="BR61" s="4"/>
      <c r="BS61" s="4"/>
      <c r="BT61" s="6"/>
      <c r="BU61" s="4"/>
      <c r="BV61" s="4"/>
      <c r="BW61" s="4"/>
      <c r="BX61" s="4"/>
      <c r="BY61" s="65"/>
      <c r="BZ61" s="4"/>
      <c r="CA61" s="63"/>
      <c r="CE61" s="45"/>
    </row>
    <row r="62" spans="2:101" x14ac:dyDescent="0.2">
      <c r="M62" s="1" t="s">
        <v>70</v>
      </c>
      <c r="N62" s="1" t="s">
        <v>66</v>
      </c>
      <c r="O62" s="1" t="s">
        <v>66</v>
      </c>
      <c r="W62" s="4"/>
      <c r="AD62" s="4"/>
      <c r="AJ62" s="9">
        <v>5</v>
      </c>
      <c r="AK62" s="3">
        <v>-4.0200183676689094E-11</v>
      </c>
      <c r="AL62" s="3">
        <v>3.2140046849512931E-11</v>
      </c>
      <c r="AM62" s="3">
        <v>525777.77777777775</v>
      </c>
      <c r="AN62" s="3">
        <v>2333333.3333333335</v>
      </c>
      <c r="AO62" s="3">
        <v>0</v>
      </c>
      <c r="AP62" s="3">
        <v>0</v>
      </c>
      <c r="AQ62" s="3">
        <v>-777.77777777777783</v>
      </c>
      <c r="AR62" s="3">
        <v>2333333.3333333335</v>
      </c>
      <c r="AS62" s="3"/>
      <c r="AT62" s="7" t="str">
        <f>AX47</f>
        <v>r22</v>
      </c>
      <c r="AV62" s="142">
        <v>-30000</v>
      </c>
      <c r="BB62" s="12"/>
      <c r="BE62" s="12"/>
      <c r="BK62" s="7"/>
      <c r="BL62" s="4"/>
      <c r="BM62" s="4"/>
      <c r="BN62" s="4"/>
      <c r="BO62" s="4"/>
      <c r="BP62" s="4"/>
      <c r="BR62" s="4"/>
      <c r="BT62" s="6"/>
      <c r="BV62" s="4"/>
      <c r="BY62" s="65"/>
      <c r="CA62" s="63"/>
    </row>
    <row r="63" spans="2:101" x14ac:dyDescent="0.2">
      <c r="I63" s="1" t="s">
        <v>71</v>
      </c>
      <c r="K63" s="1" t="s">
        <v>72</v>
      </c>
      <c r="M63" s="1" t="s">
        <v>69</v>
      </c>
      <c r="N63" s="1" t="s">
        <v>67</v>
      </c>
      <c r="O63" s="1" t="s">
        <v>68</v>
      </c>
      <c r="W63" s="4"/>
      <c r="AD63" s="4"/>
      <c r="AJ63" s="9">
        <v>6</v>
      </c>
      <c r="AK63" s="3">
        <v>875000000</v>
      </c>
      <c r="AL63" s="3">
        <v>656250</v>
      </c>
      <c r="AM63" s="3">
        <v>2333333.3333333335</v>
      </c>
      <c r="AN63" s="3">
        <v>11083333333.333334</v>
      </c>
      <c r="AO63" s="3">
        <v>0</v>
      </c>
      <c r="AP63" s="3">
        <v>0</v>
      </c>
      <c r="AQ63" s="3">
        <v>-2333333.3333333335</v>
      </c>
      <c r="AR63" s="3">
        <v>4666666666.666667</v>
      </c>
      <c r="AS63" s="3"/>
      <c r="AT63" s="7" t="str">
        <f>AX48</f>
        <v>r23</v>
      </c>
      <c r="AV63" s="142">
        <v>-16666666.666666666</v>
      </c>
      <c r="BB63" s="12"/>
      <c r="BE63" s="12"/>
      <c r="BK63" s="7"/>
      <c r="BL63" s="4"/>
      <c r="BM63" s="4"/>
      <c r="BN63" s="4"/>
      <c r="BO63" s="4"/>
      <c r="BP63" s="4"/>
      <c r="BR63" s="4"/>
      <c r="BT63" s="6"/>
      <c r="BV63" s="4"/>
      <c r="BY63" s="65"/>
      <c r="CA63" s="63"/>
    </row>
    <row r="64" spans="2:101" x14ac:dyDescent="0.2">
      <c r="H64" s="1" t="s">
        <v>79</v>
      </c>
      <c r="I64" s="150">
        <v>10000</v>
      </c>
      <c r="J64" s="1" t="s">
        <v>80</v>
      </c>
      <c r="K64" s="1" t="s">
        <v>74</v>
      </c>
      <c r="L64" s="3">
        <f>COS(RADIANS(I65-E4))*I64</f>
        <v>6.1257422745431001E-13</v>
      </c>
      <c r="M64" s="34" t="s">
        <v>63</v>
      </c>
      <c r="N64" s="27">
        <f>-I67/E6*L64</f>
        <v>-3.06287113727155E-13</v>
      </c>
      <c r="O64" s="27">
        <f>-I66/E6*L64</f>
        <v>-3.06287113727155E-13</v>
      </c>
      <c r="P64" s="1" t="s">
        <v>81</v>
      </c>
      <c r="AJ64" s="78">
        <v>9</v>
      </c>
      <c r="AK64" s="3" cm="1">
        <f t="array" ref="AK64:AN67">AM51:AP54</f>
        <v>0</v>
      </c>
      <c r="AL64" s="1">
        <v>0</v>
      </c>
      <c r="AM64" s="1">
        <v>0</v>
      </c>
      <c r="AN64" s="1">
        <v>0</v>
      </c>
      <c r="AO64" s="3" cm="1">
        <f t="array" ref="AO64:AR67">AS51:AV54</f>
        <v>1750000000</v>
      </c>
      <c r="AP64" s="1">
        <v>656250</v>
      </c>
      <c r="AQ64" s="1">
        <v>-4.0200183676689094E-11</v>
      </c>
      <c r="AR64" s="1">
        <v>875000000</v>
      </c>
      <c r="AS64" s="1" t="s">
        <v>1</v>
      </c>
      <c r="AT64" s="4" t="s">
        <v>44</v>
      </c>
      <c r="AV64" s="3" cm="1">
        <f t="array" ref="AV64:AV67">AZ51:AZ54</f>
        <v>6666666.666666667</v>
      </c>
      <c r="BR64" s="66"/>
    </row>
    <row r="65" spans="5:74" x14ac:dyDescent="0.2">
      <c r="H65" s="1" t="s">
        <v>59</v>
      </c>
      <c r="I65" s="150">
        <v>0</v>
      </c>
      <c r="J65" s="1" t="s">
        <v>0</v>
      </c>
      <c r="K65" s="1" t="s">
        <v>73</v>
      </c>
      <c r="L65" s="3">
        <f>SIN(RADIANS(I65-E4))*I64</f>
        <v>-10000</v>
      </c>
      <c r="M65" s="34" t="s">
        <v>64</v>
      </c>
      <c r="N65" s="27">
        <f>-1*I67^2*(3*I66+I67)/E6^3*L65</f>
        <v>5000</v>
      </c>
      <c r="O65" s="27">
        <f>-1*I66^2*(I66+3*I67)/E6^3*L65</f>
        <v>5000</v>
      </c>
      <c r="P65" s="1" t="s">
        <v>82</v>
      </c>
      <c r="AJ65" s="78">
        <v>10</v>
      </c>
      <c r="AK65" s="1">
        <v>0</v>
      </c>
      <c r="AL65" s="1">
        <v>-700000</v>
      </c>
      <c r="AM65" s="1">
        <v>0</v>
      </c>
      <c r="AN65" s="1">
        <v>0</v>
      </c>
      <c r="AO65" s="1">
        <v>656250</v>
      </c>
      <c r="AP65" s="1">
        <v>700328.125</v>
      </c>
      <c r="AQ65" s="1">
        <v>3.2140046849512931E-11</v>
      </c>
      <c r="AR65" s="1">
        <v>656250</v>
      </c>
      <c r="AT65" s="4" t="s">
        <v>45</v>
      </c>
      <c r="AV65" s="1">
        <v>-10000</v>
      </c>
      <c r="BR65" s="66"/>
    </row>
    <row r="66" spans="5:74" x14ac:dyDescent="0.2">
      <c r="H66" s="1" t="s">
        <v>77</v>
      </c>
      <c r="I66" s="150">
        <v>2000</v>
      </c>
      <c r="J66" s="1" t="s">
        <v>3</v>
      </c>
      <c r="M66" s="148" t="s">
        <v>65</v>
      </c>
      <c r="N66" s="27">
        <f>-1*I66*I67^2/E6^2*L65</f>
        <v>5000000</v>
      </c>
      <c r="O66" s="27">
        <f>I66^2*I67/E6^2*L65</f>
        <v>-5000000</v>
      </c>
      <c r="P66" s="1" t="s">
        <v>78</v>
      </c>
      <c r="AJ66" s="78">
        <v>11</v>
      </c>
      <c r="AK66" s="1">
        <v>0</v>
      </c>
      <c r="AL66" s="1">
        <v>0</v>
      </c>
      <c r="AM66" s="1">
        <v>-777.77777777777783</v>
      </c>
      <c r="AN66" s="1">
        <v>-2333333.3333333335</v>
      </c>
      <c r="AO66" s="1">
        <v>-4.0200183676689094E-11</v>
      </c>
      <c r="AP66" s="1">
        <v>3.2140046849512931E-11</v>
      </c>
      <c r="AQ66" s="1">
        <v>525777.77777777775</v>
      </c>
      <c r="AR66" s="1">
        <v>-2333333.3333333335</v>
      </c>
      <c r="AT66" s="4" t="s">
        <v>46</v>
      </c>
      <c r="AV66" s="1">
        <v>-30000</v>
      </c>
      <c r="BC66" s="29"/>
      <c r="BD66" s="29"/>
      <c r="BR66" s="66"/>
    </row>
    <row r="67" spans="5:74" x14ac:dyDescent="0.2">
      <c r="H67" s="1" t="s">
        <v>76</v>
      </c>
      <c r="I67" s="149">
        <f>E6-I66</f>
        <v>2000</v>
      </c>
      <c r="M67" s="34"/>
      <c r="AJ67" s="78">
        <v>12</v>
      </c>
      <c r="AK67" s="1">
        <v>0</v>
      </c>
      <c r="AL67" s="1">
        <v>0</v>
      </c>
      <c r="AM67" s="1">
        <v>2333333.3333333335</v>
      </c>
      <c r="AN67" s="1">
        <v>4666666666.666667</v>
      </c>
      <c r="AO67" s="1">
        <v>875000000</v>
      </c>
      <c r="AP67" s="1">
        <v>656250</v>
      </c>
      <c r="AQ67" s="1">
        <v>-2333333.3333333335</v>
      </c>
      <c r="AR67" s="1">
        <v>11083333333.333334</v>
      </c>
      <c r="AT67" s="4" t="s">
        <v>47</v>
      </c>
      <c r="AV67" s="1">
        <v>23333333.333333332</v>
      </c>
      <c r="BR67" s="66"/>
    </row>
    <row r="68" spans="5:74" x14ac:dyDescent="0.2">
      <c r="H68" s="1" t="s">
        <v>58</v>
      </c>
      <c r="M68" s="34" t="s">
        <v>63</v>
      </c>
      <c r="AJ68" s="9"/>
      <c r="AK68" s="9"/>
      <c r="AL68" s="9"/>
      <c r="AM68" s="9"/>
      <c r="AN68" s="9"/>
      <c r="AO68" s="9"/>
      <c r="AP68" s="9"/>
      <c r="AQ68" s="9"/>
      <c r="AR68" s="9"/>
      <c r="BR68" s="66"/>
    </row>
    <row r="69" spans="5:74" ht="12" customHeight="1" x14ac:dyDescent="0.2">
      <c r="H69" s="1" t="s">
        <v>60</v>
      </c>
      <c r="M69" s="34" t="s">
        <v>64</v>
      </c>
      <c r="N69" s="1">
        <f>6*I66*I67/E6^3*I64</f>
        <v>3.75</v>
      </c>
      <c r="O69" s="1">
        <f>-6*I66*I67/E6^3*I64</f>
        <v>-3.75</v>
      </c>
      <c r="BR69" s="66"/>
    </row>
    <row r="70" spans="5:74" x14ac:dyDescent="0.2">
      <c r="E70" s="26"/>
      <c r="M70" s="148" t="s">
        <v>65</v>
      </c>
      <c r="N70" s="1">
        <f>I67*(2*I66-I67)/E6^2*I64</f>
        <v>2500</v>
      </c>
      <c r="O70" s="1">
        <f>I66*(2*I67-I66)/E6^2*I64</f>
        <v>2500</v>
      </c>
      <c r="AG70" s="2"/>
      <c r="AH70" s="2"/>
      <c r="AJ70" s="9"/>
      <c r="AK70" s="9">
        <v>3</v>
      </c>
      <c r="AL70" s="9">
        <v>4</v>
      </c>
      <c r="AM70" s="9">
        <v>5</v>
      </c>
      <c r="AN70" s="9">
        <v>6</v>
      </c>
      <c r="AO70" s="9">
        <v>9</v>
      </c>
      <c r="AP70" s="9">
        <v>10</v>
      </c>
      <c r="AQ70" s="9">
        <v>11</v>
      </c>
      <c r="AR70" s="9">
        <v>12</v>
      </c>
      <c r="AS70" s="4" t="s">
        <v>1</v>
      </c>
      <c r="AT70" s="141" t="s">
        <v>50</v>
      </c>
      <c r="AU70" s="146" t="s">
        <v>49</v>
      </c>
      <c r="AV70" s="9" t="s">
        <v>39</v>
      </c>
    </row>
    <row r="71" spans="5:74" x14ac:dyDescent="0.2">
      <c r="AG71" s="2"/>
      <c r="AH71" s="2"/>
      <c r="AI71" s="2"/>
      <c r="AJ71" s="9">
        <v>3</v>
      </c>
      <c r="AK71" s="1">
        <f t="array" ref="AK71:AR78">MINVERSE(AK60:AR67)</f>
        <v>1.485340598131857E-9</v>
      </c>
      <c r="AL71" s="1">
        <v>-2.4291188322375727E-6</v>
      </c>
      <c r="AM71" s="1">
        <v>-3.1746031746004912E-10</v>
      </c>
      <c r="AN71" s="1">
        <v>-5.9849292283921501E-12</v>
      </c>
      <c r="AO71" s="1">
        <v>8.7201389922218198E-10</v>
      </c>
      <c r="AP71" s="1">
        <v>-2.4288705857505882E-6</v>
      </c>
      <c r="AQ71" s="1">
        <v>3.1746031746034778E-10</v>
      </c>
      <c r="AR71" s="1">
        <v>7.7625140868576821E-11</v>
      </c>
      <c r="AT71" s="3" cm="1">
        <f t="array" ref="AT71:AT74">AV60:AV63</f>
        <v>-13333333.333333334</v>
      </c>
      <c r="AV71" s="153" cm="1">
        <f t="array" ref="AV71:AV78">MMULT(AK71:AR78,AT71:AT78)</f>
        <v>-3.6373783993449142E-2</v>
      </c>
      <c r="AW71" s="1" t="s">
        <v>57</v>
      </c>
      <c r="AX71" s="1">
        <f>1000*AV71</f>
        <v>-36.373783993449145</v>
      </c>
      <c r="AY71" s="1" t="s">
        <v>55</v>
      </c>
    </row>
    <row r="72" spans="5:74" ht="12" customHeight="1" x14ac:dyDescent="0.2">
      <c r="H72" s="1" t="s">
        <v>62</v>
      </c>
      <c r="M72" s="34" t="s">
        <v>63</v>
      </c>
      <c r="AJ72" s="9">
        <v>4</v>
      </c>
      <c r="AK72" s="1">
        <v>-2.4291188322375723E-6</v>
      </c>
      <c r="AL72" s="3">
        <v>6.6687169148831986E-3</v>
      </c>
      <c r="AM72" s="3">
        <v>1.2698412698405332E-6</v>
      </c>
      <c r="AN72" s="1">
        <v>-1.4330002168725296E-7</v>
      </c>
      <c r="AO72" s="1">
        <v>-2.4288705857505873E-6</v>
      </c>
      <c r="AP72" s="1">
        <v>6.6680026618329271E-3</v>
      </c>
      <c r="AQ72" s="1">
        <v>-1.2698412698413532E-6</v>
      </c>
      <c r="AR72" s="1">
        <v>-1.4326082487351951E-7</v>
      </c>
      <c r="AT72" s="1">
        <v>20000</v>
      </c>
      <c r="AV72" s="153">
        <v>81.935673318570522</v>
      </c>
      <c r="AW72" s="1" t="s">
        <v>3</v>
      </c>
    </row>
    <row r="73" spans="5:74" ht="15" customHeight="1" x14ac:dyDescent="0.2">
      <c r="H73" s="1" t="s">
        <v>61</v>
      </c>
      <c r="M73" s="34" t="s">
        <v>64</v>
      </c>
      <c r="AJ73" s="9">
        <v>5</v>
      </c>
      <c r="AK73" s="1">
        <v>-3.1746031746013711E-10</v>
      </c>
      <c r="AL73" s="3">
        <v>1.2698412698411596E-6</v>
      </c>
      <c r="AM73" s="3">
        <v>1.9047619047619047E-6</v>
      </c>
      <c r="AN73" s="1">
        <v>-3.1746031746026796E-10</v>
      </c>
      <c r="AO73" s="1">
        <v>-3.174603174602724E-10</v>
      </c>
      <c r="AP73" s="1">
        <v>1.2698412698409161E-6</v>
      </c>
      <c r="AQ73" s="1">
        <v>-3.8064789415719652E-22</v>
      </c>
      <c r="AR73" s="1">
        <v>-3.1746031746016089E-10</v>
      </c>
      <c r="AT73" s="1">
        <v>-30000</v>
      </c>
      <c r="AV73" s="153">
        <v>-4.4444444444442371E-2</v>
      </c>
      <c r="AW73" s="1" t="s">
        <v>3</v>
      </c>
      <c r="BB73" s="4"/>
      <c r="BK73" s="2"/>
    </row>
    <row r="74" spans="5:74" x14ac:dyDescent="0.2">
      <c r="M74" s="148" t="s">
        <v>65</v>
      </c>
      <c r="AJ74" s="9">
        <v>6</v>
      </c>
      <c r="AK74" s="1">
        <v>-5.9849292283919748E-12</v>
      </c>
      <c r="AL74" s="1">
        <v>-1.4330002168725354E-7</v>
      </c>
      <c r="AM74" s="1">
        <v>-3.1746031746030166E-10</v>
      </c>
      <c r="AN74" s="1">
        <v>1.1944487472222402E-10</v>
      </c>
      <c r="AO74" s="1">
        <v>7.7625140868576614E-11</v>
      </c>
      <c r="AP74" s="1">
        <v>-1.4326082487351898E-7</v>
      </c>
      <c r="AQ74" s="1">
        <v>3.1746031746031929E-10</v>
      </c>
      <c r="AR74" s="1">
        <v>-4.780466308201401E-11</v>
      </c>
      <c r="AT74" s="1">
        <v>-16666666.666666666</v>
      </c>
      <c r="AV74" s="153">
        <v>-3.9422822401248706E-3</v>
      </c>
      <c r="AW74" s="1" t="s">
        <v>57</v>
      </c>
      <c r="AX74" s="1">
        <f>1000*AV74</f>
        <v>-3.9422822401248707</v>
      </c>
      <c r="AY74" s="1" t="s">
        <v>55</v>
      </c>
      <c r="AZ74" s="12"/>
      <c r="BB74" s="12"/>
      <c r="BE74" s="12"/>
      <c r="BK74" s="6"/>
      <c r="BL74" s="6"/>
      <c r="BM74" s="6"/>
      <c r="BN74" s="6"/>
      <c r="BO74" s="6"/>
      <c r="BP74" s="6"/>
      <c r="BR74" s="67"/>
      <c r="BT74" s="4"/>
      <c r="BV74" s="68"/>
    </row>
    <row r="75" spans="5:74" x14ac:dyDescent="0.2">
      <c r="G75" s="147"/>
      <c r="M75" s="34"/>
      <c r="AJ75" s="9">
        <v>9</v>
      </c>
      <c r="AK75" s="1">
        <v>8.7201389922218157E-10</v>
      </c>
      <c r="AL75" s="1">
        <v>-2.4288705857505873E-6</v>
      </c>
      <c r="AM75" s="1">
        <v>-3.1746031746004912E-10</v>
      </c>
      <c r="AN75" s="1">
        <v>7.7625140868576395E-11</v>
      </c>
      <c r="AO75" s="1">
        <v>1.4853405981318572E-9</v>
      </c>
      <c r="AP75" s="1">
        <v>-2.4291188322375736E-6</v>
      </c>
      <c r="AQ75" s="1">
        <v>3.1746031746034788E-10</v>
      </c>
      <c r="AR75" s="1">
        <v>-5.9849292283917535E-12</v>
      </c>
      <c r="AT75" s="3" cm="1">
        <f t="array" ref="AT75:AT78">_xlfn.ANCHORARRAY(AV64)</f>
        <v>6666666.666666667</v>
      </c>
      <c r="AV75" s="153">
        <v>-2.7444205424524807E-2</v>
      </c>
      <c r="AW75" s="1" t="s">
        <v>57</v>
      </c>
      <c r="AX75" s="1">
        <f>1000*AV75</f>
        <v>-27.444205424524807</v>
      </c>
      <c r="AY75" s="1" t="s">
        <v>55</v>
      </c>
      <c r="AZ75" s="12"/>
      <c r="BB75" s="12"/>
      <c r="BE75" s="12"/>
      <c r="BK75" s="6"/>
      <c r="BL75" s="6"/>
      <c r="BM75" s="6"/>
      <c r="BN75" s="6"/>
      <c r="BO75" s="6"/>
      <c r="BP75" s="6"/>
      <c r="BR75" s="67"/>
      <c r="BT75" s="4"/>
      <c r="BV75" s="68"/>
    </row>
    <row r="76" spans="5:74" x14ac:dyDescent="0.2">
      <c r="F76" s="1" t="s">
        <v>75</v>
      </c>
      <c r="M76" s="34"/>
      <c r="AJ76" s="9">
        <v>10</v>
      </c>
      <c r="AK76" s="1">
        <v>-2.4288705857505865E-6</v>
      </c>
      <c r="AL76" s="1">
        <v>6.6680026618329237E-3</v>
      </c>
      <c r="AM76" s="1">
        <v>1.2698412698405332E-6</v>
      </c>
      <c r="AN76" s="1">
        <v>-1.432608248735184E-7</v>
      </c>
      <c r="AO76" s="3">
        <v>-2.4291188322375727E-6</v>
      </c>
      <c r="AP76" s="1">
        <v>6.6687169148832003E-3</v>
      </c>
      <c r="AQ76" s="1">
        <v>-1.2698412698413532E-6</v>
      </c>
      <c r="AR76" s="1">
        <v>-1.4330002168725404E-7</v>
      </c>
      <c r="AT76" s="1">
        <v>-10000</v>
      </c>
      <c r="AV76" s="153">
        <v>81.907712924773207</v>
      </c>
      <c r="AW76" s="1" t="s">
        <v>3</v>
      </c>
      <c r="AZ76" s="12"/>
      <c r="BB76" s="12"/>
      <c r="BE76" s="12"/>
      <c r="BK76" s="6"/>
      <c r="BL76" s="6"/>
      <c r="BM76" s="6"/>
      <c r="BN76" s="6"/>
      <c r="BO76" s="6"/>
      <c r="BP76" s="6"/>
      <c r="BQ76" s="4"/>
      <c r="BR76" s="67"/>
      <c r="BS76" s="4"/>
      <c r="BT76" s="4"/>
      <c r="BU76" s="4"/>
      <c r="BV76" s="68"/>
    </row>
    <row r="77" spans="5:74" x14ac:dyDescent="0.2">
      <c r="M77" s="148"/>
      <c r="AJ77" s="9">
        <v>11</v>
      </c>
      <c r="AK77" s="1">
        <v>3.1746031746034638E-10</v>
      </c>
      <c r="AL77" s="1">
        <v>-1.2698412698413493E-6</v>
      </c>
      <c r="AM77" s="1">
        <v>6.2275328606048644E-23</v>
      </c>
      <c r="AN77" s="1">
        <v>3.1746031746031909E-10</v>
      </c>
      <c r="AO77" s="3">
        <v>3.1746031746034654E-10</v>
      </c>
      <c r="AP77" s="1">
        <v>-1.2698412698413498E-6</v>
      </c>
      <c r="AQ77" s="1">
        <v>1.9047619047619049E-6</v>
      </c>
      <c r="AR77" s="1">
        <v>3.1746031746031929E-10</v>
      </c>
      <c r="AT77" s="1">
        <v>-30000</v>
      </c>
      <c r="AV77" s="153">
        <v>-6.9841269841270814E-2</v>
      </c>
      <c r="AW77" s="1" t="s">
        <v>3</v>
      </c>
      <c r="AZ77" s="30"/>
      <c r="BB77" s="4"/>
      <c r="BE77" s="4"/>
      <c r="BK77" s="6"/>
      <c r="BL77" s="6"/>
      <c r="BM77" s="6"/>
      <c r="BN77" s="6"/>
      <c r="BO77" s="6"/>
      <c r="BP77" s="6"/>
      <c r="BR77" s="67"/>
      <c r="BT77" s="4"/>
      <c r="BV77" s="68"/>
    </row>
    <row r="78" spans="5:74" x14ac:dyDescent="0.2">
      <c r="AJ78" s="9">
        <v>12</v>
      </c>
      <c r="AK78" s="1">
        <v>7.7625140868576589E-11</v>
      </c>
      <c r="AL78" s="1">
        <v>-1.4326082487351892E-7</v>
      </c>
      <c r="AM78" s="1">
        <v>-3.1746031746030166E-10</v>
      </c>
      <c r="AN78" s="1">
        <v>-4.7804663082014004E-11</v>
      </c>
      <c r="AO78" s="1">
        <v>-5.9849292283919458E-12</v>
      </c>
      <c r="AP78" s="1">
        <v>-1.4330002168725351E-7</v>
      </c>
      <c r="AQ78" s="1">
        <v>3.1746031746031924E-10</v>
      </c>
      <c r="AR78" s="1">
        <v>1.1944487472222405E-10</v>
      </c>
      <c r="AT78" s="1">
        <v>23333333.333333332</v>
      </c>
      <c r="AV78" s="153">
        <v>1.0766737745173162E-3</v>
      </c>
      <c r="AW78" s="1" t="s">
        <v>57</v>
      </c>
      <c r="AX78" s="1">
        <f>1000*AV78</f>
        <v>1.0766737745173163</v>
      </c>
      <c r="AY78" s="1" t="s">
        <v>55</v>
      </c>
      <c r="AZ78" s="4"/>
      <c r="BB78" s="4"/>
      <c r="BE78" s="12"/>
      <c r="BK78" s="6"/>
      <c r="BL78" s="6"/>
      <c r="BM78" s="6"/>
      <c r="BN78" s="6"/>
      <c r="BO78" s="6"/>
      <c r="BP78" s="6"/>
      <c r="BR78" s="67"/>
      <c r="BT78" s="4"/>
      <c r="BV78" s="68"/>
    </row>
    <row r="79" spans="5:74" x14ac:dyDescent="0.2">
      <c r="AJ79" s="9"/>
      <c r="AK79" s="9"/>
      <c r="AL79" s="9"/>
      <c r="AM79" s="9"/>
      <c r="AN79" s="9"/>
      <c r="AO79" s="9"/>
      <c r="AP79" s="9"/>
      <c r="AQ79" s="9"/>
      <c r="AR79" s="9"/>
      <c r="AY79" s="4"/>
      <c r="AZ79" s="30"/>
      <c r="BA79" s="4"/>
      <c r="BB79" s="4"/>
      <c r="BC79" s="28"/>
      <c r="BD79" s="28"/>
      <c r="BE79" s="12"/>
      <c r="BK79" s="6"/>
      <c r="BL79" s="6"/>
      <c r="BM79" s="6"/>
      <c r="BN79" s="6"/>
      <c r="BO79" s="6"/>
      <c r="BP79" s="6"/>
      <c r="BR79" s="67"/>
      <c r="BT79" s="4"/>
      <c r="BV79" s="68"/>
    </row>
    <row r="80" spans="5:74" x14ac:dyDescent="0.2">
      <c r="AY80" s="4"/>
      <c r="AZ80" s="30"/>
      <c r="BA80" s="4"/>
      <c r="BB80" s="4"/>
      <c r="BC80" s="28"/>
      <c r="BD80" s="28"/>
      <c r="BE80" s="12"/>
    </row>
    <row r="81" spans="36:83" x14ac:dyDescent="0.2">
      <c r="AZ81" s="4"/>
      <c r="BB81" s="12"/>
      <c r="BE81" s="12"/>
      <c r="BK81" s="2"/>
    </row>
    <row r="82" spans="36:83" x14ac:dyDescent="0.2">
      <c r="AZ82" s="4"/>
      <c r="BB82" s="12"/>
      <c r="BE82" s="12"/>
      <c r="BK82" s="7"/>
      <c r="BL82" s="7"/>
      <c r="BM82" s="7"/>
      <c r="BN82" s="7"/>
      <c r="BO82" s="7"/>
      <c r="BP82" s="7"/>
      <c r="BR82" s="67"/>
      <c r="BT82" s="6"/>
      <c r="BV82" s="4"/>
      <c r="BY82" s="65"/>
      <c r="CA82" s="63"/>
    </row>
    <row r="83" spans="36:83" x14ac:dyDescent="0.2">
      <c r="AJ83" s="1" t="s">
        <v>105</v>
      </c>
      <c r="AZ83" s="12"/>
      <c r="BB83" s="12"/>
      <c r="BE83" s="12"/>
      <c r="BK83" s="7"/>
      <c r="BL83" s="7"/>
      <c r="BM83" s="7"/>
      <c r="BN83" s="7"/>
      <c r="BO83" s="7"/>
      <c r="BP83" s="7"/>
      <c r="BR83" s="67"/>
      <c r="BT83" s="7"/>
      <c r="BV83" s="4"/>
      <c r="BY83" s="65"/>
      <c r="CA83" s="63"/>
      <c r="CE83" s="45"/>
    </row>
    <row r="84" spans="36:83" ht="12" customHeight="1" x14ac:dyDescent="0.2">
      <c r="AJ84" s="1" t="s">
        <v>108</v>
      </c>
      <c r="AT84" s="161" t="s">
        <v>104</v>
      </c>
      <c r="AZ84" s="12"/>
      <c r="BB84" s="12"/>
      <c r="BE84" s="12"/>
      <c r="BK84" s="7"/>
      <c r="BL84" s="7"/>
      <c r="BM84" s="7"/>
      <c r="BN84" s="7"/>
      <c r="BO84" s="7"/>
      <c r="BP84" s="7"/>
      <c r="BQ84" s="4"/>
      <c r="BR84" s="67"/>
      <c r="BS84" s="4"/>
      <c r="BT84" s="7"/>
      <c r="BU84" s="4"/>
      <c r="BV84" s="4"/>
      <c r="BW84" s="4"/>
      <c r="BX84" s="4"/>
      <c r="BY84" s="65"/>
      <c r="BZ84" s="4"/>
      <c r="CA84" s="63"/>
    </row>
    <row r="85" spans="36:83" x14ac:dyDescent="0.2">
      <c r="AJ85" s="9"/>
      <c r="AK85" s="9">
        <v>1</v>
      </c>
      <c r="AL85" s="9">
        <v>2</v>
      </c>
      <c r="AM85" s="9">
        <v>3</v>
      </c>
      <c r="AN85" s="9">
        <v>4</v>
      </c>
      <c r="AO85" s="9">
        <v>5</v>
      </c>
      <c r="AP85" s="9">
        <v>6</v>
      </c>
      <c r="AQ85" s="4" t="s">
        <v>1</v>
      </c>
      <c r="AR85" s="9" t="s">
        <v>103</v>
      </c>
      <c r="AS85" s="4" t="s">
        <v>107</v>
      </c>
      <c r="AT85" s="161"/>
      <c r="AU85" s="4" t="s">
        <v>49</v>
      </c>
      <c r="AV85" s="9" t="s">
        <v>106</v>
      </c>
      <c r="AZ85" s="4"/>
      <c r="BB85" s="4"/>
      <c r="BE85" s="12"/>
      <c r="BK85" s="7"/>
      <c r="BL85" s="7"/>
      <c r="BM85" s="7"/>
      <c r="BN85" s="7"/>
      <c r="BO85" s="7"/>
      <c r="BP85" s="7"/>
      <c r="BR85" s="67"/>
      <c r="BT85" s="6"/>
      <c r="BV85" s="4"/>
      <c r="BY85" s="65"/>
      <c r="CA85" s="63"/>
    </row>
    <row r="86" spans="36:83" x14ac:dyDescent="0.2">
      <c r="AJ86" s="9">
        <v>1</v>
      </c>
      <c r="AK86" s="3">
        <f>B28</f>
        <v>525000</v>
      </c>
      <c r="AL86" s="3">
        <f t="shared" ref="AL86:AP86" si="36">C28</f>
        <v>0</v>
      </c>
      <c r="AM86" s="3">
        <f t="shared" si="36"/>
        <v>0</v>
      </c>
      <c r="AN86" s="3">
        <f t="shared" si="36"/>
        <v>-525000</v>
      </c>
      <c r="AO86" s="3">
        <f t="shared" si="36"/>
        <v>0</v>
      </c>
      <c r="AP86" s="3">
        <f t="shared" si="36"/>
        <v>0</v>
      </c>
      <c r="AR86" s="1" cm="1">
        <f t="array" ref="AR86:AR91">MMULT(B45:G50,BB43:BB48)</f>
        <v>0</v>
      </c>
      <c r="AT86" s="3">
        <f>I28</f>
        <v>0</v>
      </c>
      <c r="AV86" s="3" cm="1">
        <f t="array" ref="AV86:AV91">MMULT(AK86:AP91,_xlfn.ANCHORARRAY(AR86))-AT86:AT91</f>
        <v>23333.33333332961</v>
      </c>
      <c r="AZ86" s="4"/>
      <c r="BB86" s="4"/>
      <c r="BE86" s="12"/>
      <c r="BK86" s="7"/>
      <c r="BL86" s="7"/>
      <c r="BM86" s="7"/>
      <c r="BN86" s="7"/>
      <c r="BO86" s="7"/>
      <c r="BP86" s="7"/>
      <c r="BR86" s="67"/>
      <c r="BT86" s="7"/>
      <c r="BV86" s="4"/>
      <c r="BY86" s="65"/>
      <c r="CA86" s="63"/>
    </row>
    <row r="87" spans="36:83" x14ac:dyDescent="0.2">
      <c r="AJ87" s="9">
        <v>2</v>
      </c>
      <c r="AK87" s="3">
        <f t="shared" ref="AK87:AK91" si="37">B29</f>
        <v>0</v>
      </c>
      <c r="AL87" s="3">
        <f t="shared" ref="AL87:AL91" si="38">C29</f>
        <v>328.125</v>
      </c>
      <c r="AM87" s="3">
        <f t="shared" ref="AM87:AM91" si="39">D29</f>
        <v>656250</v>
      </c>
      <c r="AN87" s="3">
        <f t="shared" ref="AN87:AN91" si="40">E29</f>
        <v>0</v>
      </c>
      <c r="AO87" s="3">
        <f t="shared" ref="AO87:AO91" si="41">F29</f>
        <v>-328.125</v>
      </c>
      <c r="AP87" s="3">
        <f t="shared" ref="AP87:AP91" si="42">G29</f>
        <v>656250</v>
      </c>
      <c r="AR87" s="1">
        <v>0</v>
      </c>
      <c r="AT87" s="3">
        <f t="shared" ref="AT87:AT91" si="43">I29</f>
        <v>-20000</v>
      </c>
      <c r="AV87" s="1">
        <v>20427.72434187301</v>
      </c>
      <c r="AZ87" s="4"/>
      <c r="BB87" s="4"/>
      <c r="BE87" s="12"/>
      <c r="BK87" s="7"/>
      <c r="BL87" s="7"/>
      <c r="BM87" s="7"/>
      <c r="BN87" s="7"/>
      <c r="BO87" s="7"/>
      <c r="BP87" s="7"/>
      <c r="BR87" s="67"/>
      <c r="BT87" s="7"/>
      <c r="BV87" s="4"/>
      <c r="BY87" s="65"/>
      <c r="CA87" s="63"/>
    </row>
    <row r="88" spans="36:83" x14ac:dyDescent="0.2">
      <c r="AJ88" s="9">
        <v>3</v>
      </c>
      <c r="AK88" s="3">
        <f t="shared" si="37"/>
        <v>0</v>
      </c>
      <c r="AL88" s="3">
        <f t="shared" si="38"/>
        <v>656250</v>
      </c>
      <c r="AM88" s="3">
        <f t="shared" si="39"/>
        <v>1750000000</v>
      </c>
      <c r="AN88" s="3">
        <f t="shared" si="40"/>
        <v>0</v>
      </c>
      <c r="AO88" s="3">
        <f t="shared" si="41"/>
        <v>-656250</v>
      </c>
      <c r="AP88" s="3">
        <f t="shared" si="42"/>
        <v>875000000</v>
      </c>
      <c r="AR88" s="1">
        <v>-3.6373783993449142E-2</v>
      </c>
      <c r="AT88" s="3">
        <f t="shared" si="43"/>
        <v>-13333333.333333334</v>
      </c>
      <c r="AV88" s="1">
        <v>-2.2351741790771484E-8</v>
      </c>
    </row>
    <row r="89" spans="36:83" x14ac:dyDescent="0.2">
      <c r="AJ89" s="9">
        <v>4</v>
      </c>
      <c r="AK89" s="3">
        <f t="shared" si="37"/>
        <v>-525000</v>
      </c>
      <c r="AL89" s="3">
        <f t="shared" si="38"/>
        <v>0</v>
      </c>
      <c r="AM89" s="3">
        <f t="shared" si="39"/>
        <v>0</v>
      </c>
      <c r="AN89" s="3">
        <f t="shared" si="40"/>
        <v>525000</v>
      </c>
      <c r="AO89" s="3">
        <f t="shared" si="41"/>
        <v>0</v>
      </c>
      <c r="AP89" s="3">
        <f t="shared" si="42"/>
        <v>0</v>
      </c>
      <c r="AR89" s="1">
        <v>-4.4444444444437355E-2</v>
      </c>
      <c r="AT89" s="3">
        <f t="shared" si="43"/>
        <v>0</v>
      </c>
      <c r="AV89" s="1">
        <v>-23333.33333332961</v>
      </c>
    </row>
    <row r="90" spans="36:83" x14ac:dyDescent="0.2">
      <c r="AJ90" s="9">
        <v>5</v>
      </c>
      <c r="AK90" s="3">
        <f t="shared" si="37"/>
        <v>0</v>
      </c>
      <c r="AL90" s="3">
        <f t="shared" si="38"/>
        <v>-328.125</v>
      </c>
      <c r="AM90" s="3">
        <f t="shared" si="39"/>
        <v>-656250</v>
      </c>
      <c r="AN90" s="3">
        <f t="shared" si="40"/>
        <v>0</v>
      </c>
      <c r="AO90" s="3">
        <f t="shared" si="41"/>
        <v>328.125</v>
      </c>
      <c r="AP90" s="3">
        <f t="shared" si="42"/>
        <v>-656250</v>
      </c>
      <c r="AR90" s="1">
        <v>-81.935673318570522</v>
      </c>
      <c r="AT90" s="3">
        <f t="shared" si="43"/>
        <v>-20000</v>
      </c>
      <c r="AV90" s="1">
        <v>19572.27565812699</v>
      </c>
    </row>
    <row r="91" spans="36:83" x14ac:dyDescent="0.2">
      <c r="AJ91" s="9">
        <v>6</v>
      </c>
      <c r="AK91" s="3">
        <f t="shared" si="37"/>
        <v>0</v>
      </c>
      <c r="AL91" s="3">
        <f t="shared" si="38"/>
        <v>656250</v>
      </c>
      <c r="AM91" s="3">
        <f t="shared" si="39"/>
        <v>875000000</v>
      </c>
      <c r="AN91" s="3">
        <f t="shared" si="40"/>
        <v>0</v>
      </c>
      <c r="AO91" s="3">
        <f t="shared" si="41"/>
        <v>-656250</v>
      </c>
      <c r="AP91" s="3">
        <f t="shared" si="42"/>
        <v>1750000000</v>
      </c>
      <c r="AR91" s="1">
        <v>-3.9422822401248706E-3</v>
      </c>
      <c r="AT91" s="3">
        <f t="shared" si="43"/>
        <v>13333333.333333334</v>
      </c>
      <c r="AV91" s="1">
        <v>1710897.3674920481</v>
      </c>
    </row>
    <row r="94" spans="36:83" x14ac:dyDescent="0.2">
      <c r="BC94" s="29"/>
      <c r="BD94" s="29"/>
    </row>
    <row r="101" spans="23:79" x14ac:dyDescent="0.2">
      <c r="BB101" s="4"/>
    </row>
    <row r="102" spans="23:79" x14ac:dyDescent="0.2">
      <c r="AZ102" s="12"/>
      <c r="BB102" s="12"/>
      <c r="BE102" s="12"/>
      <c r="BK102" s="2"/>
    </row>
    <row r="103" spans="23:79" x14ac:dyDescent="0.2">
      <c r="AZ103" s="12"/>
      <c r="BB103" s="12"/>
      <c r="BE103" s="12"/>
      <c r="BK103" s="6"/>
      <c r="BL103" s="6"/>
      <c r="BM103" s="6"/>
      <c r="BN103" s="6"/>
      <c r="BO103" s="6"/>
      <c r="BP103" s="6"/>
      <c r="BR103" s="4"/>
      <c r="BT103" s="4"/>
      <c r="BV103" s="4"/>
      <c r="BY103" s="4"/>
    </row>
    <row r="104" spans="23:79" x14ac:dyDescent="0.2">
      <c r="W104" s="7"/>
      <c r="X104" s="4"/>
      <c r="Y104" s="4"/>
      <c r="Z104" s="4"/>
      <c r="AA104" s="4"/>
      <c r="AB104" s="4"/>
      <c r="AC104" s="4"/>
      <c r="AD104" s="4"/>
      <c r="AE104" s="4"/>
      <c r="AF104" s="4"/>
      <c r="AZ104" s="12"/>
      <c r="BB104" s="12"/>
      <c r="BE104" s="12"/>
      <c r="BK104" s="6"/>
      <c r="BL104" s="6"/>
      <c r="BM104" s="6"/>
      <c r="BN104" s="6"/>
      <c r="BO104" s="6"/>
      <c r="BP104" s="6"/>
      <c r="BR104" s="4"/>
      <c r="BT104" s="4"/>
      <c r="BV104" s="4"/>
      <c r="BY104" s="4"/>
    </row>
    <row r="105" spans="23:79" x14ac:dyDescent="0.2">
      <c r="W105" s="4"/>
      <c r="X105" s="7"/>
      <c r="Y105" s="4"/>
      <c r="Z105" s="4"/>
      <c r="AA105" s="4"/>
      <c r="AB105" s="4"/>
      <c r="AC105" s="4"/>
      <c r="AD105" s="4"/>
      <c r="AE105" s="7"/>
      <c r="AF105" s="4"/>
      <c r="AZ105" s="30"/>
      <c r="BB105" s="4"/>
      <c r="BE105" s="4"/>
      <c r="BK105" s="6"/>
      <c r="BL105" s="6"/>
      <c r="BM105" s="6"/>
      <c r="BN105" s="6"/>
      <c r="BO105" s="6"/>
      <c r="BP105" s="6"/>
      <c r="BQ105" s="4"/>
      <c r="BR105" s="4"/>
      <c r="BS105" s="4"/>
      <c r="BT105" s="4"/>
      <c r="BU105" s="4"/>
      <c r="BV105" s="4"/>
      <c r="BW105" s="4"/>
      <c r="BX105" s="4"/>
      <c r="BY105" s="4"/>
    </row>
    <row r="106" spans="23:79" x14ac:dyDescent="0.2">
      <c r="W106" s="4"/>
      <c r="X106" s="4"/>
      <c r="Y106" s="7"/>
      <c r="Z106" s="4"/>
      <c r="AA106" s="7"/>
      <c r="AB106" s="4"/>
      <c r="AC106" s="4"/>
      <c r="AD106" s="4"/>
      <c r="AE106" s="4"/>
      <c r="AF106" s="7"/>
      <c r="AZ106" s="4"/>
      <c r="BB106" s="4"/>
      <c r="BE106" s="4"/>
      <c r="BK106" s="6"/>
      <c r="BL106" s="6"/>
      <c r="BM106" s="6"/>
      <c r="BN106" s="6"/>
      <c r="BO106" s="6"/>
      <c r="BP106" s="6"/>
      <c r="BR106" s="67"/>
      <c r="BT106" s="4"/>
      <c r="BV106" s="4"/>
      <c r="BY106" s="4"/>
    </row>
    <row r="107" spans="23:79" x14ac:dyDescent="0.2"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Z107" s="12"/>
      <c r="BB107" s="12"/>
      <c r="BE107" s="12"/>
      <c r="BK107" s="6"/>
      <c r="BL107" s="6"/>
      <c r="BM107" s="6"/>
      <c r="BN107" s="6"/>
      <c r="BO107" s="6"/>
      <c r="BP107" s="6"/>
      <c r="BR107" s="67"/>
      <c r="BT107" s="4"/>
      <c r="BV107" s="4"/>
      <c r="BY107" s="4"/>
    </row>
    <row r="108" spans="23:79" x14ac:dyDescent="0.2">
      <c r="W108" s="4"/>
      <c r="X108" s="4"/>
      <c r="Y108" s="7"/>
      <c r="Z108" s="4"/>
      <c r="AA108" s="7"/>
      <c r="AB108" s="4"/>
      <c r="AC108" s="4"/>
      <c r="AD108" s="4"/>
      <c r="AE108" s="4"/>
      <c r="AF108" s="7"/>
      <c r="AZ108" s="4"/>
      <c r="BB108" s="12"/>
      <c r="BE108" s="31"/>
      <c r="BK108" s="6"/>
      <c r="BL108" s="6"/>
      <c r="BM108" s="6"/>
      <c r="BN108" s="6"/>
      <c r="BO108" s="6"/>
      <c r="BP108" s="6"/>
      <c r="BR108" s="67"/>
      <c r="BT108" s="4"/>
      <c r="BV108" s="4"/>
      <c r="BY108" s="4"/>
    </row>
    <row r="109" spans="23:79" x14ac:dyDescent="0.2"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Z109" s="4"/>
      <c r="BB109" s="12"/>
      <c r="BE109" s="31"/>
    </row>
    <row r="110" spans="23:79" x14ac:dyDescent="0.2"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Z110" s="12"/>
      <c r="BB110" s="12"/>
      <c r="BE110" s="31"/>
      <c r="BK110" s="2"/>
    </row>
    <row r="111" spans="23:79" x14ac:dyDescent="0.2"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Z111" s="12"/>
      <c r="BB111" s="7"/>
      <c r="BE111" s="31"/>
      <c r="BK111" s="7"/>
      <c r="BL111" s="7"/>
      <c r="BM111" s="7"/>
      <c r="BN111" s="7"/>
      <c r="BO111" s="7"/>
      <c r="BP111" s="7"/>
      <c r="BR111" s="4"/>
      <c r="BT111" s="6"/>
      <c r="BV111" s="4"/>
      <c r="BY111" s="65"/>
      <c r="CA111" s="63"/>
    </row>
    <row r="112" spans="23:79" x14ac:dyDescent="0.2">
      <c r="W112" s="4"/>
      <c r="X112" s="7"/>
      <c r="Y112" s="4"/>
      <c r="Z112" s="4"/>
      <c r="AA112" s="4"/>
      <c r="AB112" s="4"/>
      <c r="AC112" s="4"/>
      <c r="AD112" s="4"/>
      <c r="AE112" s="7"/>
      <c r="AF112" s="4"/>
      <c r="AZ112" s="12"/>
      <c r="BB112" s="7"/>
      <c r="BE112" s="31"/>
      <c r="BK112" s="7"/>
      <c r="BL112" s="7"/>
      <c r="BM112" s="7"/>
      <c r="BN112" s="7"/>
      <c r="BO112" s="7"/>
      <c r="BP112" s="7"/>
      <c r="BR112" s="4"/>
      <c r="BT112" s="6"/>
      <c r="BV112" s="4"/>
      <c r="BY112" s="65"/>
      <c r="CA112" s="63"/>
    </row>
    <row r="113" spans="2:79" x14ac:dyDescent="0.2">
      <c r="W113" s="4"/>
      <c r="X113" s="4"/>
      <c r="Y113" s="7"/>
      <c r="Z113" s="4"/>
      <c r="AA113" s="7"/>
      <c r="AB113" s="4"/>
      <c r="AC113" s="4"/>
      <c r="AD113" s="4"/>
      <c r="AE113" s="4"/>
      <c r="AF113" s="7"/>
      <c r="AZ113" s="4"/>
      <c r="BB113" s="4"/>
      <c r="BE113" s="31"/>
      <c r="BK113" s="7"/>
      <c r="BL113" s="7"/>
      <c r="BM113" s="7"/>
      <c r="BN113" s="7"/>
      <c r="BO113" s="7"/>
      <c r="BP113" s="7"/>
      <c r="BQ113" s="4"/>
      <c r="BR113" s="4"/>
      <c r="BS113" s="4"/>
      <c r="BT113" s="6"/>
      <c r="BU113" s="4"/>
      <c r="BV113" s="4"/>
      <c r="BW113" s="4"/>
      <c r="BX113" s="4"/>
      <c r="BY113" s="65"/>
      <c r="BZ113" s="4"/>
      <c r="CA113" s="63"/>
    </row>
    <row r="114" spans="2:79" x14ac:dyDescent="0.2"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Z114" s="4"/>
      <c r="BB114" s="4"/>
      <c r="BE114" s="31"/>
      <c r="BK114" s="7"/>
      <c r="BL114" s="7"/>
      <c r="BM114" s="7"/>
      <c r="BN114" s="7"/>
      <c r="BO114" s="7"/>
      <c r="BP114" s="7"/>
      <c r="BR114" s="4"/>
      <c r="BT114" s="6"/>
      <c r="BV114" s="4"/>
      <c r="BY114" s="65"/>
      <c r="CA114" s="63"/>
    </row>
    <row r="115" spans="2:79" x14ac:dyDescent="0.2">
      <c r="W115" s="4"/>
      <c r="X115" s="4"/>
      <c r="Y115" s="7"/>
      <c r="Z115" s="4"/>
      <c r="AA115" s="7"/>
      <c r="AB115" s="4"/>
      <c r="AC115" s="4"/>
      <c r="AD115" s="4"/>
      <c r="AE115" s="4"/>
      <c r="AF115" s="7"/>
      <c r="AZ115" s="4"/>
      <c r="BB115" s="4"/>
      <c r="BE115" s="4"/>
      <c r="BK115" s="7"/>
      <c r="BL115" s="7"/>
      <c r="BM115" s="7"/>
      <c r="BN115" s="7"/>
      <c r="BO115" s="7"/>
      <c r="BP115" s="7"/>
      <c r="BR115" s="4"/>
      <c r="BT115" s="6"/>
      <c r="BV115" s="4"/>
      <c r="BY115" s="65"/>
      <c r="CA115" s="63"/>
    </row>
    <row r="116" spans="2:79" x14ac:dyDescent="0.2">
      <c r="BK116" s="7"/>
      <c r="BL116" s="7"/>
      <c r="BM116" s="7"/>
      <c r="BN116" s="7"/>
      <c r="BO116" s="7"/>
      <c r="BP116" s="7"/>
      <c r="BR116" s="4"/>
      <c r="BT116" s="6"/>
      <c r="BV116" s="4"/>
      <c r="BY116" s="65"/>
      <c r="CA116" s="63"/>
    </row>
    <row r="118" spans="2:79" x14ac:dyDescent="0.2">
      <c r="B118" s="2"/>
      <c r="AF118" s="2"/>
    </row>
    <row r="119" spans="2:79" x14ac:dyDescent="0.2">
      <c r="E119" s="26"/>
      <c r="F119" s="25"/>
      <c r="V119" s="4"/>
    </row>
    <row r="120" spans="2:79" x14ac:dyDescent="0.2">
      <c r="E120" s="26"/>
      <c r="F120" s="25"/>
      <c r="V120" s="4"/>
      <c r="AW120" s="4"/>
      <c r="AX120" s="4"/>
    </row>
    <row r="121" spans="2:79" x14ac:dyDescent="0.2">
      <c r="E121" s="26"/>
      <c r="F121" s="25"/>
      <c r="V121" s="4"/>
      <c r="AW121" s="7"/>
      <c r="AX121" s="7"/>
      <c r="AZ121" s="12"/>
      <c r="BB121" s="12"/>
      <c r="BE121" s="31"/>
    </row>
    <row r="122" spans="2:79" x14ac:dyDescent="0.2">
      <c r="V122" s="4"/>
      <c r="AW122" s="7"/>
      <c r="AX122" s="7"/>
      <c r="AZ122" s="12"/>
      <c r="BB122" s="12"/>
      <c r="BE122" s="31"/>
    </row>
    <row r="123" spans="2:79" x14ac:dyDescent="0.2">
      <c r="V123" s="4"/>
      <c r="AW123" s="7"/>
      <c r="AX123" s="7"/>
      <c r="AZ123" s="12"/>
      <c r="BB123" s="12"/>
      <c r="BE123" s="31"/>
    </row>
    <row r="124" spans="2:79" x14ac:dyDescent="0.2">
      <c r="V124" s="4"/>
      <c r="AW124" s="7"/>
      <c r="AX124" s="16"/>
      <c r="AZ124" s="30"/>
      <c r="BB124" s="7"/>
      <c r="BE124" s="31"/>
    </row>
    <row r="125" spans="2:79" x14ac:dyDescent="0.2">
      <c r="V125" s="4"/>
      <c r="AW125" s="7"/>
      <c r="AX125" s="16"/>
      <c r="AZ125" s="30"/>
      <c r="BB125" s="7"/>
      <c r="BE125" s="31"/>
    </row>
    <row r="126" spans="2:79" x14ac:dyDescent="0.2">
      <c r="V126" s="4"/>
      <c r="AW126" s="7"/>
      <c r="AX126" s="7"/>
      <c r="AY126" s="4"/>
      <c r="AZ126" s="30"/>
      <c r="BB126" s="12"/>
      <c r="BE126" s="31"/>
    </row>
    <row r="127" spans="2:79" x14ac:dyDescent="0.2">
      <c r="V127" s="4"/>
      <c r="AW127" s="7"/>
      <c r="AX127" s="16"/>
      <c r="AZ127" s="30"/>
      <c r="BA127" s="4"/>
      <c r="BB127" s="12"/>
      <c r="BC127" s="28"/>
      <c r="BD127" s="28"/>
      <c r="BE127" s="31"/>
    </row>
    <row r="128" spans="2:79" x14ac:dyDescent="0.2">
      <c r="V128" s="4"/>
      <c r="AW128" s="16"/>
      <c r="AX128" s="7"/>
      <c r="AZ128" s="30"/>
      <c r="BB128" s="12"/>
      <c r="BE128" s="31"/>
    </row>
    <row r="129" spans="22:90" x14ac:dyDescent="0.2">
      <c r="V129" s="4"/>
      <c r="AW129" s="16"/>
      <c r="AX129" s="7"/>
      <c r="AY129" s="3"/>
      <c r="AZ129" s="30"/>
      <c r="BB129" s="12"/>
      <c r="BE129" s="31"/>
    </row>
    <row r="130" spans="22:90" x14ac:dyDescent="0.2">
      <c r="V130" s="4"/>
      <c r="AW130" s="16"/>
      <c r="AX130" s="7"/>
      <c r="AZ130" s="30"/>
      <c r="BB130" s="12"/>
      <c r="BE130" s="31"/>
    </row>
    <row r="131" spans="22:90" x14ac:dyDescent="0.2">
      <c r="V131" s="4"/>
      <c r="AW131" s="16"/>
      <c r="AX131" s="16"/>
      <c r="AZ131" s="30"/>
      <c r="BB131" s="7"/>
      <c r="BE131" s="31"/>
    </row>
    <row r="132" spans="22:90" x14ac:dyDescent="0.2">
      <c r="V132" s="4"/>
      <c r="AW132" s="16"/>
      <c r="AX132" s="16"/>
      <c r="AZ132" s="30"/>
      <c r="BB132" s="7"/>
      <c r="BE132" s="31"/>
    </row>
    <row r="133" spans="22:90" x14ac:dyDescent="0.2">
      <c r="V133" s="4"/>
      <c r="AJ133" s="4"/>
      <c r="AK133" s="7"/>
      <c r="AL133" s="7"/>
      <c r="AM133" s="7"/>
      <c r="AN133" s="7"/>
      <c r="AO133" s="7"/>
      <c r="AP133" s="7"/>
      <c r="AQ133" s="7"/>
      <c r="AR133" s="16"/>
      <c r="AS133" s="16"/>
      <c r="AT133" s="16"/>
      <c r="AU133" s="16"/>
      <c r="AV133" s="16"/>
      <c r="AW133" s="16"/>
      <c r="AX133" s="7"/>
      <c r="AZ133" s="30"/>
      <c r="BB133" s="12"/>
      <c r="BE133" s="31"/>
    </row>
    <row r="134" spans="22:90" x14ac:dyDescent="0.2">
      <c r="V134" s="4"/>
      <c r="AJ134" s="4"/>
      <c r="AK134" s="7"/>
      <c r="AL134" s="7"/>
      <c r="AM134" s="7"/>
      <c r="AN134" s="16"/>
      <c r="AO134" s="16"/>
      <c r="AP134" s="7"/>
      <c r="AQ134" s="16"/>
      <c r="AR134" s="8"/>
      <c r="AS134" s="8"/>
      <c r="AT134" s="8"/>
      <c r="AU134" s="16"/>
      <c r="AV134" s="16"/>
      <c r="AW134" s="7"/>
      <c r="AX134" s="16"/>
      <c r="AZ134" s="30"/>
      <c r="BB134" s="12"/>
      <c r="BE134" s="31"/>
    </row>
    <row r="135" spans="22:90" x14ac:dyDescent="0.2">
      <c r="V135" s="4"/>
      <c r="AK135" s="32"/>
      <c r="AL135" s="32"/>
      <c r="AM135" s="32"/>
    </row>
    <row r="136" spans="22:90" x14ac:dyDescent="0.2">
      <c r="V136" s="4"/>
    </row>
    <row r="137" spans="22:90" x14ac:dyDescent="0.2">
      <c r="BX137" s="33"/>
    </row>
    <row r="138" spans="22:90" x14ac:dyDescent="0.2">
      <c r="BX138" s="33"/>
    </row>
    <row r="139" spans="22:90" x14ac:dyDescent="0.2">
      <c r="BX139" s="33"/>
    </row>
    <row r="141" spans="22:90" x14ac:dyDescent="0.2">
      <c r="BX141" s="33"/>
      <c r="CL141" s="29"/>
    </row>
    <row r="142" spans="22:90" x14ac:dyDescent="0.2">
      <c r="BX142" s="33"/>
    </row>
    <row r="143" spans="22:90" x14ac:dyDescent="0.2">
      <c r="BX143" s="33"/>
    </row>
    <row r="144" spans="22:90" x14ac:dyDescent="0.2">
      <c r="BL144" s="4"/>
      <c r="BT144" s="2"/>
    </row>
    <row r="145" spans="39:92" x14ac:dyDescent="0.2">
      <c r="BL145" s="4"/>
      <c r="BN145" s="4"/>
      <c r="BP145" s="4"/>
      <c r="BR145" s="4"/>
      <c r="BT145" s="6"/>
      <c r="BU145" s="4"/>
      <c r="BV145" s="4"/>
      <c r="BW145" s="4"/>
      <c r="BX145" s="4"/>
      <c r="BY145" s="4"/>
      <c r="BZ145" s="4"/>
      <c r="CA145" s="42"/>
      <c r="CB145" s="4"/>
      <c r="CD145" s="4"/>
      <c r="CF145" s="4"/>
    </row>
    <row r="146" spans="39:92" x14ac:dyDescent="0.2">
      <c r="BL146" s="4"/>
      <c r="BN146" s="4"/>
      <c r="BP146" s="4"/>
      <c r="BR146" s="4"/>
      <c r="BT146" s="4"/>
      <c r="BU146" s="6"/>
      <c r="BV146" s="4"/>
      <c r="BW146" s="4"/>
      <c r="BX146" s="4"/>
      <c r="BY146" s="4"/>
      <c r="BZ146" s="4"/>
      <c r="CA146" s="43"/>
      <c r="CB146" s="4"/>
      <c r="CD146" s="4"/>
      <c r="CF146" s="4"/>
    </row>
    <row r="147" spans="39:92" x14ac:dyDescent="0.2">
      <c r="BL147" s="4"/>
      <c r="BN147" s="4"/>
      <c r="BP147" s="4"/>
      <c r="BR147" s="4"/>
      <c r="BT147" s="4"/>
      <c r="BU147" s="4"/>
      <c r="BV147" s="4"/>
      <c r="BW147" s="4"/>
      <c r="BX147" s="4"/>
      <c r="BY147" s="4"/>
      <c r="BZ147" s="4"/>
      <c r="CA147" s="42"/>
      <c r="CB147" s="4"/>
      <c r="CC147" s="4"/>
      <c r="CD147" s="4"/>
      <c r="CE147" s="4"/>
      <c r="CF147" s="4"/>
    </row>
    <row r="148" spans="39:92" x14ac:dyDescent="0.2">
      <c r="BL148" s="4"/>
      <c r="BN148" s="4"/>
      <c r="BP148" s="4"/>
      <c r="BR148" s="4"/>
      <c r="BT148" s="4"/>
      <c r="BU148" s="4"/>
      <c r="BV148" s="4"/>
      <c r="BW148" s="6"/>
      <c r="BX148" s="6"/>
      <c r="BY148" s="4"/>
      <c r="BZ148" s="4"/>
      <c r="CA148" s="43"/>
      <c r="CB148" s="7"/>
      <c r="CD148" s="4"/>
      <c r="CF148" s="7"/>
    </row>
    <row r="149" spans="39:92" x14ac:dyDescent="0.2">
      <c r="AM149" s="2"/>
      <c r="BL149" s="4"/>
      <c r="BN149" s="4"/>
      <c r="BP149" s="4"/>
      <c r="BR149" s="4"/>
      <c r="BT149" s="4"/>
      <c r="BU149" s="4"/>
      <c r="BV149" s="4"/>
      <c r="BW149" s="4"/>
      <c r="BX149" s="4"/>
      <c r="BY149" s="6"/>
      <c r="BZ149" s="4"/>
      <c r="CA149" s="43"/>
      <c r="CB149" s="7"/>
      <c r="CD149" s="4"/>
      <c r="CF149" s="7"/>
    </row>
    <row r="150" spans="39:92" x14ac:dyDescent="0.2">
      <c r="AN150" s="4"/>
      <c r="AO150" s="4"/>
      <c r="AP150" s="4"/>
      <c r="AQ150" s="4"/>
      <c r="AR150" s="4"/>
      <c r="AS150" s="4"/>
      <c r="AT150" s="4"/>
      <c r="AU150" s="4"/>
      <c r="BL150" s="4"/>
      <c r="BN150" s="4"/>
      <c r="BP150" s="4"/>
      <c r="BR150" s="4"/>
      <c r="BT150" s="4"/>
      <c r="BU150" s="4"/>
      <c r="BV150" s="4"/>
      <c r="BW150" s="4"/>
      <c r="BX150" s="4"/>
      <c r="BY150" s="4"/>
      <c r="BZ150" s="4"/>
      <c r="CA150" s="43"/>
      <c r="CB150" s="7"/>
      <c r="CD150" s="4"/>
      <c r="CF150" s="7"/>
    </row>
    <row r="151" spans="39:92" x14ac:dyDescent="0.2">
      <c r="AM151" s="4"/>
      <c r="AN151" s="7"/>
      <c r="AO151" s="7"/>
      <c r="AP151" s="7"/>
      <c r="AQ151" s="7"/>
      <c r="AR151" s="7"/>
      <c r="AS151" s="7"/>
      <c r="AT151" s="7"/>
      <c r="AU151" s="7"/>
      <c r="AV151" s="4"/>
      <c r="AW151" s="12"/>
      <c r="AX151" s="4"/>
      <c r="AY151" s="7"/>
      <c r="BL151" s="4"/>
      <c r="BM151" s="4"/>
      <c r="BN151" s="4"/>
      <c r="BO151" s="4"/>
      <c r="BP151" s="4"/>
      <c r="BQ151" s="28"/>
      <c r="BR151" s="4"/>
    </row>
    <row r="152" spans="39:92" x14ac:dyDescent="0.2">
      <c r="AM152" s="4"/>
      <c r="AN152" s="7"/>
      <c r="AO152" s="7"/>
      <c r="AP152" s="7"/>
      <c r="AQ152" s="7"/>
      <c r="AR152" s="7"/>
      <c r="AS152" s="7"/>
      <c r="AT152" s="7"/>
      <c r="AU152" s="7"/>
      <c r="AW152" s="12"/>
      <c r="AY152" s="7"/>
      <c r="BL152" s="6"/>
      <c r="BN152" s="12"/>
      <c r="BP152" s="26"/>
      <c r="BR152" s="16"/>
      <c r="BT152" s="2"/>
    </row>
    <row r="153" spans="39:92" x14ac:dyDescent="0.2">
      <c r="AM153" s="4"/>
      <c r="AN153" s="7"/>
      <c r="AO153" s="7"/>
      <c r="AP153" s="7"/>
      <c r="AQ153" s="7"/>
      <c r="AR153" s="7"/>
      <c r="AS153" s="7"/>
      <c r="AT153" s="7"/>
      <c r="AU153" s="7"/>
      <c r="AW153" s="12"/>
      <c r="AY153" s="7"/>
      <c r="BL153" s="6"/>
      <c r="BN153" s="12"/>
      <c r="BP153" s="26"/>
      <c r="BR153" s="22"/>
      <c r="BT153" s="7"/>
      <c r="BU153" s="4"/>
      <c r="BV153" s="6"/>
      <c r="BW153" s="7"/>
      <c r="BX153" s="7"/>
      <c r="BY153" s="4"/>
      <c r="BZ153" s="6"/>
      <c r="CB153" s="4"/>
      <c r="CD153" s="4"/>
      <c r="CF153" s="4"/>
      <c r="CH153" s="44"/>
    </row>
    <row r="154" spans="39:92" x14ac:dyDescent="0.2">
      <c r="AM154" s="4"/>
      <c r="AN154" s="7"/>
      <c r="AO154" s="7"/>
      <c r="AP154" s="7"/>
      <c r="AQ154" s="7"/>
      <c r="AR154" s="7"/>
      <c r="AS154" s="7"/>
      <c r="AT154" s="7"/>
      <c r="AU154" s="7"/>
      <c r="AW154" s="12"/>
      <c r="AY154" s="7"/>
      <c r="BL154" s="6"/>
      <c r="BN154" s="12"/>
      <c r="BP154" s="26"/>
      <c r="BR154" s="16"/>
      <c r="BT154" s="4"/>
      <c r="BU154" s="7"/>
      <c r="BV154" s="7"/>
      <c r="BW154" s="4"/>
      <c r="BX154" s="4"/>
      <c r="BY154" s="7"/>
      <c r="BZ154" s="7"/>
      <c r="CB154" s="4"/>
      <c r="CD154" s="7"/>
      <c r="CF154" s="4"/>
      <c r="CH154" s="44"/>
    </row>
    <row r="155" spans="39:92" x14ac:dyDescent="0.2">
      <c r="AM155" s="4"/>
      <c r="AN155" s="7"/>
      <c r="AO155" s="7"/>
      <c r="AP155" s="7"/>
      <c r="AQ155" s="7"/>
      <c r="AR155" s="7"/>
      <c r="AS155" s="7"/>
      <c r="AT155" s="7"/>
      <c r="AU155" s="7"/>
      <c r="AW155" s="12"/>
      <c r="AY155" s="7"/>
      <c r="BL155" s="6"/>
      <c r="BN155" s="12"/>
      <c r="BP155" s="7"/>
      <c r="BR155" s="16"/>
      <c r="BT155" s="6"/>
      <c r="BU155" s="7"/>
      <c r="BV155" s="7"/>
      <c r="BW155" s="7"/>
      <c r="BX155" s="7"/>
      <c r="BY155" s="7"/>
      <c r="BZ155" s="7"/>
      <c r="CA155" s="4"/>
      <c r="CB155" s="4"/>
      <c r="CC155" s="4"/>
      <c r="CD155" s="7"/>
      <c r="CE155" s="4"/>
      <c r="CF155" s="4"/>
      <c r="CG155" s="4"/>
      <c r="CH155" s="44"/>
      <c r="CN155" s="45"/>
    </row>
    <row r="156" spans="39:92" x14ac:dyDescent="0.2">
      <c r="AM156" s="4"/>
      <c r="AN156" s="7"/>
      <c r="AO156" s="7"/>
      <c r="AP156" s="7"/>
      <c r="AQ156" s="7"/>
      <c r="AR156" s="7"/>
      <c r="AS156" s="7"/>
      <c r="AT156" s="7"/>
      <c r="AU156" s="7"/>
      <c r="AW156" s="12"/>
      <c r="AY156" s="7"/>
      <c r="BL156" s="6"/>
      <c r="BN156" s="12"/>
      <c r="BP156" s="7"/>
      <c r="BR156" s="22"/>
      <c r="BT156" s="7"/>
      <c r="BU156" s="4"/>
      <c r="BV156" s="6"/>
      <c r="BW156" s="46"/>
      <c r="BX156" s="46"/>
      <c r="BY156" s="4"/>
      <c r="BZ156" s="6"/>
      <c r="CB156" s="7"/>
      <c r="CD156" s="4"/>
      <c r="CF156" s="4"/>
      <c r="CH156" s="44"/>
    </row>
    <row r="157" spans="39:92" x14ac:dyDescent="0.2">
      <c r="AM157" s="4"/>
      <c r="AN157" s="7"/>
      <c r="AO157" s="7"/>
      <c r="AP157" s="7"/>
      <c r="AQ157" s="7"/>
      <c r="AR157" s="7"/>
      <c r="AS157" s="7"/>
      <c r="AT157" s="7"/>
      <c r="AU157" s="7"/>
      <c r="AW157" s="12"/>
      <c r="AY157" s="7"/>
      <c r="BD157" s="47"/>
      <c r="BL157" s="6"/>
      <c r="BN157" s="12"/>
      <c r="BO157" s="32"/>
      <c r="BP157" s="4"/>
      <c r="BR157" s="16"/>
      <c r="BT157" s="4"/>
      <c r="BU157" s="7"/>
      <c r="BV157" s="7"/>
      <c r="BW157" s="4"/>
      <c r="BX157" s="4"/>
      <c r="BY157" s="7"/>
      <c r="BZ157" s="7"/>
      <c r="CB157" s="7"/>
      <c r="CD157" s="7"/>
      <c r="CF157" s="4"/>
      <c r="CH157" s="44"/>
    </row>
    <row r="158" spans="39:92" x14ac:dyDescent="0.2">
      <c r="AM158" s="4"/>
      <c r="AN158" s="7"/>
      <c r="AO158" s="7"/>
      <c r="AP158" s="7"/>
      <c r="AQ158" s="7"/>
      <c r="AR158" s="7"/>
      <c r="AS158" s="7"/>
      <c r="AT158" s="7"/>
      <c r="AU158" s="7"/>
      <c r="AW158" s="12"/>
      <c r="AY158" s="7"/>
      <c r="BD158" s="47"/>
      <c r="BL158" s="6"/>
      <c r="BN158" s="4"/>
      <c r="BP158" s="4"/>
      <c r="BR158" s="4"/>
      <c r="BT158" s="6"/>
      <c r="BU158" s="7"/>
      <c r="BV158" s="7"/>
      <c r="BW158" s="6"/>
      <c r="BX158" s="6"/>
      <c r="BY158" s="7"/>
      <c r="BZ158" s="7"/>
      <c r="CB158" s="7"/>
      <c r="CD158" s="7"/>
      <c r="CF158" s="4"/>
      <c r="CH158" s="48"/>
    </row>
    <row r="159" spans="39:92" x14ac:dyDescent="0.2">
      <c r="BD159" s="47"/>
      <c r="BR159" s="32"/>
    </row>
    <row r="160" spans="39:92" x14ac:dyDescent="0.2">
      <c r="AS160" s="29"/>
      <c r="BD160" s="47"/>
      <c r="BK160" s="2"/>
      <c r="BP160" s="32"/>
    </row>
    <row r="161" spans="39:91" x14ac:dyDescent="0.2">
      <c r="BD161" s="47"/>
      <c r="BJ161" s="4"/>
      <c r="BK161" s="4"/>
      <c r="BL161" s="4"/>
      <c r="BM161" s="4"/>
      <c r="BN161" s="4"/>
      <c r="BO161" s="4"/>
      <c r="BP161" s="4"/>
      <c r="BQ161" s="4"/>
      <c r="BR161" s="4"/>
      <c r="BW161" s="49"/>
      <c r="BX161" s="49"/>
      <c r="CC161" s="29"/>
    </row>
    <row r="162" spans="39:91" x14ac:dyDescent="0.2">
      <c r="AM162" s="2"/>
      <c r="AZ162" s="50"/>
      <c r="BA162" s="50"/>
      <c r="BB162" s="50"/>
      <c r="BC162" s="50"/>
      <c r="BD162" s="47"/>
      <c r="BK162" s="33"/>
      <c r="BL162" s="33"/>
      <c r="BN162" s="32"/>
      <c r="BT162" s="2"/>
      <c r="CA162" s="33"/>
      <c r="CB162" s="33"/>
      <c r="CC162" s="32"/>
    </row>
    <row r="163" spans="39:91" x14ac:dyDescent="0.2">
      <c r="AN163" s="4"/>
      <c r="AO163" s="4"/>
      <c r="AP163" s="4"/>
      <c r="AQ163" s="4"/>
      <c r="AR163" s="4"/>
      <c r="AS163" s="4"/>
      <c r="AT163" s="4"/>
      <c r="AU163" s="4"/>
      <c r="AZ163" s="50"/>
      <c r="BA163" s="50"/>
      <c r="BB163" s="50"/>
      <c r="BC163" s="50"/>
      <c r="BD163" s="50"/>
      <c r="BE163" s="50"/>
    </row>
    <row r="164" spans="39:91" x14ac:dyDescent="0.2">
      <c r="AM164" s="4"/>
      <c r="AN164" s="7"/>
      <c r="AO164" s="7"/>
      <c r="AP164" s="7"/>
      <c r="AQ164" s="7"/>
      <c r="AR164" s="7"/>
      <c r="AS164" s="7"/>
      <c r="AT164" s="7"/>
      <c r="AU164" s="7"/>
      <c r="AV164" s="4"/>
      <c r="AW164" s="3"/>
      <c r="AX164" s="4"/>
      <c r="AY164" s="12"/>
      <c r="AZ164" s="30"/>
      <c r="BA164" s="51"/>
      <c r="BB164" s="50"/>
      <c r="BC164" s="50"/>
      <c r="BD164" s="52"/>
      <c r="BE164" s="50"/>
      <c r="BQ164" s="33"/>
    </row>
    <row r="165" spans="39:91" x14ac:dyDescent="0.2">
      <c r="AM165" s="4"/>
      <c r="AN165" s="7"/>
      <c r="AO165" s="7"/>
      <c r="AP165" s="7"/>
      <c r="AQ165" s="7"/>
      <c r="AR165" s="7"/>
      <c r="AS165" s="7"/>
      <c r="AT165" s="7"/>
      <c r="AU165" s="7"/>
      <c r="AW165" s="3"/>
      <c r="AY165" s="12"/>
      <c r="AZ165" s="50"/>
      <c r="BA165" s="51"/>
      <c r="BB165" s="50"/>
      <c r="BC165" s="50"/>
      <c r="BD165" s="52"/>
      <c r="BE165" s="50"/>
      <c r="BK165" s="2"/>
      <c r="BT165" s="2"/>
      <c r="BY165" s="2"/>
    </row>
    <row r="166" spans="39:91" x14ac:dyDescent="0.2">
      <c r="AM166" s="4"/>
      <c r="AN166" s="7"/>
      <c r="AO166" s="7"/>
      <c r="AP166" s="7"/>
      <c r="AQ166" s="7"/>
      <c r="AR166" s="7"/>
      <c r="AS166" s="7"/>
      <c r="AT166" s="7"/>
      <c r="AU166" s="7"/>
      <c r="AW166" s="3"/>
      <c r="AY166" s="12"/>
      <c r="AZ166" s="50"/>
      <c r="BA166" s="51"/>
      <c r="BB166" s="53"/>
      <c r="BC166" s="50"/>
      <c r="BD166" s="54"/>
      <c r="BE166" s="50"/>
      <c r="BP166" s="55"/>
      <c r="BQ166" s="56"/>
      <c r="BR166" s="57"/>
      <c r="BT166" s="12"/>
      <c r="BU166" s="58"/>
      <c r="BV166" s="2"/>
      <c r="BY166" s="12"/>
      <c r="BZ166" s="56"/>
      <c r="CA166" s="2"/>
    </row>
    <row r="167" spans="39:91" x14ac:dyDescent="0.2">
      <c r="AM167" s="4"/>
      <c r="AN167" s="7"/>
      <c r="AO167" s="7"/>
      <c r="AP167" s="7"/>
      <c r="AQ167" s="7"/>
      <c r="AR167" s="7"/>
      <c r="AS167" s="7"/>
      <c r="AT167" s="7"/>
      <c r="AU167" s="7"/>
      <c r="AW167" s="3"/>
      <c r="AY167" s="12"/>
      <c r="BA167" s="51"/>
      <c r="BB167" s="53"/>
      <c r="BC167" s="50"/>
      <c r="BD167" s="52"/>
      <c r="BE167" s="50"/>
      <c r="BP167" s="55"/>
      <c r="BQ167" s="56"/>
      <c r="BR167" s="57"/>
      <c r="BT167" s="12"/>
      <c r="BU167" s="58"/>
      <c r="BV167" s="2"/>
      <c r="BY167" s="12"/>
      <c r="BZ167" s="56"/>
      <c r="CA167" s="2"/>
    </row>
    <row r="168" spans="39:91" x14ac:dyDescent="0.2">
      <c r="AM168" s="4"/>
      <c r="AN168" s="7"/>
      <c r="AO168" s="7"/>
      <c r="AP168" s="7"/>
      <c r="AQ168" s="7"/>
      <c r="AR168" s="7"/>
      <c r="AS168" s="7"/>
      <c r="AT168" s="7"/>
      <c r="AU168" s="7"/>
      <c r="AW168" s="3"/>
      <c r="AY168" s="12"/>
      <c r="AZ168" s="50"/>
      <c r="BA168" s="51"/>
      <c r="BB168" s="50"/>
      <c r="BC168" s="50"/>
      <c r="BD168" s="52"/>
      <c r="BE168" s="50"/>
      <c r="BP168" s="55"/>
      <c r="BQ168" s="56"/>
      <c r="BR168" s="57"/>
      <c r="BT168" s="12"/>
      <c r="BU168" s="58"/>
      <c r="BV168" s="2"/>
      <c r="BW168" s="59"/>
      <c r="BX168" s="59"/>
      <c r="BY168" s="12"/>
      <c r="BZ168" s="56"/>
      <c r="CA168" s="2"/>
    </row>
    <row r="169" spans="39:91" x14ac:dyDescent="0.2">
      <c r="AM169" s="4"/>
      <c r="AN169" s="7"/>
      <c r="AO169" s="7"/>
      <c r="AP169" s="7"/>
      <c r="AQ169" s="7"/>
      <c r="AR169" s="7"/>
      <c r="AS169" s="7"/>
      <c r="AT169" s="7"/>
      <c r="AU169" s="7"/>
      <c r="AW169" s="3"/>
      <c r="AY169" s="12"/>
      <c r="AZ169" s="50"/>
      <c r="BA169" s="51"/>
      <c r="BB169" s="50"/>
      <c r="BC169" s="50"/>
      <c r="BD169" s="52"/>
      <c r="BE169" s="50"/>
      <c r="BL169" s="60"/>
      <c r="BM169" s="61"/>
      <c r="BN169" s="61"/>
      <c r="BP169" s="55"/>
      <c r="BQ169" s="56"/>
      <c r="BT169" s="12"/>
      <c r="BU169" s="58"/>
      <c r="BV169" s="2"/>
      <c r="BW169" s="59"/>
      <c r="BX169" s="59"/>
      <c r="BY169" s="12"/>
      <c r="BZ169" s="56"/>
      <c r="CA169" s="2"/>
    </row>
    <row r="170" spans="39:91" x14ac:dyDescent="0.2">
      <c r="AM170" s="4"/>
      <c r="AN170" s="7"/>
      <c r="AO170" s="7"/>
      <c r="AP170" s="7"/>
      <c r="AQ170" s="7"/>
      <c r="AR170" s="7"/>
      <c r="AS170" s="7"/>
      <c r="AT170" s="7"/>
      <c r="AU170" s="7"/>
      <c r="AW170" s="3"/>
      <c r="AY170" s="12"/>
      <c r="AZ170" s="50"/>
      <c r="BA170" s="51"/>
      <c r="BB170" s="53"/>
      <c r="BC170" s="50"/>
      <c r="BD170" s="52"/>
      <c r="BE170" s="50"/>
      <c r="BP170" s="55"/>
      <c r="BQ170" s="47"/>
      <c r="BT170" s="12"/>
      <c r="BU170" s="58"/>
      <c r="BV170" s="2"/>
      <c r="BY170" s="12"/>
      <c r="BZ170" s="56"/>
      <c r="CA170" s="2"/>
    </row>
    <row r="171" spans="39:91" x14ac:dyDescent="0.2">
      <c r="AM171" s="4"/>
      <c r="AN171" s="7"/>
      <c r="AO171" s="7"/>
      <c r="AP171" s="7"/>
      <c r="AQ171" s="7"/>
      <c r="AR171" s="7"/>
      <c r="AS171" s="7"/>
      <c r="AT171" s="7"/>
      <c r="AU171" s="7"/>
      <c r="AW171" s="3"/>
      <c r="AY171" s="12"/>
      <c r="AZ171" s="50"/>
      <c r="BA171" s="51"/>
      <c r="BB171" s="53"/>
      <c r="BC171" s="50"/>
      <c r="BD171" s="52"/>
      <c r="BE171" s="50"/>
      <c r="BP171" s="55"/>
      <c r="BQ171" s="47"/>
      <c r="BT171" s="12"/>
      <c r="BU171" s="58"/>
      <c r="BV171" s="2"/>
      <c r="BY171" s="12"/>
      <c r="BZ171" s="56"/>
      <c r="CA171" s="2"/>
      <c r="CF171" s="2"/>
    </row>
    <row r="172" spans="39:91" x14ac:dyDescent="0.2">
      <c r="BB172" s="50"/>
      <c r="BC172" s="50"/>
      <c r="BD172" s="50"/>
      <c r="BE172" s="50"/>
      <c r="BW172" s="59"/>
      <c r="BX172" s="59"/>
      <c r="BY172" s="12"/>
      <c r="BZ172" s="56"/>
      <c r="CA172" s="2"/>
    </row>
    <row r="173" spans="39:91" x14ac:dyDescent="0.2">
      <c r="AZ173" s="50"/>
      <c r="BA173" s="50"/>
      <c r="BB173" s="62"/>
      <c r="BC173" s="50"/>
      <c r="BD173" s="50"/>
      <c r="BE173" s="50"/>
      <c r="BF173" s="50"/>
      <c r="BW173" s="59"/>
      <c r="BX173" s="59"/>
      <c r="BY173" s="12"/>
      <c r="BZ173" s="56"/>
      <c r="CA173" s="2"/>
    </row>
    <row r="174" spans="39:91" x14ac:dyDescent="0.2">
      <c r="AZ174" s="50"/>
      <c r="BA174" s="50"/>
      <c r="BB174" s="50"/>
      <c r="BC174" s="50"/>
      <c r="BD174" s="50"/>
      <c r="BE174" s="50"/>
      <c r="BF174" s="50"/>
    </row>
    <row r="175" spans="39:91" x14ac:dyDescent="0.2">
      <c r="AM175" s="2"/>
      <c r="AZ175" s="50"/>
      <c r="BA175" s="50"/>
      <c r="BB175" s="50"/>
      <c r="BC175" s="50"/>
      <c r="BD175" s="50"/>
      <c r="BE175" s="50"/>
      <c r="BF175" s="50"/>
    </row>
    <row r="176" spans="39:91" x14ac:dyDescent="0.2">
      <c r="AN176" s="4"/>
      <c r="AO176" s="4"/>
      <c r="AP176" s="4"/>
      <c r="AQ176" s="4"/>
      <c r="AR176" s="4"/>
      <c r="AS176" s="4"/>
      <c r="AT176" s="4"/>
      <c r="AU176" s="4"/>
      <c r="AW176" s="7"/>
      <c r="AZ176" s="50"/>
      <c r="BA176" s="50"/>
      <c r="BB176" s="50"/>
      <c r="BC176" s="50"/>
      <c r="BD176" s="50"/>
      <c r="BE176" s="50"/>
      <c r="BF176" s="50"/>
      <c r="BK176" s="2"/>
      <c r="BP176" s="2"/>
      <c r="BT176" s="2"/>
      <c r="BY176" s="2"/>
      <c r="CD176" s="2"/>
      <c r="CI176" s="2"/>
      <c r="CM176" s="2"/>
    </row>
    <row r="177" spans="39:93" x14ac:dyDescent="0.2">
      <c r="AM177" s="4"/>
      <c r="AN177" s="7"/>
      <c r="AO177" s="7"/>
      <c r="AP177" s="7"/>
      <c r="AQ177" s="7"/>
      <c r="AR177" s="6"/>
      <c r="AS177" s="6"/>
      <c r="AT177" s="6"/>
      <c r="AU177" s="6"/>
      <c r="AW177" s="7"/>
      <c r="AY177" s="7"/>
      <c r="AZ177" s="50"/>
      <c r="BA177" s="26"/>
      <c r="BB177" s="50"/>
      <c r="BC177" s="48"/>
      <c r="BD177" s="48"/>
      <c r="BE177" s="50"/>
      <c r="BF177" s="63"/>
      <c r="BK177" s="26"/>
      <c r="BL177" s="47"/>
      <c r="BM177" s="2"/>
      <c r="BP177" s="4"/>
      <c r="BQ177" s="47"/>
      <c r="BR177" s="2"/>
      <c r="BT177" s="4"/>
      <c r="BU177" s="47"/>
      <c r="BV177" s="2"/>
      <c r="BY177" s="4"/>
      <c r="BZ177" s="47"/>
      <c r="CA177" s="2"/>
      <c r="CD177" s="4"/>
      <c r="CE177" s="47"/>
      <c r="CF177" s="2"/>
      <c r="CI177" s="4"/>
      <c r="CJ177" s="47"/>
      <c r="CK177" s="2"/>
      <c r="CM177" s="4"/>
      <c r="CN177" s="47"/>
      <c r="CO177" s="2"/>
    </row>
    <row r="178" spans="39:93" x14ac:dyDescent="0.2">
      <c r="AM178" s="4"/>
      <c r="AN178" s="7"/>
      <c r="AO178" s="7"/>
      <c r="AP178" s="7"/>
      <c r="AQ178" s="7"/>
      <c r="AR178" s="6"/>
      <c r="AS178" s="6"/>
      <c r="AT178" s="6"/>
      <c r="AU178" s="6"/>
      <c r="AW178" s="7"/>
      <c r="AY178" s="7"/>
      <c r="AZ178" s="50"/>
      <c r="BA178" s="26"/>
      <c r="BB178" s="50"/>
      <c r="BC178" s="48"/>
      <c r="BD178" s="48"/>
      <c r="BE178" s="50"/>
      <c r="BF178" s="63"/>
      <c r="BK178" s="26"/>
      <c r="BL178" s="47"/>
      <c r="BM178" s="2"/>
      <c r="BP178" s="4"/>
      <c r="BQ178" s="47"/>
      <c r="BR178" s="2"/>
      <c r="BT178" s="4"/>
      <c r="BU178" s="47"/>
      <c r="BV178" s="2"/>
      <c r="BY178" s="4"/>
      <c r="BZ178" s="47"/>
      <c r="CA178" s="2"/>
      <c r="CD178" s="4"/>
      <c r="CE178" s="47"/>
      <c r="CF178" s="2"/>
      <c r="CI178" s="4"/>
      <c r="CJ178" s="47"/>
      <c r="CK178" s="2"/>
      <c r="CM178" s="4"/>
      <c r="CN178" s="47"/>
      <c r="CO178" s="2"/>
    </row>
    <row r="179" spans="39:93" x14ac:dyDescent="0.2">
      <c r="AM179" s="4"/>
      <c r="AN179" s="7"/>
      <c r="AO179" s="7"/>
      <c r="AP179" s="7"/>
      <c r="AQ179" s="7"/>
      <c r="AR179" s="6"/>
      <c r="AS179" s="6"/>
      <c r="AT179" s="6"/>
      <c r="AU179" s="6"/>
      <c r="AV179" s="4"/>
      <c r="AW179" s="7"/>
      <c r="AX179" s="4"/>
      <c r="AY179" s="7"/>
      <c r="AZ179" s="30"/>
      <c r="BA179" s="26"/>
      <c r="BB179" s="30"/>
      <c r="BC179" s="48"/>
      <c r="BD179" s="48"/>
      <c r="BE179" s="30"/>
      <c r="BF179" s="63"/>
      <c r="BK179" s="26"/>
      <c r="BL179" s="47"/>
      <c r="BM179" s="2"/>
      <c r="BP179" s="4"/>
      <c r="BQ179" s="47"/>
      <c r="BR179" s="2"/>
      <c r="BT179" s="4"/>
      <c r="BU179" s="47"/>
      <c r="BV179" s="2"/>
      <c r="BY179" s="4"/>
      <c r="BZ179" s="47"/>
      <c r="CA179" s="2"/>
      <c r="CD179" s="4"/>
      <c r="CE179" s="47"/>
      <c r="CF179" s="2"/>
      <c r="CI179" s="4"/>
      <c r="CJ179" s="47"/>
      <c r="CK179" s="2"/>
      <c r="CM179" s="4"/>
      <c r="CN179" s="47"/>
      <c r="CO179" s="2"/>
    </row>
    <row r="180" spans="39:93" x14ac:dyDescent="0.2">
      <c r="AM180" s="4"/>
      <c r="AN180" s="4"/>
      <c r="AO180" s="4"/>
      <c r="AP180" s="4"/>
      <c r="AQ180" s="4"/>
      <c r="AR180" s="7"/>
      <c r="AS180" s="7"/>
      <c r="AT180" s="7"/>
      <c r="AU180" s="7"/>
      <c r="AW180" s="7"/>
      <c r="AY180" s="7"/>
      <c r="AZ180" s="50"/>
      <c r="BA180" s="26"/>
      <c r="BB180" s="50"/>
      <c r="BC180" s="48"/>
      <c r="BD180" s="48"/>
      <c r="BE180" s="50"/>
      <c r="BF180" s="63"/>
      <c r="BK180" s="26"/>
      <c r="BL180" s="47"/>
      <c r="BM180" s="2"/>
      <c r="BP180" s="4"/>
      <c r="BQ180" s="47"/>
      <c r="BR180" s="2"/>
      <c r="BT180" s="4"/>
      <c r="BU180" s="47"/>
      <c r="BV180" s="2"/>
      <c r="BY180" s="4"/>
      <c r="BZ180" s="47"/>
      <c r="CA180" s="2"/>
      <c r="CD180" s="4"/>
      <c r="CE180" s="47"/>
      <c r="CF180" s="2"/>
      <c r="CI180" s="4"/>
      <c r="CJ180" s="47"/>
      <c r="CK180" s="2"/>
      <c r="CM180" s="4"/>
      <c r="CN180" s="47"/>
      <c r="CO180" s="2"/>
    </row>
    <row r="181" spans="39:93" x14ac:dyDescent="0.2">
      <c r="AM181" s="4"/>
      <c r="AN181" s="4"/>
      <c r="AO181" s="4"/>
      <c r="AP181" s="4"/>
      <c r="AQ181" s="4"/>
      <c r="AR181" s="7"/>
      <c r="AS181" s="7"/>
      <c r="AT181" s="7"/>
      <c r="AU181" s="7"/>
      <c r="AW181" s="7"/>
      <c r="AY181" s="7"/>
      <c r="AZ181" s="50"/>
      <c r="BA181" s="26"/>
      <c r="BB181" s="50"/>
      <c r="BC181" s="48"/>
      <c r="BD181" s="48"/>
      <c r="BE181" s="50"/>
      <c r="BF181" s="63"/>
      <c r="BK181" s="26"/>
      <c r="BL181" s="47"/>
      <c r="BM181" s="2"/>
      <c r="BP181" s="4"/>
      <c r="BQ181" s="47"/>
      <c r="BR181" s="2"/>
      <c r="BT181" s="4"/>
      <c r="BU181" s="47"/>
      <c r="BV181" s="2"/>
      <c r="BY181" s="4"/>
      <c r="BZ181" s="47"/>
      <c r="CA181" s="2"/>
      <c r="CD181" s="4"/>
      <c r="CE181" s="47"/>
      <c r="CF181" s="2"/>
      <c r="CI181" s="4"/>
      <c r="CJ181" s="47"/>
      <c r="CK181" s="2"/>
      <c r="CM181" s="4"/>
      <c r="CN181" s="47"/>
      <c r="CO181" s="2"/>
    </row>
    <row r="182" spans="39:93" x14ac:dyDescent="0.2">
      <c r="AM182" s="4"/>
      <c r="AN182" s="4"/>
      <c r="AO182" s="4"/>
      <c r="AP182" s="4"/>
      <c r="AQ182" s="4"/>
      <c r="AR182" s="7"/>
      <c r="AS182" s="7"/>
      <c r="AT182" s="7"/>
      <c r="AU182" s="7"/>
      <c r="AW182" s="7"/>
      <c r="AY182" s="7"/>
      <c r="AZ182" s="50"/>
      <c r="BA182" s="26"/>
      <c r="BB182" s="50"/>
      <c r="BC182" s="48"/>
      <c r="BD182" s="48"/>
      <c r="BE182" s="50"/>
      <c r="BF182" s="63"/>
      <c r="BK182" s="26"/>
      <c r="BL182" s="47"/>
      <c r="BM182" s="2"/>
      <c r="BP182" s="4"/>
      <c r="BQ182" s="47"/>
      <c r="BR182" s="2"/>
      <c r="BT182" s="4"/>
      <c r="BU182" s="47"/>
      <c r="BV182" s="2"/>
      <c r="BY182" s="4"/>
      <c r="BZ182" s="47"/>
      <c r="CA182" s="2"/>
      <c r="CD182" s="4"/>
      <c r="CE182" s="47"/>
      <c r="CF182" s="2"/>
      <c r="CI182" s="4"/>
      <c r="CJ182" s="47"/>
      <c r="CK182" s="2"/>
      <c r="CM182" s="4"/>
      <c r="CN182" s="47"/>
      <c r="CO182" s="2"/>
    </row>
    <row r="183" spans="39:93" x14ac:dyDescent="0.2">
      <c r="AW183" s="7"/>
      <c r="AZ183" s="50"/>
      <c r="BA183" s="50"/>
      <c r="BB183" s="50"/>
      <c r="BC183" s="50"/>
      <c r="BD183" s="50"/>
      <c r="BE183" s="50"/>
      <c r="BF183" s="50"/>
      <c r="BT183" s="47"/>
    </row>
    <row r="184" spans="39:93" x14ac:dyDescent="0.2">
      <c r="AW184" s="7"/>
      <c r="BE184" s="50"/>
      <c r="BF184" s="50"/>
    </row>
    <row r="185" spans="39:93" x14ac:dyDescent="0.2">
      <c r="AW185" s="7"/>
      <c r="AZ185" s="50"/>
      <c r="BA185" s="50"/>
      <c r="BB185" s="50"/>
      <c r="BC185" s="50"/>
      <c r="BD185" s="50"/>
      <c r="BE185" s="50"/>
      <c r="BF185" s="50"/>
      <c r="BK185" s="2"/>
      <c r="BR185" s="64"/>
    </row>
    <row r="186" spans="39:93" x14ac:dyDescent="0.2">
      <c r="AW186" s="7"/>
      <c r="BL186" s="56"/>
      <c r="BM186" s="2"/>
    </row>
    <row r="187" spans="39:93" x14ac:dyDescent="0.2">
      <c r="BL187" s="56"/>
      <c r="BM187" s="2"/>
    </row>
    <row r="190" spans="39:93" x14ac:dyDescent="0.2">
      <c r="BL190" s="56"/>
      <c r="BM190" s="2"/>
    </row>
    <row r="191" spans="39:93" x14ac:dyDescent="0.2">
      <c r="BL191" s="56"/>
      <c r="BM191" s="2"/>
    </row>
    <row r="192" spans="39:93" x14ac:dyDescent="0.2">
      <c r="BL192" s="56"/>
      <c r="BM192" s="2"/>
    </row>
    <row r="193" spans="64:65" x14ac:dyDescent="0.2">
      <c r="BL193" s="56"/>
      <c r="BM193" s="2"/>
    </row>
    <row r="195" spans="64:65" x14ac:dyDescent="0.2">
      <c r="BL195" s="56"/>
      <c r="BM195" s="2"/>
    </row>
    <row r="198" spans="64:65" x14ac:dyDescent="0.2">
      <c r="BL198" s="56"/>
      <c r="BM198" s="2"/>
    </row>
    <row r="199" spans="64:65" x14ac:dyDescent="0.2">
      <c r="BL199" s="56"/>
      <c r="BM199" s="2"/>
    </row>
    <row r="200" spans="64:65" x14ac:dyDescent="0.2">
      <c r="BL200" s="56"/>
      <c r="BM200" s="2"/>
    </row>
    <row r="201" spans="64:65" x14ac:dyDescent="0.2">
      <c r="BL201" s="56"/>
      <c r="BM201" s="2"/>
    </row>
    <row r="203" spans="64:65" x14ac:dyDescent="0.2">
      <c r="BL203" s="56"/>
      <c r="BM203" s="2"/>
    </row>
    <row r="206" spans="64:65" x14ac:dyDescent="0.2">
      <c r="BL206" s="56"/>
      <c r="BM206" s="2"/>
    </row>
    <row r="207" spans="64:65" x14ac:dyDescent="0.2">
      <c r="BL207" s="56"/>
      <c r="BM207" s="2"/>
    </row>
    <row r="208" spans="64:65" x14ac:dyDescent="0.2">
      <c r="BL208" s="56"/>
      <c r="BM208" s="2"/>
    </row>
    <row r="209" spans="58:65" x14ac:dyDescent="0.2">
      <c r="BL209" s="56"/>
      <c r="BM209" s="2"/>
    </row>
    <row r="219" spans="58:65" x14ac:dyDescent="0.2">
      <c r="BF219" s="50"/>
    </row>
    <row r="220" spans="58:65" x14ac:dyDescent="0.2">
      <c r="BF220" s="50"/>
    </row>
    <row r="221" spans="58:65" x14ac:dyDescent="0.2">
      <c r="BF221" s="50"/>
    </row>
    <row r="222" spans="58:65" x14ac:dyDescent="0.2">
      <c r="BF222" s="50"/>
    </row>
    <row r="223" spans="58:65" x14ac:dyDescent="0.2">
      <c r="BF223" s="50"/>
    </row>
    <row r="224" spans="58:65" x14ac:dyDescent="0.2">
      <c r="BF224" s="50"/>
    </row>
    <row r="225" spans="58:58" x14ac:dyDescent="0.2">
      <c r="BF225" s="50"/>
    </row>
    <row r="226" spans="58:58" x14ac:dyDescent="0.2">
      <c r="BF226" s="50"/>
    </row>
    <row r="227" spans="58:58" x14ac:dyDescent="0.2">
      <c r="BF227" s="50"/>
    </row>
  </sheetData>
  <mergeCells count="1">
    <mergeCell ref="AT84:AT85"/>
  </mergeCells>
  <conditionalFormatting sqref="AK43:AV54">
    <cfRule type="expression" dxfId="30" priority="2">
      <formula>ABS(AK43)&lt;0.1</formula>
    </cfRule>
  </conditionalFormatting>
  <conditionalFormatting sqref="AZ43:AZ54">
    <cfRule type="expression" dxfId="29" priority="1">
      <formula>ABS(AZ43)&lt;0.1</formula>
    </cfRule>
  </conditionalFormatting>
  <conditionalFormatting sqref="BR166:BR168">
    <cfRule type="cellIs" dxfId="28" priority="4" operator="equal">
      <formula>"VIRHE!"</formula>
    </cfRule>
    <cfRule type="cellIs" dxfId="27" priority="5" operator="equal">
      <formula>"OK!"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DF150-D06E-47EC-89DA-0EC5D53947FD}">
  <sheetPr codeName="Taul2"/>
  <dimension ref="A1:CW233"/>
  <sheetViews>
    <sheetView topLeftCell="AE36" zoomScaleNormal="100" workbookViewId="0">
      <selection activeCell="AK77" sqref="AK77"/>
    </sheetView>
  </sheetViews>
  <sheetFormatPr defaultColWidth="9.140625" defaultRowHeight="12" x14ac:dyDescent="0.25"/>
  <cols>
    <col min="1" max="35" width="9.140625" style="80"/>
    <col min="36" max="36" width="10.7109375" style="80" customWidth="1"/>
    <col min="37" max="37" width="9.5703125" style="80" bestFit="1" customWidth="1"/>
    <col min="38" max="38" width="12.5703125" style="80" bestFit="1" customWidth="1"/>
    <col min="39" max="39" width="10.5703125" style="80" bestFit="1" customWidth="1"/>
    <col min="40" max="40" width="9.28515625" style="80" bestFit="1" customWidth="1"/>
    <col min="41" max="41" width="13.140625" style="80" bestFit="1" customWidth="1"/>
    <col min="42" max="43" width="9.28515625" style="80" bestFit="1" customWidth="1"/>
    <col min="44" max="44" width="12.5703125" style="80" bestFit="1" customWidth="1"/>
    <col min="45" max="45" width="10.5703125" style="80" bestFit="1" customWidth="1"/>
    <col min="46" max="46" width="12.42578125" style="80" bestFit="1" customWidth="1"/>
    <col min="47" max="47" width="13.140625" style="80" bestFit="1" customWidth="1"/>
    <col min="48" max="48" width="12.42578125" style="80" bestFit="1" customWidth="1"/>
    <col min="49" max="50" width="11.5703125" style="80" bestFit="1" customWidth="1"/>
    <col min="51" max="53" width="9.140625" style="80"/>
    <col min="54" max="54" width="12.28515625" style="80" bestFit="1" customWidth="1"/>
    <col min="55" max="57" width="9.140625" style="80"/>
    <col min="58" max="58" width="11.5703125" style="80" bestFit="1" customWidth="1"/>
    <col min="59" max="16384" width="9.140625" style="80"/>
  </cols>
  <sheetData>
    <row r="1" spans="1:67" x14ac:dyDescent="0.2">
      <c r="A1" s="4"/>
      <c r="B1" s="4" t="s">
        <v>34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</row>
    <row r="2" spans="1:67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</row>
    <row r="3" spans="1:67" x14ac:dyDescent="0.2">
      <c r="A3" s="4"/>
      <c r="B3" s="79" t="s">
        <v>13</v>
      </c>
      <c r="C3" s="4"/>
      <c r="D3" s="4"/>
      <c r="E3" s="23"/>
      <c r="F3" s="23"/>
      <c r="G3" s="4"/>
      <c r="H3" s="4"/>
      <c r="I3" s="4"/>
      <c r="J3" s="4"/>
      <c r="K3" s="4"/>
      <c r="L3" s="79" t="s">
        <v>15</v>
      </c>
      <c r="M3" s="4"/>
      <c r="N3" s="4"/>
      <c r="O3" s="23"/>
      <c r="P3" s="23"/>
      <c r="Q3" s="4"/>
      <c r="R3" s="4"/>
      <c r="S3" s="82"/>
      <c r="T3" s="4"/>
      <c r="U3" s="4"/>
      <c r="V3" s="79" t="s">
        <v>16</v>
      </c>
      <c r="W3" s="4"/>
      <c r="X3" s="23"/>
      <c r="Y3" s="23"/>
      <c r="Z3" s="4"/>
      <c r="AA3" s="4"/>
      <c r="AB3" s="4"/>
      <c r="AC3" s="4"/>
      <c r="AD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</row>
    <row r="4" spans="1:67" x14ac:dyDescent="0.2">
      <c r="A4" s="4"/>
      <c r="B4" s="45" t="s">
        <v>17</v>
      </c>
      <c r="C4" s="4"/>
      <c r="D4" s="4"/>
      <c r="E4" s="83">
        <v>90</v>
      </c>
      <c r="F4" s="4" t="s">
        <v>0</v>
      </c>
      <c r="G4" s="4"/>
      <c r="H4" s="4"/>
      <c r="I4" s="4"/>
      <c r="J4" s="4"/>
      <c r="K4" s="4"/>
      <c r="L4" s="45" t="s">
        <v>17</v>
      </c>
      <c r="M4" s="4"/>
      <c r="N4" s="4"/>
      <c r="O4" s="84">
        <v>0</v>
      </c>
      <c r="P4" s="4" t="s">
        <v>0</v>
      </c>
      <c r="Q4" s="4"/>
      <c r="R4" s="4"/>
      <c r="S4" s="4"/>
      <c r="T4" s="4"/>
      <c r="U4" s="4"/>
      <c r="V4" s="45" t="s">
        <v>17</v>
      </c>
      <c r="W4" s="4"/>
      <c r="X4" s="4"/>
      <c r="Y4" s="84">
        <v>90</v>
      </c>
      <c r="Z4" s="4" t="s">
        <v>0</v>
      </c>
      <c r="AA4" s="4"/>
      <c r="AB4" s="4"/>
      <c r="AC4" s="4"/>
      <c r="AD4" s="4"/>
      <c r="AJ4" s="79" t="s">
        <v>35</v>
      </c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82"/>
      <c r="AZ4" s="79" t="s">
        <v>37</v>
      </c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</row>
    <row r="5" spans="1:67" x14ac:dyDescent="0.2">
      <c r="A5" s="4"/>
      <c r="B5" s="4" t="s">
        <v>19</v>
      </c>
      <c r="C5" s="85">
        <f>COS(RADIANS(E4))</f>
        <v>6.1257422745431001E-17</v>
      </c>
      <c r="D5" s="4" t="s">
        <v>20</v>
      </c>
      <c r="E5" s="84">
        <f>SIN(RADIANS(E4))</f>
        <v>1</v>
      </c>
      <c r="F5" s="4"/>
      <c r="G5" s="4"/>
      <c r="H5" s="4"/>
      <c r="I5" s="4"/>
      <c r="J5" s="4"/>
      <c r="K5" s="4"/>
      <c r="L5" s="45" t="s">
        <v>19</v>
      </c>
      <c r="M5" s="85">
        <f>IF(ROUND(COS(RADIANS(O4)),5)=0,0,COS(RADIANS(O4)))</f>
        <v>1</v>
      </c>
      <c r="N5" s="4" t="s">
        <v>20</v>
      </c>
      <c r="O5" s="84">
        <f>IF(ROUND(SIN(RADIANS(O4)),5)=0,0,SIN(RADIANS(O4)))</f>
        <v>0</v>
      </c>
      <c r="P5" s="4"/>
      <c r="Q5" s="4"/>
      <c r="R5" s="4"/>
      <c r="S5" s="4"/>
      <c r="T5" s="4"/>
      <c r="U5" s="4"/>
      <c r="V5" s="4" t="s">
        <v>19</v>
      </c>
      <c r="W5" s="85">
        <f>IF(ROUND(COS(RADIANS(Y4)),5)=0,0,COS(RADIANS(Y4)))</f>
        <v>0</v>
      </c>
      <c r="X5" s="4" t="s">
        <v>20</v>
      </c>
      <c r="Y5" s="84">
        <f>IF(ROUND(SIN(RADIANS(Y4)),5)=0,0,SIN(RADIANS(Y4)))</f>
        <v>1</v>
      </c>
      <c r="Z5" s="4"/>
      <c r="AA5" s="4"/>
      <c r="AB5" s="4"/>
      <c r="AC5" s="4"/>
      <c r="AD5" s="4"/>
      <c r="AJ5" s="78"/>
      <c r="AK5" s="78">
        <v>1</v>
      </c>
      <c r="AL5" s="78">
        <v>2</v>
      </c>
      <c r="AM5" s="78">
        <v>3</v>
      </c>
      <c r="AN5" s="78">
        <v>4</v>
      </c>
      <c r="AO5" s="78">
        <v>5</v>
      </c>
      <c r="AP5" s="78">
        <v>6</v>
      </c>
      <c r="AQ5" s="78">
        <v>7</v>
      </c>
      <c r="AR5" s="78">
        <v>8</v>
      </c>
      <c r="AS5" s="78">
        <v>9</v>
      </c>
      <c r="AT5" s="78">
        <v>10</v>
      </c>
      <c r="AU5" s="78">
        <v>11</v>
      </c>
      <c r="AV5" s="78">
        <v>12</v>
      </c>
      <c r="AW5" s="78">
        <v>13</v>
      </c>
      <c r="AX5" s="78">
        <v>14</v>
      </c>
      <c r="AY5" s="6"/>
      <c r="AZ5" s="78"/>
      <c r="BA5" s="78">
        <v>1</v>
      </c>
      <c r="BB5" s="78">
        <v>2</v>
      </c>
      <c r="BC5" s="78">
        <v>3</v>
      </c>
      <c r="BD5" s="78">
        <v>4</v>
      </c>
      <c r="BE5" s="78">
        <v>5</v>
      </c>
      <c r="BF5" s="78">
        <v>6</v>
      </c>
      <c r="BG5" s="78">
        <v>7</v>
      </c>
      <c r="BH5" s="78">
        <v>8</v>
      </c>
      <c r="BI5" s="78">
        <v>9</v>
      </c>
      <c r="BJ5" s="78">
        <v>10</v>
      </c>
      <c r="BK5" s="78">
        <v>11</v>
      </c>
      <c r="BL5" s="78">
        <v>12</v>
      </c>
      <c r="BM5" s="78">
        <v>13</v>
      </c>
      <c r="BN5" s="78">
        <v>14</v>
      </c>
    </row>
    <row r="6" spans="1:67" x14ac:dyDescent="0.2">
      <c r="A6" s="4"/>
      <c r="B6" s="45" t="s">
        <v>2</v>
      </c>
      <c r="C6" s="4"/>
      <c r="D6" s="4"/>
      <c r="E6" s="84">
        <v>4000</v>
      </c>
      <c r="F6" s="4" t="s">
        <v>3</v>
      </c>
      <c r="G6" s="4"/>
      <c r="H6" s="4"/>
      <c r="I6" s="4"/>
      <c r="J6" s="4"/>
      <c r="K6" s="4"/>
      <c r="L6" s="45" t="s">
        <v>2</v>
      </c>
      <c r="M6" s="4"/>
      <c r="N6" s="4"/>
      <c r="O6" s="84">
        <v>6000</v>
      </c>
      <c r="P6" s="4" t="s">
        <v>3</v>
      </c>
      <c r="Q6" s="4"/>
      <c r="R6" s="4"/>
      <c r="S6" s="4"/>
      <c r="T6" s="4"/>
      <c r="U6" s="4"/>
      <c r="V6" s="45" t="s">
        <v>2</v>
      </c>
      <c r="W6" s="4"/>
      <c r="X6" s="4"/>
      <c r="Y6" s="84">
        <v>4000</v>
      </c>
      <c r="Z6" s="4" t="s">
        <v>3</v>
      </c>
      <c r="AA6" s="4"/>
      <c r="AB6" s="4"/>
      <c r="AC6" s="4"/>
      <c r="AD6" s="4"/>
      <c r="AJ6" s="78">
        <v>1</v>
      </c>
      <c r="AK6" s="11">
        <f>B20</f>
        <v>328.125</v>
      </c>
      <c r="AL6" s="11">
        <f t="shared" ref="AK6:AO10" si="0">C20</f>
        <v>3.2140046849512931E-11</v>
      </c>
      <c r="AM6" s="11">
        <f>D20</f>
        <v>-656250</v>
      </c>
      <c r="AN6" s="11">
        <f t="shared" si="0"/>
        <v>-328.125</v>
      </c>
      <c r="AO6" s="11">
        <f t="shared" si="0"/>
        <v>-3.2140046849512931E-11</v>
      </c>
      <c r="AP6" s="4"/>
      <c r="AQ6" s="4"/>
      <c r="AR6" s="4"/>
      <c r="AS6" s="4"/>
      <c r="AT6" s="4"/>
      <c r="AU6" s="4"/>
      <c r="AV6" s="4"/>
      <c r="AW6" s="11">
        <f>G20</f>
        <v>-656250</v>
      </c>
      <c r="AX6" s="69"/>
      <c r="AY6" s="7">
        <f>I20</f>
        <v>20000</v>
      </c>
      <c r="AZ6" s="78">
        <v>1</v>
      </c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69"/>
    </row>
    <row r="7" spans="1:67" ht="13.5" x14ac:dyDescent="0.2">
      <c r="A7" s="4"/>
      <c r="B7" s="45" t="s">
        <v>21</v>
      </c>
      <c r="C7" s="4"/>
      <c r="D7" s="4"/>
      <c r="E7" s="86">
        <f>100*100</f>
        <v>10000</v>
      </c>
      <c r="F7" s="4" t="s">
        <v>4</v>
      </c>
      <c r="G7" s="4"/>
      <c r="H7" s="4"/>
      <c r="I7" s="4"/>
      <c r="J7" s="4"/>
      <c r="K7" s="4"/>
      <c r="L7" s="45" t="s">
        <v>21</v>
      </c>
      <c r="M7" s="4"/>
      <c r="N7" s="4"/>
      <c r="O7" s="86">
        <f>100*200</f>
        <v>20000</v>
      </c>
      <c r="P7" s="4" t="s">
        <v>4</v>
      </c>
      <c r="Q7" s="4"/>
      <c r="R7" s="4"/>
      <c r="S7" s="4"/>
      <c r="T7" s="4"/>
      <c r="U7" s="4"/>
      <c r="V7" s="45" t="s">
        <v>21</v>
      </c>
      <c r="W7" s="4"/>
      <c r="X7" s="26"/>
      <c r="Y7" s="86">
        <f>E7</f>
        <v>10000</v>
      </c>
      <c r="Z7" s="4" t="s">
        <v>4</v>
      </c>
      <c r="AA7" s="4"/>
      <c r="AB7" s="4"/>
      <c r="AC7" s="4"/>
      <c r="AD7" s="4"/>
      <c r="AJ7" s="78">
        <v>2</v>
      </c>
      <c r="AK7" s="11">
        <f t="shared" si="0"/>
        <v>3.2140046849512931E-11</v>
      </c>
      <c r="AL7" s="11">
        <f t="shared" si="0"/>
        <v>525000</v>
      </c>
      <c r="AM7" s="11">
        <f>D21</f>
        <v>4.0200183676689094E-11</v>
      </c>
      <c r="AN7" s="11">
        <f t="shared" si="0"/>
        <v>-3.2140046849512931E-11</v>
      </c>
      <c r="AO7" s="11">
        <f t="shared" si="0"/>
        <v>-525000</v>
      </c>
      <c r="AP7" s="4"/>
      <c r="AQ7" s="4"/>
      <c r="AR7" s="4"/>
      <c r="AS7" s="4"/>
      <c r="AT7" s="4"/>
      <c r="AU7" s="4"/>
      <c r="AV7" s="4"/>
      <c r="AW7" s="11">
        <f>G21</f>
        <v>4.0200183676689094E-11</v>
      </c>
      <c r="AX7" s="69"/>
      <c r="AY7" s="7">
        <f t="shared" ref="AY7:AY10" si="1">I21</f>
        <v>-1.22514845490862E-12</v>
      </c>
      <c r="AZ7" s="78">
        <v>2</v>
      </c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69"/>
    </row>
    <row r="8" spans="1:67" ht="13.5" x14ac:dyDescent="0.2">
      <c r="A8" s="4"/>
      <c r="B8" s="45" t="s">
        <v>5</v>
      </c>
      <c r="C8" s="4"/>
      <c r="D8" s="4"/>
      <c r="E8" s="86">
        <f>100*100^3/12</f>
        <v>8333333.333333333</v>
      </c>
      <c r="F8" s="4" t="s">
        <v>6</v>
      </c>
      <c r="G8" s="4"/>
      <c r="H8" s="4"/>
      <c r="I8" s="4"/>
      <c r="J8" s="4"/>
      <c r="K8" s="4"/>
      <c r="L8" s="45" t="s">
        <v>5</v>
      </c>
      <c r="M8" s="4"/>
      <c r="N8" s="4"/>
      <c r="O8" s="86">
        <f>100*200^3/12</f>
        <v>66666666.666666664</v>
      </c>
      <c r="P8" s="4" t="s">
        <v>6</v>
      </c>
      <c r="Q8" s="4"/>
      <c r="R8" s="4"/>
      <c r="S8" s="4"/>
      <c r="T8" s="4"/>
      <c r="U8" s="4"/>
      <c r="V8" s="45" t="s">
        <v>5</v>
      </c>
      <c r="W8" s="4"/>
      <c r="X8" s="26"/>
      <c r="Y8" s="86">
        <f>E8</f>
        <v>8333333.333333333</v>
      </c>
      <c r="Z8" s="4" t="s">
        <v>6</v>
      </c>
      <c r="AA8" s="4"/>
      <c r="AB8" s="4"/>
      <c r="AC8" s="4"/>
      <c r="AD8" s="4"/>
      <c r="AJ8" s="78">
        <v>3</v>
      </c>
      <c r="AK8" s="11">
        <f>B22</f>
        <v>-656250</v>
      </c>
      <c r="AL8" s="11">
        <f>C22</f>
        <v>4.0200183676689094E-11</v>
      </c>
      <c r="AM8" s="11">
        <f>D22</f>
        <v>1750000000</v>
      </c>
      <c r="AN8" s="11">
        <f>E22</f>
        <v>656250</v>
      </c>
      <c r="AO8" s="11">
        <f>F22</f>
        <v>-4.0200183676689094E-11</v>
      </c>
      <c r="AP8" s="4"/>
      <c r="AQ8" s="4"/>
      <c r="AR8" s="4"/>
      <c r="AS8" s="4"/>
      <c r="AT8" s="4"/>
      <c r="AU8" s="4"/>
      <c r="AV8" s="4"/>
      <c r="AW8" s="11">
        <f>G22</f>
        <v>875000000</v>
      </c>
      <c r="AX8" s="69"/>
      <c r="AY8" s="7">
        <f t="shared" si="1"/>
        <v>-13333333.333333334</v>
      </c>
      <c r="AZ8" s="78">
        <v>3</v>
      </c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69"/>
    </row>
    <row r="9" spans="1:67" ht="13.5" x14ac:dyDescent="0.2">
      <c r="A9" s="4"/>
      <c r="B9" s="45" t="s">
        <v>7</v>
      </c>
      <c r="C9" s="4"/>
      <c r="D9" s="4"/>
      <c r="E9" s="86">
        <f>210*10^3</f>
        <v>210000</v>
      </c>
      <c r="F9" s="4" t="s">
        <v>24</v>
      </c>
      <c r="G9" s="4"/>
      <c r="H9" s="4"/>
      <c r="I9" s="4"/>
      <c r="J9" s="4"/>
      <c r="K9" s="4"/>
      <c r="L9" s="45" t="s">
        <v>7</v>
      </c>
      <c r="M9" s="4"/>
      <c r="N9" s="4"/>
      <c r="O9" s="86">
        <f>210*10^3</f>
        <v>210000</v>
      </c>
      <c r="P9" s="4" t="s">
        <v>12</v>
      </c>
      <c r="Q9" s="4"/>
      <c r="R9" s="4"/>
      <c r="S9" s="4"/>
      <c r="T9" s="4"/>
      <c r="U9" s="4"/>
      <c r="V9" s="45" t="s">
        <v>7</v>
      </c>
      <c r="W9" s="4"/>
      <c r="X9" s="26"/>
      <c r="Y9" s="86">
        <f>E9</f>
        <v>210000</v>
      </c>
      <c r="Z9" s="4" t="s">
        <v>8</v>
      </c>
      <c r="AA9" s="4"/>
      <c r="AB9" s="4"/>
      <c r="AC9" s="4"/>
      <c r="AD9" s="4"/>
      <c r="AJ9" s="78">
        <v>4</v>
      </c>
      <c r="AK9" s="11">
        <f t="shared" si="0"/>
        <v>-328.125</v>
      </c>
      <c r="AL9" s="11">
        <f t="shared" si="0"/>
        <v>-3.2140046849512931E-11</v>
      </c>
      <c r="AM9" s="11">
        <f>D23</f>
        <v>656250</v>
      </c>
      <c r="AN9" s="11">
        <f t="shared" si="0"/>
        <v>328.125</v>
      </c>
      <c r="AO9" s="11">
        <f t="shared" si="0"/>
        <v>3.2140046849512931E-11</v>
      </c>
      <c r="AP9" s="4"/>
      <c r="AQ9" s="4"/>
      <c r="AR9" s="4"/>
      <c r="AS9" s="4"/>
      <c r="AT9" s="4"/>
      <c r="AU9" s="4"/>
      <c r="AV9" s="4"/>
      <c r="AW9" s="11">
        <f>G23</f>
        <v>656250</v>
      </c>
      <c r="AX9" s="69"/>
      <c r="AY9" s="7">
        <f t="shared" si="1"/>
        <v>20000</v>
      </c>
      <c r="AZ9" s="78">
        <v>4</v>
      </c>
      <c r="BA9" s="4"/>
      <c r="BB9" s="4"/>
      <c r="BC9" s="4"/>
      <c r="BD9" s="15">
        <f t="shared" ref="BD9:BF11" si="2">L20</f>
        <v>700000</v>
      </c>
      <c r="BE9" s="15">
        <f t="shared" si="2"/>
        <v>0</v>
      </c>
      <c r="BF9" s="15">
        <f t="shared" si="2"/>
        <v>0</v>
      </c>
      <c r="BG9" s="4"/>
      <c r="BH9" s="4"/>
      <c r="BI9" s="4"/>
      <c r="BJ9" s="15">
        <f t="shared" ref="BJ9:BL11" si="3">O20</f>
        <v>-700000</v>
      </c>
      <c r="BK9" s="15">
        <f t="shared" si="3"/>
        <v>0</v>
      </c>
      <c r="BL9" s="15">
        <f t="shared" si="3"/>
        <v>0</v>
      </c>
      <c r="BM9" s="16"/>
      <c r="BN9" s="72"/>
      <c r="BO9" s="116" cm="1">
        <f t="array" ref="BO9:BO11">S20:S22</f>
        <v>0</v>
      </c>
    </row>
    <row r="10" spans="1:67" x14ac:dyDescent="0.2">
      <c r="A10" s="4"/>
      <c r="B10" s="45" t="s">
        <v>23</v>
      </c>
      <c r="C10" s="4"/>
      <c r="D10" s="4"/>
      <c r="E10" s="19">
        <f>E9*E7</f>
        <v>2100000000</v>
      </c>
      <c r="F10" s="4" t="s">
        <v>9</v>
      </c>
      <c r="G10" s="4"/>
      <c r="H10" s="4"/>
      <c r="I10" s="4"/>
      <c r="J10" s="4"/>
      <c r="K10" s="4"/>
      <c r="L10" s="45" t="s">
        <v>23</v>
      </c>
      <c r="M10" s="4"/>
      <c r="N10" s="4"/>
      <c r="O10" s="19">
        <f>O9*O7</f>
        <v>4200000000</v>
      </c>
      <c r="P10" s="4" t="s">
        <v>9</v>
      </c>
      <c r="Q10" s="4"/>
      <c r="R10" s="4"/>
      <c r="S10" s="4"/>
      <c r="T10" s="4"/>
      <c r="U10" s="4"/>
      <c r="V10" s="45" t="s">
        <v>23</v>
      </c>
      <c r="W10" s="4"/>
      <c r="X10" s="26"/>
      <c r="Y10" s="19">
        <f>E10</f>
        <v>2100000000</v>
      </c>
      <c r="Z10" s="4" t="s">
        <v>9</v>
      </c>
      <c r="AA10" s="4"/>
      <c r="AB10" s="4"/>
      <c r="AC10" s="4"/>
      <c r="AD10" s="4"/>
      <c r="AJ10" s="78">
        <v>5</v>
      </c>
      <c r="AK10" s="11">
        <f t="shared" si="0"/>
        <v>-3.2140046849512931E-11</v>
      </c>
      <c r="AL10" s="11">
        <f t="shared" si="0"/>
        <v>-525000</v>
      </c>
      <c r="AM10" s="11">
        <f>D24</f>
        <v>-4.0200183676689094E-11</v>
      </c>
      <c r="AN10" s="11">
        <f t="shared" si="0"/>
        <v>3.2140046849512931E-11</v>
      </c>
      <c r="AO10" s="11">
        <f t="shared" si="0"/>
        <v>525000</v>
      </c>
      <c r="AP10" s="4"/>
      <c r="AQ10" s="4"/>
      <c r="AR10" s="4"/>
      <c r="AS10" s="4"/>
      <c r="AT10" s="4"/>
      <c r="AU10" s="4"/>
      <c r="AV10" s="4"/>
      <c r="AW10" s="11">
        <f>G24</f>
        <v>-4.0200183676689094E-11</v>
      </c>
      <c r="AX10" s="69"/>
      <c r="AY10" s="7">
        <f t="shared" si="1"/>
        <v>-1.22514845490862E-12</v>
      </c>
      <c r="AZ10" s="78">
        <v>5</v>
      </c>
      <c r="BA10" s="4"/>
      <c r="BB10" s="4"/>
      <c r="BC10" s="4"/>
      <c r="BD10" s="15">
        <f t="shared" si="2"/>
        <v>0</v>
      </c>
      <c r="BE10" s="15">
        <f t="shared" si="2"/>
        <v>777.77777777777783</v>
      </c>
      <c r="BF10" s="15">
        <f t="shared" si="2"/>
        <v>2333333.3333333335</v>
      </c>
      <c r="BG10" s="4"/>
      <c r="BH10" s="4"/>
      <c r="BI10" s="4"/>
      <c r="BJ10" s="15">
        <f t="shared" si="3"/>
        <v>0</v>
      </c>
      <c r="BK10" s="15">
        <f t="shared" si="3"/>
        <v>-777.77777777777783</v>
      </c>
      <c r="BL10" s="15">
        <f t="shared" si="3"/>
        <v>2333333.3333333335</v>
      </c>
      <c r="BM10" s="16"/>
      <c r="BN10" s="72"/>
      <c r="BO10" s="80">
        <v>-30000</v>
      </c>
    </row>
    <row r="11" spans="1:67" ht="13.5" x14ac:dyDescent="0.2">
      <c r="A11" s="4"/>
      <c r="B11" s="45" t="s">
        <v>22</v>
      </c>
      <c r="C11" s="4"/>
      <c r="D11" s="4"/>
      <c r="E11" s="19">
        <f>E9*E8</f>
        <v>1750000000000</v>
      </c>
      <c r="F11" s="4" t="s">
        <v>25</v>
      </c>
      <c r="G11" s="4"/>
      <c r="H11" s="4"/>
      <c r="I11" s="4"/>
      <c r="J11" s="4"/>
      <c r="K11" s="4"/>
      <c r="L11" s="45" t="s">
        <v>22</v>
      </c>
      <c r="M11" s="4"/>
      <c r="N11" s="4"/>
      <c r="O11" s="19">
        <f>O9*O8</f>
        <v>14000000000000</v>
      </c>
      <c r="P11" s="4" t="s">
        <v>10</v>
      </c>
      <c r="Q11" s="4"/>
      <c r="R11" s="4"/>
      <c r="S11" s="4"/>
      <c r="T11" s="4"/>
      <c r="U11" s="4"/>
      <c r="V11" s="45" t="s">
        <v>22</v>
      </c>
      <c r="W11" s="4"/>
      <c r="X11" s="26"/>
      <c r="Y11" s="19">
        <f>E11</f>
        <v>1750000000000</v>
      </c>
      <c r="Z11" s="4" t="s">
        <v>10</v>
      </c>
      <c r="AA11" s="4"/>
      <c r="AB11" s="4"/>
      <c r="AC11" s="4"/>
      <c r="AD11" s="4"/>
      <c r="AJ11" s="78">
        <v>6</v>
      </c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69"/>
      <c r="AY11" s="4"/>
      <c r="AZ11" s="78">
        <v>6</v>
      </c>
      <c r="BA11" s="4"/>
      <c r="BB11" s="4"/>
      <c r="BC11" s="4"/>
      <c r="BD11" s="15">
        <f t="shared" si="2"/>
        <v>0</v>
      </c>
      <c r="BE11" s="15">
        <f t="shared" si="2"/>
        <v>2333333.3333333335</v>
      </c>
      <c r="BF11" s="15">
        <f t="shared" si="2"/>
        <v>9333333333.333334</v>
      </c>
      <c r="BG11" s="4"/>
      <c r="BH11" s="4"/>
      <c r="BI11" s="4"/>
      <c r="BJ11" s="15">
        <f t="shared" si="3"/>
        <v>0</v>
      </c>
      <c r="BK11" s="15">
        <f t="shared" si="3"/>
        <v>-2333333.3333333335</v>
      </c>
      <c r="BL11" s="15">
        <f t="shared" si="3"/>
        <v>4666666666.666667</v>
      </c>
      <c r="BM11" s="16"/>
      <c r="BN11" s="72"/>
      <c r="BO11" s="80">
        <v>-30000000</v>
      </c>
    </row>
    <row r="12" spans="1:67" x14ac:dyDescent="0.2">
      <c r="A12" s="4"/>
      <c r="B12" s="45"/>
      <c r="C12" s="4"/>
      <c r="D12" s="4"/>
      <c r="E12" s="4"/>
      <c r="F12" s="4"/>
      <c r="G12" s="4"/>
      <c r="H12" s="4"/>
      <c r="I12" s="4"/>
      <c r="J12" s="4"/>
      <c r="K12" s="4"/>
      <c r="L12" s="45"/>
      <c r="M12" s="4"/>
      <c r="N12" s="4"/>
      <c r="O12" s="4"/>
      <c r="P12" s="4"/>
      <c r="Q12" s="4"/>
      <c r="R12" s="4"/>
      <c r="S12" s="4"/>
      <c r="T12" s="4"/>
      <c r="U12" s="4"/>
      <c r="V12" s="45"/>
      <c r="W12" s="4"/>
      <c r="X12" s="26"/>
      <c r="Y12" s="4"/>
      <c r="Z12" s="4"/>
      <c r="AA12" s="4"/>
      <c r="AB12" s="4"/>
      <c r="AC12" s="4"/>
      <c r="AD12" s="4"/>
      <c r="AJ12" s="78">
        <v>7</v>
      </c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69"/>
      <c r="AY12" s="4"/>
      <c r="AZ12" s="78">
        <v>7</v>
      </c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16"/>
      <c r="BN12" s="72"/>
    </row>
    <row r="13" spans="1:67" x14ac:dyDescent="0.2">
      <c r="A13" s="4"/>
      <c r="B13" s="79" t="s">
        <v>14</v>
      </c>
      <c r="C13" s="4"/>
      <c r="D13" s="4"/>
      <c r="E13" s="4"/>
      <c r="F13" s="4"/>
      <c r="G13" s="4"/>
      <c r="H13" s="4"/>
      <c r="I13" s="4"/>
      <c r="J13" s="4"/>
      <c r="K13" s="4"/>
      <c r="L13" s="79" t="s">
        <v>14</v>
      </c>
      <c r="M13" s="4"/>
      <c r="N13" s="4"/>
      <c r="O13" s="4"/>
      <c r="P13" s="4"/>
      <c r="Q13" s="4"/>
      <c r="R13" s="4"/>
      <c r="S13" s="4"/>
      <c r="T13" s="4"/>
      <c r="U13" s="4"/>
      <c r="V13" s="79" t="s">
        <v>14</v>
      </c>
      <c r="W13" s="4"/>
      <c r="X13" s="26"/>
      <c r="Y13" s="4"/>
      <c r="Z13" s="4"/>
      <c r="AA13" s="4"/>
      <c r="AB13" s="4"/>
      <c r="AC13" s="4"/>
      <c r="AD13" s="4"/>
      <c r="AJ13" s="78">
        <v>8</v>
      </c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69"/>
      <c r="AY13" s="4"/>
      <c r="AZ13" s="78">
        <v>8</v>
      </c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69"/>
    </row>
    <row r="14" spans="1:67" x14ac:dyDescent="0.2">
      <c r="A14" s="4"/>
      <c r="B14" s="45" t="s">
        <v>11</v>
      </c>
      <c r="C14" s="4"/>
      <c r="D14" s="4"/>
      <c r="E14" s="20">
        <v>0</v>
      </c>
      <c r="F14" s="4" t="s">
        <v>33</v>
      </c>
      <c r="G14" s="4"/>
      <c r="H14" s="4"/>
      <c r="I14" s="4"/>
      <c r="J14" s="4"/>
      <c r="K14" s="4"/>
      <c r="L14" s="45" t="s">
        <v>11</v>
      </c>
      <c r="M14" s="4"/>
      <c r="N14" s="4"/>
      <c r="O14" s="20">
        <v>0</v>
      </c>
      <c r="P14" s="4" t="s">
        <v>33</v>
      </c>
      <c r="Q14" s="4"/>
      <c r="R14" s="4"/>
      <c r="S14" s="4"/>
      <c r="T14" s="4"/>
      <c r="U14" s="4"/>
      <c r="V14" s="45" t="s">
        <v>11</v>
      </c>
      <c r="W14" s="4"/>
      <c r="X14" s="4"/>
      <c r="Y14" s="20">
        <v>0</v>
      </c>
      <c r="Z14" s="4" t="s">
        <v>33</v>
      </c>
      <c r="AA14" s="4"/>
      <c r="AB14" s="4"/>
      <c r="AC14" s="4"/>
      <c r="AD14" s="4"/>
      <c r="AJ14" s="78">
        <v>9</v>
      </c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69"/>
      <c r="AY14" s="4"/>
      <c r="AZ14" s="78">
        <v>9</v>
      </c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69"/>
    </row>
    <row r="15" spans="1:67" x14ac:dyDescent="0.2">
      <c r="A15" s="4"/>
      <c r="B15" s="45" t="s">
        <v>18</v>
      </c>
      <c r="C15" s="4"/>
      <c r="D15" s="4"/>
      <c r="E15" s="20">
        <v>10</v>
      </c>
      <c r="F15" s="4" t="s">
        <v>33</v>
      </c>
      <c r="G15" s="4"/>
      <c r="H15" s="4"/>
      <c r="I15" s="4"/>
      <c r="J15" s="4"/>
      <c r="K15" s="4"/>
      <c r="L15" s="45" t="s">
        <v>18</v>
      </c>
      <c r="M15" s="4"/>
      <c r="N15" s="4"/>
      <c r="O15" s="20">
        <v>10</v>
      </c>
      <c r="P15" s="4" t="s">
        <v>33</v>
      </c>
      <c r="Q15" s="4"/>
      <c r="R15" s="4"/>
      <c r="S15" s="4"/>
      <c r="T15" s="4"/>
      <c r="U15" s="4"/>
      <c r="V15" s="45" t="s">
        <v>18</v>
      </c>
      <c r="W15" s="4"/>
      <c r="X15" s="4"/>
      <c r="Y15" s="20">
        <v>-5</v>
      </c>
      <c r="Z15" s="4" t="s">
        <v>33</v>
      </c>
      <c r="AA15" s="4"/>
      <c r="AB15" s="4"/>
      <c r="AC15" s="4"/>
      <c r="AD15" s="4"/>
      <c r="AJ15" s="78">
        <v>10</v>
      </c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69"/>
      <c r="AY15" s="4"/>
      <c r="AZ15" s="78">
        <v>10</v>
      </c>
      <c r="BA15" s="4"/>
      <c r="BB15" s="4"/>
      <c r="BC15" s="4"/>
      <c r="BD15" s="15">
        <f t="shared" ref="BD15:BF17" si="4">L23</f>
        <v>-700000</v>
      </c>
      <c r="BE15" s="15">
        <f t="shared" si="4"/>
        <v>0</v>
      </c>
      <c r="BF15" s="15">
        <f t="shared" si="4"/>
        <v>0</v>
      </c>
      <c r="BG15" s="4"/>
      <c r="BH15" s="4"/>
      <c r="BI15" s="4"/>
      <c r="BJ15" s="15">
        <f t="shared" ref="BJ15:BL17" si="5">O23</f>
        <v>700000</v>
      </c>
      <c r="BK15" s="15">
        <f t="shared" si="5"/>
        <v>0</v>
      </c>
      <c r="BL15" s="15">
        <f t="shared" si="5"/>
        <v>0</v>
      </c>
      <c r="BM15" s="16"/>
      <c r="BN15" s="72"/>
      <c r="BO15" s="116" cm="1">
        <f t="array" ref="BO15:BO17">S23:S25</f>
        <v>0</v>
      </c>
    </row>
    <row r="16" spans="1:67" x14ac:dyDescent="0.2">
      <c r="A16" s="4"/>
      <c r="B16" s="45"/>
      <c r="C16" s="4"/>
      <c r="D16" s="4"/>
      <c r="E16" s="7"/>
      <c r="F16" s="4"/>
      <c r="G16" s="4"/>
      <c r="H16" s="4"/>
      <c r="I16" s="4"/>
      <c r="J16" s="4"/>
      <c r="K16" s="4"/>
      <c r="L16" s="45"/>
      <c r="M16" s="4"/>
      <c r="N16" s="4"/>
      <c r="O16" s="7"/>
      <c r="P16" s="4"/>
      <c r="Q16" s="4"/>
      <c r="R16" s="4"/>
      <c r="S16" s="82"/>
      <c r="T16" s="4"/>
      <c r="U16" s="4"/>
      <c r="V16" s="45"/>
      <c r="W16" s="4"/>
      <c r="X16" s="4"/>
      <c r="Y16" s="7"/>
      <c r="Z16" s="4"/>
      <c r="AA16" s="4"/>
      <c r="AB16" s="4"/>
      <c r="AC16" s="4"/>
      <c r="AD16" s="4"/>
      <c r="AJ16" s="78">
        <v>11</v>
      </c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69"/>
      <c r="AY16" s="4"/>
      <c r="AZ16" s="78">
        <v>11</v>
      </c>
      <c r="BA16" s="4"/>
      <c r="BB16" s="4"/>
      <c r="BC16" s="4"/>
      <c r="BD16" s="15">
        <f t="shared" si="4"/>
        <v>0</v>
      </c>
      <c r="BE16" s="15">
        <f t="shared" si="4"/>
        <v>-777.77777777777783</v>
      </c>
      <c r="BF16" s="15">
        <f t="shared" si="4"/>
        <v>-2333333.3333333335</v>
      </c>
      <c r="BG16" s="4"/>
      <c r="BH16" s="4"/>
      <c r="BI16" s="4"/>
      <c r="BJ16" s="15">
        <f t="shared" si="5"/>
        <v>0</v>
      </c>
      <c r="BK16" s="15">
        <f t="shared" si="5"/>
        <v>777.77777777777783</v>
      </c>
      <c r="BL16" s="15">
        <f t="shared" si="5"/>
        <v>-2333333.3333333335</v>
      </c>
      <c r="BM16" s="16"/>
      <c r="BN16" s="72"/>
      <c r="BO16" s="80">
        <v>-30000</v>
      </c>
    </row>
    <row r="17" spans="1:67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J17" s="78">
        <v>12</v>
      </c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69"/>
      <c r="AY17" s="4"/>
      <c r="AZ17" s="78">
        <v>12</v>
      </c>
      <c r="BA17" s="4"/>
      <c r="BB17" s="4"/>
      <c r="BC17" s="4"/>
      <c r="BD17" s="15">
        <f t="shared" si="4"/>
        <v>0</v>
      </c>
      <c r="BE17" s="15">
        <f t="shared" si="4"/>
        <v>2333333.3333333335</v>
      </c>
      <c r="BF17" s="15">
        <f t="shared" si="4"/>
        <v>4666666666.666667</v>
      </c>
      <c r="BG17" s="4"/>
      <c r="BH17" s="4"/>
      <c r="BI17" s="4"/>
      <c r="BJ17" s="15">
        <f t="shared" si="5"/>
        <v>0</v>
      </c>
      <c r="BK17" s="15">
        <f t="shared" si="5"/>
        <v>-2333333.3333333335</v>
      </c>
      <c r="BL17" s="15">
        <f t="shared" si="5"/>
        <v>9333333333.333334</v>
      </c>
      <c r="BM17" s="16"/>
      <c r="BN17" s="72"/>
      <c r="BO17" s="80">
        <v>30000000</v>
      </c>
    </row>
    <row r="18" spans="1:67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J18" s="78">
        <v>13</v>
      </c>
      <c r="AK18" s="11">
        <f>B25</f>
        <v>-656250</v>
      </c>
      <c r="AL18" s="11">
        <f>C25</f>
        <v>4.0200183676689094E-11</v>
      </c>
      <c r="AM18" s="11">
        <f>D25</f>
        <v>875000000</v>
      </c>
      <c r="AN18" s="11">
        <f>E25</f>
        <v>656250</v>
      </c>
      <c r="AO18" s="11">
        <f>F25</f>
        <v>-4.0200183676689094E-11</v>
      </c>
      <c r="AP18" s="4"/>
      <c r="AQ18" s="4"/>
      <c r="AR18" s="4"/>
      <c r="AS18" s="4"/>
      <c r="AT18" s="4"/>
      <c r="AU18" s="4"/>
      <c r="AV18" s="4"/>
      <c r="AW18" s="11">
        <f>G25</f>
        <v>1750000000</v>
      </c>
      <c r="AX18" s="69"/>
      <c r="AY18" s="7">
        <f>I25</f>
        <v>13333333.333333334</v>
      </c>
      <c r="AZ18" s="78">
        <v>13</v>
      </c>
      <c r="BA18" s="4"/>
      <c r="BB18" s="4"/>
      <c r="BC18" s="4"/>
      <c r="BD18" s="16"/>
      <c r="BE18" s="16"/>
      <c r="BF18" s="4"/>
      <c r="BG18" s="16"/>
      <c r="BH18" s="4"/>
      <c r="BI18" s="4"/>
      <c r="BJ18" s="4"/>
      <c r="BK18" s="16"/>
      <c r="BL18" s="16"/>
      <c r="BM18" s="4"/>
      <c r="BN18" s="72"/>
    </row>
    <row r="19" spans="1:67" x14ac:dyDescent="0.2">
      <c r="A19" s="4"/>
      <c r="B19" s="79" t="s">
        <v>26</v>
      </c>
      <c r="C19" s="4"/>
      <c r="D19" s="4"/>
      <c r="E19" s="4"/>
      <c r="F19" s="4"/>
      <c r="G19" s="4"/>
      <c r="H19" s="4"/>
      <c r="I19" s="82" t="s">
        <v>32</v>
      </c>
      <c r="J19" s="4"/>
      <c r="K19" s="4"/>
      <c r="L19" s="79" t="s">
        <v>26</v>
      </c>
      <c r="M19" s="4"/>
      <c r="N19" s="4"/>
      <c r="O19" s="4"/>
      <c r="P19" s="4"/>
      <c r="Q19" s="4"/>
      <c r="R19" s="4"/>
      <c r="S19" s="82" t="s">
        <v>32</v>
      </c>
      <c r="T19" s="4"/>
      <c r="U19" s="4"/>
      <c r="V19" s="79" t="s">
        <v>26</v>
      </c>
      <c r="W19" s="4"/>
      <c r="X19" s="4"/>
      <c r="Y19" s="4"/>
      <c r="Z19" s="4"/>
      <c r="AA19" s="4"/>
      <c r="AB19" s="4"/>
      <c r="AC19" s="82" t="s">
        <v>32</v>
      </c>
      <c r="AD19" s="4"/>
      <c r="AJ19" s="78">
        <v>14</v>
      </c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70"/>
      <c r="AX19" s="71"/>
      <c r="AY19" s="4"/>
      <c r="AZ19" s="78">
        <v>14</v>
      </c>
      <c r="BA19" s="70"/>
      <c r="BB19" s="70"/>
      <c r="BC19" s="70"/>
      <c r="BD19" s="73"/>
      <c r="BE19" s="73"/>
      <c r="BF19" s="70"/>
      <c r="BG19" s="73"/>
      <c r="BH19" s="70"/>
      <c r="BI19" s="70"/>
      <c r="BJ19" s="70"/>
      <c r="BK19" s="73"/>
      <c r="BL19" s="73"/>
      <c r="BM19" s="70"/>
      <c r="BN19" s="74"/>
    </row>
    <row r="20" spans="1:67" x14ac:dyDescent="0.2">
      <c r="A20" s="4"/>
      <c r="B20" s="37">
        <f t="shared" ref="B20:G21" si="6">$B36*B$45+$C36*B$46+$D36*B$47+$E36*B$48+$F36*B$49+$G36*B$50</f>
        <v>328.125</v>
      </c>
      <c r="C20" s="37">
        <f t="shared" si="6"/>
        <v>3.2140046849512931E-11</v>
      </c>
      <c r="D20" s="37">
        <f t="shared" si="6"/>
        <v>-656250</v>
      </c>
      <c r="E20" s="37">
        <f t="shared" si="6"/>
        <v>-328.125</v>
      </c>
      <c r="F20" s="37">
        <f t="shared" si="6"/>
        <v>-3.2140046849512931E-11</v>
      </c>
      <c r="G20" s="37">
        <f t="shared" si="6"/>
        <v>-656250</v>
      </c>
      <c r="H20" s="4"/>
      <c r="I20" s="40">
        <f>B54*I28+C54*I29+D54*I30+E54*I31+F54*I32+G54*I33</f>
        <v>20000</v>
      </c>
      <c r="J20" s="4"/>
      <c r="K20" s="4"/>
      <c r="L20" s="19">
        <f t="shared" ref="L20:Q25" si="7">$L37*L$46+$M37*L$47+$N37*L$48+$O37*L$49+$P37*L$50+$Q37*L$51</f>
        <v>700000</v>
      </c>
      <c r="M20" s="19">
        <f t="shared" si="7"/>
        <v>0</v>
      </c>
      <c r="N20" s="19">
        <f t="shared" si="7"/>
        <v>0</v>
      </c>
      <c r="O20" s="19">
        <f t="shared" si="7"/>
        <v>-700000</v>
      </c>
      <c r="P20" s="19">
        <f t="shared" si="7"/>
        <v>0</v>
      </c>
      <c r="Q20" s="19">
        <f t="shared" si="7"/>
        <v>0</v>
      </c>
      <c r="R20" s="4"/>
      <c r="S20" s="40">
        <f>L55*S28+M55*S29+N55*S30+O55*S31+P55*S32+Q55*S33</f>
        <v>0</v>
      </c>
      <c r="T20" s="4"/>
      <c r="U20" s="4"/>
      <c r="V20" s="20">
        <f t="shared" ref="V20:AA21" si="8">$V37*B$45+$W37*B$46+$X37*B$47+$Y37*B$48+$Z37*B$49+$AA37*B$50</f>
        <v>328.125</v>
      </c>
      <c r="W20" s="20">
        <f t="shared" si="8"/>
        <v>3.2140046849512931E-11</v>
      </c>
      <c r="X20" s="20">
        <f t="shared" si="8"/>
        <v>-656250</v>
      </c>
      <c r="Y20" s="20">
        <f t="shared" si="8"/>
        <v>-328.125</v>
      </c>
      <c r="Z20" s="20">
        <f t="shared" si="8"/>
        <v>-3.2140046849512931E-11</v>
      </c>
      <c r="AA20" s="20">
        <f t="shared" si="8"/>
        <v>-656250</v>
      </c>
      <c r="AB20" s="4"/>
      <c r="AC20" s="40">
        <f>V55*AC28+W55*AC29+X55*AC30+Y55*AC31+Z55*AC32+AA55*AC33</f>
        <v>-10000</v>
      </c>
      <c r="AD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</row>
    <row r="21" spans="1:67" x14ac:dyDescent="0.2">
      <c r="A21" s="4"/>
      <c r="B21" s="37">
        <f t="shared" si="6"/>
        <v>3.2140046849512931E-11</v>
      </c>
      <c r="C21" s="37">
        <f t="shared" si="6"/>
        <v>525000</v>
      </c>
      <c r="D21" s="37">
        <f t="shared" si="6"/>
        <v>4.0200183676689094E-11</v>
      </c>
      <c r="E21" s="37">
        <f t="shared" si="6"/>
        <v>-3.2140046849512931E-11</v>
      </c>
      <c r="F21" s="37">
        <f t="shared" si="6"/>
        <v>-525000</v>
      </c>
      <c r="G21" s="37">
        <f t="shared" si="6"/>
        <v>4.0200183676689094E-11</v>
      </c>
      <c r="H21" s="4"/>
      <c r="I21" s="40">
        <f>B55*I28+C55*I29+D55*I30+E55*I31+F55*I32+G55*I33</f>
        <v>-1.22514845490862E-12</v>
      </c>
      <c r="J21" s="4"/>
      <c r="K21" s="4"/>
      <c r="L21" s="19">
        <f t="shared" si="7"/>
        <v>0</v>
      </c>
      <c r="M21" s="19">
        <f t="shared" si="7"/>
        <v>777.77777777777783</v>
      </c>
      <c r="N21" s="19">
        <f t="shared" si="7"/>
        <v>2333333.3333333335</v>
      </c>
      <c r="O21" s="19">
        <f t="shared" si="7"/>
        <v>0</v>
      </c>
      <c r="P21" s="19">
        <f t="shared" si="7"/>
        <v>-777.77777777777783</v>
      </c>
      <c r="Q21" s="19">
        <f t="shared" si="7"/>
        <v>2333333.3333333335</v>
      </c>
      <c r="R21" s="4"/>
      <c r="S21" s="40">
        <f>L56*S28+M56*S29+N56*S30+O56*S31+P56*S32+Q56*S33</f>
        <v>-30000</v>
      </c>
      <c r="T21" s="4"/>
      <c r="U21" s="4"/>
      <c r="V21" s="20">
        <f t="shared" si="8"/>
        <v>3.2140046849512931E-11</v>
      </c>
      <c r="W21" s="20">
        <f t="shared" si="8"/>
        <v>525000</v>
      </c>
      <c r="X21" s="20">
        <f t="shared" si="8"/>
        <v>4.0200183676689094E-11</v>
      </c>
      <c r="Y21" s="20">
        <f t="shared" si="8"/>
        <v>-3.2140046849512931E-11</v>
      </c>
      <c r="Z21" s="20">
        <f t="shared" si="8"/>
        <v>-525000</v>
      </c>
      <c r="AA21" s="20">
        <f t="shared" si="8"/>
        <v>4.0200183676689094E-11</v>
      </c>
      <c r="AB21" s="4"/>
      <c r="AC21" s="40">
        <f>V56*AC28+W56*AC29+X56*AC30+Y56*AC31+Z56*AC32+AA56*AC33</f>
        <v>6.1257422745431001E-13</v>
      </c>
      <c r="AD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</row>
    <row r="22" spans="1:67" x14ac:dyDescent="0.2">
      <c r="A22" s="4"/>
      <c r="B22" s="37">
        <f t="shared" ref="B22:F25" si="9">$B38*B$45+$C38*B$46+$D38*B$47+$E38*B$48+$F38*B$49+$G38*B$50</f>
        <v>-656250</v>
      </c>
      <c r="C22" s="37">
        <f t="shared" si="9"/>
        <v>4.0200183676689094E-11</v>
      </c>
      <c r="D22" s="37">
        <f t="shared" si="9"/>
        <v>1750000000</v>
      </c>
      <c r="E22" s="37">
        <f t="shared" si="9"/>
        <v>656250</v>
      </c>
      <c r="F22" s="37">
        <f t="shared" si="9"/>
        <v>-4.0200183676689094E-11</v>
      </c>
      <c r="G22" s="37">
        <f>-1*$B38*G$45+$C38*G$46+$D38*G$47+$E38*G$48+$F38*G$49+$G38*G$50</f>
        <v>875000000</v>
      </c>
      <c r="H22" s="4"/>
      <c r="I22" s="40">
        <f>B56*I28+C56*I29+D56*I30+E56*I31+F56*I32+G56*I33</f>
        <v>-13333333.333333334</v>
      </c>
      <c r="J22" s="4"/>
      <c r="K22" s="4"/>
      <c r="L22" s="19">
        <f t="shared" si="7"/>
        <v>0</v>
      </c>
      <c r="M22" s="19">
        <f t="shared" si="7"/>
        <v>2333333.3333333335</v>
      </c>
      <c r="N22" s="19">
        <f t="shared" si="7"/>
        <v>9333333333.333334</v>
      </c>
      <c r="O22" s="19">
        <f t="shared" si="7"/>
        <v>0</v>
      </c>
      <c r="P22" s="19">
        <f t="shared" si="7"/>
        <v>-2333333.3333333335</v>
      </c>
      <c r="Q22" s="19">
        <f t="shared" si="7"/>
        <v>4666666666.666667</v>
      </c>
      <c r="R22" s="4"/>
      <c r="S22" s="40">
        <f>L57*S28+M57*S29+N57*S30+O57*S31+P57*S32+Q57*S33</f>
        <v>-30000000</v>
      </c>
      <c r="T22" s="4"/>
      <c r="U22" s="4"/>
      <c r="V22" s="20">
        <f t="shared" ref="V22:Z25" si="10">$V39*B$45+$W39*B$46+$X39*B$47+$Y39*B$48+$Z39*B$49+$AA39*B$50</f>
        <v>-656250</v>
      </c>
      <c r="W22" s="20">
        <f t="shared" si="10"/>
        <v>4.0200183676689094E-11</v>
      </c>
      <c r="X22" s="20">
        <f t="shared" si="10"/>
        <v>1750000000</v>
      </c>
      <c r="Y22" s="20">
        <f t="shared" si="10"/>
        <v>656250</v>
      </c>
      <c r="Z22" s="20">
        <f t="shared" si="10"/>
        <v>-4.0200183676689094E-11</v>
      </c>
      <c r="AA22" s="20">
        <f>-1*$V39*G$45+$W39*G$46+$X39*G$47+$Y39*G$48+$Z39*G$49+$AA39*G$50</f>
        <v>875000000</v>
      </c>
      <c r="AB22" s="4"/>
      <c r="AC22" s="40">
        <f>V57*AC28+W57*AC29+X57*AC30+Y57*AC31+Z57*AC32+AA57*AC33</f>
        <v>6666666.666666667</v>
      </c>
      <c r="AD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</row>
    <row r="23" spans="1:67" x14ac:dyDescent="0.2">
      <c r="A23" s="4"/>
      <c r="B23" s="37">
        <f t="shared" si="9"/>
        <v>-328.125</v>
      </c>
      <c r="C23" s="37">
        <f t="shared" si="9"/>
        <v>-3.2140046849512931E-11</v>
      </c>
      <c r="D23" s="37">
        <f t="shared" si="9"/>
        <v>656250</v>
      </c>
      <c r="E23" s="37">
        <f t="shared" si="9"/>
        <v>328.125</v>
      </c>
      <c r="F23" s="37">
        <f t="shared" si="9"/>
        <v>3.2140046849512931E-11</v>
      </c>
      <c r="G23" s="37">
        <f>$B39*G$45+$C39*G$46+$D39*G$47+$E39*G$48+$F39*G$49+$G39*G$50</f>
        <v>656250</v>
      </c>
      <c r="H23" s="4"/>
      <c r="I23" s="40">
        <f>B57*I28+C57*I29+D57*I30+E57*I31+F57*I32+G57*I33</f>
        <v>20000</v>
      </c>
      <c r="J23" s="4"/>
      <c r="K23" s="4"/>
      <c r="L23" s="19">
        <f t="shared" si="7"/>
        <v>-700000</v>
      </c>
      <c r="M23" s="19">
        <f t="shared" si="7"/>
        <v>0</v>
      </c>
      <c r="N23" s="19">
        <f t="shared" si="7"/>
        <v>0</v>
      </c>
      <c r="O23" s="19">
        <f t="shared" si="7"/>
        <v>700000</v>
      </c>
      <c r="P23" s="19">
        <f t="shared" si="7"/>
        <v>0</v>
      </c>
      <c r="Q23" s="19">
        <f t="shared" si="7"/>
        <v>0</v>
      </c>
      <c r="R23" s="4"/>
      <c r="S23" s="40">
        <f>L58*S28+M58*S29+N58*S30+O58*S31+P58*S32+Q58*S33</f>
        <v>0</v>
      </c>
      <c r="T23" s="4"/>
      <c r="U23" s="4"/>
      <c r="V23" s="20">
        <f t="shared" si="10"/>
        <v>-328.125</v>
      </c>
      <c r="W23" s="20">
        <f t="shared" si="10"/>
        <v>-3.2140046849512931E-11</v>
      </c>
      <c r="X23" s="20">
        <f t="shared" si="10"/>
        <v>656250</v>
      </c>
      <c r="Y23" s="20">
        <f t="shared" si="10"/>
        <v>328.125</v>
      </c>
      <c r="Z23" s="20">
        <f t="shared" si="10"/>
        <v>3.2140046849512931E-11</v>
      </c>
      <c r="AA23" s="20">
        <f>$V40*G$45+$W40*G$46+$X40*G$47+$Y40*G$48+$Z40*G$49+$AA40*G$50</f>
        <v>656250</v>
      </c>
      <c r="AB23" s="4"/>
      <c r="AC23" s="40">
        <f>V58*AC28+W58*AC29+X58*AC30+Y58*AC31+Z58*AC32+AA58*AC33</f>
        <v>-10000</v>
      </c>
      <c r="AD23" s="4"/>
      <c r="AJ23" s="79" t="s">
        <v>38</v>
      </c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</row>
    <row r="24" spans="1:67" x14ac:dyDescent="0.2">
      <c r="A24" s="4"/>
      <c r="B24" s="37">
        <f t="shared" si="9"/>
        <v>-3.2140046849512931E-11</v>
      </c>
      <c r="C24" s="37">
        <f t="shared" si="9"/>
        <v>-525000</v>
      </c>
      <c r="D24" s="37">
        <f t="shared" si="9"/>
        <v>-4.0200183676689094E-11</v>
      </c>
      <c r="E24" s="37">
        <f t="shared" si="9"/>
        <v>3.2140046849512931E-11</v>
      </c>
      <c r="F24" s="37">
        <f t="shared" si="9"/>
        <v>525000</v>
      </c>
      <c r="G24" s="37">
        <f>$B40*G$45+$C40*G$46+$D40*G$47+$E40*G$48+$F40*G$49+$G40*G$50</f>
        <v>-4.0200183676689094E-11</v>
      </c>
      <c r="H24" s="4"/>
      <c r="I24" s="40">
        <f>B58*I28+C58*I29+D58*I30+E58*I31+F58*I32+G58*I33</f>
        <v>-1.22514845490862E-12</v>
      </c>
      <c r="J24" s="4"/>
      <c r="K24" s="4"/>
      <c r="L24" s="19">
        <f t="shared" si="7"/>
        <v>0</v>
      </c>
      <c r="M24" s="19">
        <f t="shared" si="7"/>
        <v>-777.77777777777783</v>
      </c>
      <c r="N24" s="19">
        <f t="shared" si="7"/>
        <v>-2333333.3333333335</v>
      </c>
      <c r="O24" s="19">
        <f t="shared" si="7"/>
        <v>0</v>
      </c>
      <c r="P24" s="19">
        <f t="shared" si="7"/>
        <v>777.77777777777783</v>
      </c>
      <c r="Q24" s="19">
        <f t="shared" si="7"/>
        <v>-2333333.3333333335</v>
      </c>
      <c r="R24" s="4"/>
      <c r="S24" s="40">
        <f>L59*S28+M59*S29+N59*S30+O59*S31+P59*S32+Q59*S33</f>
        <v>-30000</v>
      </c>
      <c r="T24" s="4"/>
      <c r="U24" s="4"/>
      <c r="V24" s="20">
        <f t="shared" si="10"/>
        <v>-3.2140046849512931E-11</v>
      </c>
      <c r="W24" s="20">
        <f t="shared" si="10"/>
        <v>-525000</v>
      </c>
      <c r="X24" s="20">
        <f t="shared" si="10"/>
        <v>-4.0200183676689094E-11</v>
      </c>
      <c r="Y24" s="20">
        <f t="shared" si="10"/>
        <v>3.2140046849512931E-11</v>
      </c>
      <c r="Z24" s="20">
        <f t="shared" si="10"/>
        <v>525000</v>
      </c>
      <c r="AA24" s="20">
        <f>$V41*G$45+$W41*G$46+$X41*G$47+$Y41*G$48+$Z41*G$49+$AA41*G$50</f>
        <v>-4.0200183676689094E-11</v>
      </c>
      <c r="AB24" s="4"/>
      <c r="AC24" s="40">
        <f>V59*AC28+W59*AC29+X59*AC30+Y59*AC31+Z59*AC32+AA59*AC33</f>
        <v>6.1257422745431001E-13</v>
      </c>
      <c r="AD24" s="4"/>
      <c r="AJ24" s="78"/>
      <c r="AK24" s="78">
        <v>1</v>
      </c>
      <c r="AL24" s="78">
        <v>2</v>
      </c>
      <c r="AM24" s="78">
        <v>3</v>
      </c>
      <c r="AN24" s="78">
        <v>4</v>
      </c>
      <c r="AO24" s="78">
        <v>5</v>
      </c>
      <c r="AP24" s="78">
        <v>6</v>
      </c>
      <c r="AQ24" s="78">
        <v>7</v>
      </c>
      <c r="AR24" s="78">
        <v>8</v>
      </c>
      <c r="AS24" s="78">
        <v>9</v>
      </c>
      <c r="AT24" s="78">
        <v>10</v>
      </c>
      <c r="AU24" s="78">
        <v>11</v>
      </c>
      <c r="AV24" s="78">
        <v>12</v>
      </c>
      <c r="AW24" s="78">
        <v>13</v>
      </c>
      <c r="AX24" s="78">
        <v>14</v>
      </c>
      <c r="AY24" s="4"/>
    </row>
    <row r="25" spans="1:67" x14ac:dyDescent="0.2">
      <c r="A25" s="4"/>
      <c r="B25" s="37">
        <f t="shared" si="9"/>
        <v>-656250</v>
      </c>
      <c r="C25" s="37">
        <f t="shared" si="9"/>
        <v>4.0200183676689094E-11</v>
      </c>
      <c r="D25" s="37">
        <f t="shared" si="9"/>
        <v>875000000</v>
      </c>
      <c r="E25" s="37">
        <f t="shared" si="9"/>
        <v>656250</v>
      </c>
      <c r="F25" s="37">
        <f t="shared" si="9"/>
        <v>-4.0200183676689094E-11</v>
      </c>
      <c r="G25" s="37">
        <f>$B41*G$45+$C41*G$46+$D41*G$47+$E41*G$48+$F41*G$49+$G41*G$50</f>
        <v>1750000000</v>
      </c>
      <c r="H25" s="4"/>
      <c r="I25" s="40">
        <f>B59*I28+C59*I29+D59*I30+E59*I31+F59*I32+G59*I33</f>
        <v>13333333.333333334</v>
      </c>
      <c r="J25" s="4"/>
      <c r="K25" s="82"/>
      <c r="L25" s="19">
        <f t="shared" si="7"/>
        <v>0</v>
      </c>
      <c r="M25" s="19">
        <f t="shared" si="7"/>
        <v>2333333.3333333335</v>
      </c>
      <c r="N25" s="19">
        <f t="shared" si="7"/>
        <v>4666666666.666667</v>
      </c>
      <c r="O25" s="19">
        <f t="shared" si="7"/>
        <v>0</v>
      </c>
      <c r="P25" s="19">
        <f t="shared" si="7"/>
        <v>-2333333.3333333335</v>
      </c>
      <c r="Q25" s="19">
        <f t="shared" si="7"/>
        <v>9333333333.333334</v>
      </c>
      <c r="R25" s="4"/>
      <c r="S25" s="40">
        <f>L60*S28+M60*S29+N60*S30+O60*S31+P60*S32+Q60*S33</f>
        <v>30000000</v>
      </c>
      <c r="T25" s="4"/>
      <c r="U25" s="82"/>
      <c r="V25" s="20">
        <f t="shared" si="10"/>
        <v>-656250</v>
      </c>
      <c r="W25" s="20">
        <f t="shared" si="10"/>
        <v>4.0200183676689094E-11</v>
      </c>
      <c r="X25" s="20">
        <f t="shared" si="10"/>
        <v>875000000</v>
      </c>
      <c r="Y25" s="20">
        <f t="shared" si="10"/>
        <v>656250</v>
      </c>
      <c r="Z25" s="20">
        <f t="shared" si="10"/>
        <v>-4.0200183676689094E-11</v>
      </c>
      <c r="AA25" s="20">
        <f>$V42*G$45+$W42*G$46+$X42*G$47+$Y42*G$48+$Z42*G$49+$AA42*G$50</f>
        <v>1750000000</v>
      </c>
      <c r="AB25" s="4"/>
      <c r="AC25" s="40">
        <f>V60*AC28+W60*AC29+X60*AC30+Y60*AC31+Z60*AC32+AA60*AC33</f>
        <v>-6666666.666666667</v>
      </c>
      <c r="AD25" s="4"/>
      <c r="AE25" s="115"/>
      <c r="AJ25" s="78">
        <v>1</v>
      </c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69"/>
      <c r="AY25" s="4"/>
    </row>
    <row r="26" spans="1:67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82"/>
      <c r="T26" s="4"/>
      <c r="U26" s="82"/>
      <c r="V26" s="4"/>
      <c r="W26" s="4"/>
      <c r="X26" s="4"/>
      <c r="Y26" s="4"/>
      <c r="Z26" s="4"/>
      <c r="AA26" s="4"/>
      <c r="AB26" s="4"/>
      <c r="AC26" s="82"/>
      <c r="AD26" s="4"/>
      <c r="AE26" s="115"/>
      <c r="AJ26" s="78">
        <v>2</v>
      </c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69"/>
      <c r="AY26" s="4"/>
    </row>
    <row r="27" spans="1:67" x14ac:dyDescent="0.2">
      <c r="A27" s="4"/>
      <c r="B27" s="79" t="s">
        <v>27</v>
      </c>
      <c r="C27" s="4"/>
      <c r="D27" s="4"/>
      <c r="E27" s="4"/>
      <c r="F27" s="4"/>
      <c r="G27" s="4"/>
      <c r="H27" s="4"/>
      <c r="I27" s="82" t="s">
        <v>31</v>
      </c>
      <c r="J27" s="4"/>
      <c r="K27" s="4"/>
      <c r="L27" s="79" t="s">
        <v>27</v>
      </c>
      <c r="M27" s="4"/>
      <c r="N27" s="4"/>
      <c r="O27" s="4"/>
      <c r="P27" s="4"/>
      <c r="Q27" s="4"/>
      <c r="R27" s="4"/>
      <c r="S27" s="82" t="s">
        <v>31</v>
      </c>
      <c r="T27" s="4"/>
      <c r="U27" s="4"/>
      <c r="V27" s="79" t="s">
        <v>27</v>
      </c>
      <c r="W27" s="4"/>
      <c r="X27" s="4"/>
      <c r="Y27" s="4"/>
      <c r="Z27" s="4"/>
      <c r="AA27" s="4"/>
      <c r="AB27" s="4"/>
      <c r="AC27" s="82" t="s">
        <v>31</v>
      </c>
      <c r="AD27" s="4"/>
      <c r="AJ27" s="78">
        <v>3</v>
      </c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69"/>
      <c r="AY27" s="4"/>
    </row>
    <row r="28" spans="1:67" x14ac:dyDescent="0.2">
      <c r="A28" s="4"/>
      <c r="B28" s="38">
        <f>$E$10/E6</f>
        <v>525000</v>
      </c>
      <c r="C28" s="39">
        <v>0</v>
      </c>
      <c r="D28" s="39">
        <v>0</v>
      </c>
      <c r="E28" s="38">
        <f>-$E$10/E6</f>
        <v>-525000</v>
      </c>
      <c r="F28" s="39">
        <v>0</v>
      </c>
      <c r="G28" s="39">
        <v>0</v>
      </c>
      <c r="H28" s="4"/>
      <c r="I28" s="38">
        <f>E6/2*E14</f>
        <v>0</v>
      </c>
      <c r="J28" s="4"/>
      <c r="K28" s="4"/>
      <c r="L28" s="38">
        <f>$O$10/O6</f>
        <v>700000</v>
      </c>
      <c r="M28" s="39">
        <v>0</v>
      </c>
      <c r="N28" s="39">
        <v>0</v>
      </c>
      <c r="O28" s="38">
        <f>-$O$10/O6</f>
        <v>-700000</v>
      </c>
      <c r="P28" s="39">
        <v>0</v>
      </c>
      <c r="Q28" s="39">
        <v>0</v>
      </c>
      <c r="R28" s="4"/>
      <c r="S28" s="41">
        <v>0</v>
      </c>
      <c r="T28" s="4"/>
      <c r="U28" s="4"/>
      <c r="V28" s="38">
        <f>$E$10/Y6</f>
        <v>525000</v>
      </c>
      <c r="W28" s="39">
        <v>0</v>
      </c>
      <c r="X28" s="39">
        <v>0</v>
      </c>
      <c r="Y28" s="38">
        <f>-$E$10/Y6</f>
        <v>-525000</v>
      </c>
      <c r="Z28" s="39">
        <v>0</v>
      </c>
      <c r="AA28" s="39">
        <v>0</v>
      </c>
      <c r="AB28" s="4"/>
      <c r="AC28" s="38">
        <f>-Y6/2*Y14</f>
        <v>0</v>
      </c>
      <c r="AD28" s="4"/>
      <c r="AJ28" s="78">
        <v>4</v>
      </c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69"/>
      <c r="AY28" s="4"/>
    </row>
    <row r="29" spans="1:67" x14ac:dyDescent="0.2">
      <c r="A29" s="4"/>
      <c r="B29" s="39">
        <v>0</v>
      </c>
      <c r="C29" s="38">
        <f>(12*$E$11)/$E$6^3</f>
        <v>328.125</v>
      </c>
      <c r="D29" s="38">
        <f>(6*$E$11)/$E$6^2</f>
        <v>656250</v>
      </c>
      <c r="E29" s="39">
        <v>0</v>
      </c>
      <c r="F29" s="38">
        <f>-(12*$E$11)/$E$6^3</f>
        <v>-328.125</v>
      </c>
      <c r="G29" s="38">
        <f>(6*$E$11)/$E$6^2</f>
        <v>656250</v>
      </c>
      <c r="H29" s="4"/>
      <c r="I29" s="38">
        <f>-E6/2*E15</f>
        <v>-20000</v>
      </c>
      <c r="J29" s="4"/>
      <c r="K29" s="4"/>
      <c r="L29" s="39">
        <v>0</v>
      </c>
      <c r="M29" s="38">
        <f>(12*$O$11)/$O$6^3</f>
        <v>777.77777777777783</v>
      </c>
      <c r="N29" s="38">
        <f>(6*$O$11)/$O$6^2</f>
        <v>2333333.3333333335</v>
      </c>
      <c r="O29" s="39">
        <v>0</v>
      </c>
      <c r="P29" s="38">
        <f>-(12*$O$11)/$O$6^3</f>
        <v>-777.77777777777783</v>
      </c>
      <c r="Q29" s="38">
        <f>(6*$O$11)/$O$6^2</f>
        <v>2333333.3333333335</v>
      </c>
      <c r="R29" s="4"/>
      <c r="S29" s="38">
        <f>-O6/2*(O14+O15)</f>
        <v>-30000</v>
      </c>
      <c r="T29" s="4"/>
      <c r="U29" s="4"/>
      <c r="V29" s="39">
        <v>0</v>
      </c>
      <c r="W29" s="38">
        <f>(12*$E$11)/$E$6^3</f>
        <v>328.125</v>
      </c>
      <c r="X29" s="38">
        <f>(6*$E$11)/$E$6^2</f>
        <v>656250</v>
      </c>
      <c r="Y29" s="39">
        <v>0</v>
      </c>
      <c r="Z29" s="38">
        <f>-(12*$E$11)/$E$6^3</f>
        <v>-328.125</v>
      </c>
      <c r="AA29" s="38">
        <f>(6*$E$11)/$E$6^2</f>
        <v>656250</v>
      </c>
      <c r="AB29" s="4"/>
      <c r="AC29" s="38">
        <f>-Y6/2*Y15</f>
        <v>10000</v>
      </c>
      <c r="AD29" s="4"/>
      <c r="AJ29" s="78">
        <v>5</v>
      </c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69"/>
      <c r="AY29" s="82"/>
    </row>
    <row r="30" spans="1:67" x14ac:dyDescent="0.2">
      <c r="A30" s="4"/>
      <c r="B30" s="39">
        <v>0</v>
      </c>
      <c r="C30" s="38">
        <f>(6*$E$11)/$E$6^2</f>
        <v>656250</v>
      </c>
      <c r="D30" s="38">
        <f>4*$E$11/$E$6</f>
        <v>1750000000</v>
      </c>
      <c r="E30" s="39">
        <v>0</v>
      </c>
      <c r="F30" s="38">
        <f>-(6*$E$11)/$E$6^2</f>
        <v>-656250</v>
      </c>
      <c r="G30" s="38">
        <f>2*$E$11/$E$6</f>
        <v>875000000</v>
      </c>
      <c r="H30" s="4"/>
      <c r="I30" s="38">
        <f>-1*(E15*E6^2)/12</f>
        <v>-13333333.333333334</v>
      </c>
      <c r="J30" s="4"/>
      <c r="K30" s="4"/>
      <c r="L30" s="39">
        <v>0</v>
      </c>
      <c r="M30" s="38">
        <f>(6*$O$11)/$O$6^2</f>
        <v>2333333.3333333335</v>
      </c>
      <c r="N30" s="38">
        <f>4*$O$11/$O$6</f>
        <v>9333333333.333334</v>
      </c>
      <c r="O30" s="39">
        <v>0</v>
      </c>
      <c r="P30" s="38">
        <f>-(6*$O$11)/$O$6^2</f>
        <v>-2333333.3333333335</v>
      </c>
      <c r="Q30" s="38">
        <f>2*$O$11/$O$6</f>
        <v>4666666666.666667</v>
      </c>
      <c r="R30" s="4"/>
      <c r="S30" s="38">
        <f>-1*((O14+O15)*O6^2)/12</f>
        <v>-30000000</v>
      </c>
      <c r="T30" s="4"/>
      <c r="U30" s="4"/>
      <c r="V30" s="39">
        <v>0</v>
      </c>
      <c r="W30" s="38">
        <f>(6*$E$11)/$E$6^2</f>
        <v>656250</v>
      </c>
      <c r="X30" s="38">
        <f>4*$E$11/$E$6</f>
        <v>1750000000</v>
      </c>
      <c r="Y30" s="39">
        <v>0</v>
      </c>
      <c r="Z30" s="38">
        <f>-(6*$E$11)/$E$6^2</f>
        <v>-656250</v>
      </c>
      <c r="AA30" s="38">
        <f>2*$E$11/$E$6</f>
        <v>875000000</v>
      </c>
      <c r="AB30" s="4"/>
      <c r="AC30" s="38">
        <f>-1*(Y15*Y6^2)/12</f>
        <v>6666666.666666667</v>
      </c>
      <c r="AD30" s="4"/>
      <c r="AJ30" s="78">
        <v>6</v>
      </c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69"/>
      <c r="AY30" s="82"/>
    </row>
    <row r="31" spans="1:67" x14ac:dyDescent="0.2">
      <c r="A31" s="4"/>
      <c r="B31" s="38">
        <f>-$E$10/E6</f>
        <v>-525000</v>
      </c>
      <c r="C31" s="39">
        <v>0</v>
      </c>
      <c r="D31" s="39">
        <v>0</v>
      </c>
      <c r="E31" s="38">
        <f>$E$10/E6</f>
        <v>525000</v>
      </c>
      <c r="F31" s="39">
        <v>0</v>
      </c>
      <c r="G31" s="39">
        <v>0</v>
      </c>
      <c r="H31" s="4"/>
      <c r="I31" s="38">
        <f>E6/2*E14</f>
        <v>0</v>
      </c>
      <c r="J31" s="4"/>
      <c r="K31" s="4"/>
      <c r="L31" s="38">
        <f>-$O$10/O6</f>
        <v>-700000</v>
      </c>
      <c r="M31" s="39">
        <v>0</v>
      </c>
      <c r="N31" s="39">
        <v>0</v>
      </c>
      <c r="O31" s="38">
        <f>$O$10/O6</f>
        <v>700000</v>
      </c>
      <c r="P31" s="39">
        <v>0</v>
      </c>
      <c r="Q31" s="39">
        <v>0</v>
      </c>
      <c r="R31" s="4"/>
      <c r="S31" s="41">
        <v>0</v>
      </c>
      <c r="T31" s="4"/>
      <c r="U31" s="4"/>
      <c r="V31" s="38">
        <f>-$E$10/Y6</f>
        <v>-525000</v>
      </c>
      <c r="W31" s="39">
        <v>0</v>
      </c>
      <c r="X31" s="39">
        <v>0</v>
      </c>
      <c r="Y31" s="38">
        <f>$E$10/Y6</f>
        <v>525000</v>
      </c>
      <c r="Z31" s="39">
        <v>0</v>
      </c>
      <c r="AA31" s="39">
        <v>0</v>
      </c>
      <c r="AB31" s="4"/>
      <c r="AC31" s="38">
        <f>-Y6/2*Y14</f>
        <v>0</v>
      </c>
      <c r="AD31" s="4"/>
      <c r="AJ31" s="78">
        <v>7</v>
      </c>
      <c r="AK31" s="4"/>
      <c r="AL31" s="4"/>
      <c r="AM31" s="4"/>
      <c r="AN31" s="4"/>
      <c r="AO31" s="4"/>
      <c r="AP31" s="4"/>
      <c r="AQ31" s="17">
        <f>IF(ABS(V20)&lt;0.1,"",V20)</f>
        <v>328.125</v>
      </c>
      <c r="AR31" s="17">
        <f t="shared" ref="AQ31:AU35" si="11">W20</f>
        <v>3.2140046849512931E-11</v>
      </c>
      <c r="AS31" s="17">
        <f t="shared" si="11"/>
        <v>-656250</v>
      </c>
      <c r="AT31" s="17">
        <f t="shared" si="11"/>
        <v>-328.125</v>
      </c>
      <c r="AU31" s="17">
        <f t="shared" si="11"/>
        <v>-3.2140046849512931E-11</v>
      </c>
      <c r="AV31" s="4"/>
      <c r="AW31" s="4"/>
      <c r="AX31" s="75">
        <f>AA20</f>
        <v>-656250</v>
      </c>
      <c r="AY31" s="8" cm="1">
        <f t="array" ref="AY31:AY35">AC20:AC24</f>
        <v>-10000</v>
      </c>
    </row>
    <row r="32" spans="1:67" x14ac:dyDescent="0.2">
      <c r="A32" s="4"/>
      <c r="B32" s="39">
        <v>0</v>
      </c>
      <c r="C32" s="38">
        <f>-(12*$E$11)/$E$6^3</f>
        <v>-328.125</v>
      </c>
      <c r="D32" s="38">
        <f>-(6*$E$11)/$E$6^2</f>
        <v>-656250</v>
      </c>
      <c r="E32" s="39">
        <v>0</v>
      </c>
      <c r="F32" s="38">
        <f>(12*$E$11)/$E$6^3</f>
        <v>328.125</v>
      </c>
      <c r="G32" s="38">
        <f>-(6*$E$11)/$E$6^2</f>
        <v>-656250</v>
      </c>
      <c r="H32" s="4"/>
      <c r="I32" s="38">
        <f>-E6/2*E15</f>
        <v>-20000</v>
      </c>
      <c r="J32" s="4"/>
      <c r="K32" s="4"/>
      <c r="L32" s="39">
        <v>0</v>
      </c>
      <c r="M32" s="38">
        <f>-(12*$O$11)/$O$6^3</f>
        <v>-777.77777777777783</v>
      </c>
      <c r="N32" s="38">
        <f>-(6*$O$11)/$O$6^2</f>
        <v>-2333333.3333333335</v>
      </c>
      <c r="O32" s="39">
        <v>0</v>
      </c>
      <c r="P32" s="38">
        <f>(12*$O$11)/$O$6^3</f>
        <v>777.77777777777783</v>
      </c>
      <c r="Q32" s="38">
        <f>-(6*$O$11)/$O$6^2</f>
        <v>-2333333.3333333335</v>
      </c>
      <c r="R32" s="82"/>
      <c r="S32" s="38">
        <f>-O6/2*(O14+O15)</f>
        <v>-30000</v>
      </c>
      <c r="T32" s="4"/>
      <c r="U32" s="4"/>
      <c r="V32" s="39">
        <v>0</v>
      </c>
      <c r="W32" s="38">
        <f>-(12*$E$11)/$E$6^3</f>
        <v>-328.125</v>
      </c>
      <c r="X32" s="38">
        <f>-(6*$E$11)/$E$6^2</f>
        <v>-656250</v>
      </c>
      <c r="Y32" s="39">
        <v>0</v>
      </c>
      <c r="Z32" s="38">
        <f>(12*$E$11)/$E$6^3</f>
        <v>328.125</v>
      </c>
      <c r="AA32" s="38">
        <f>-(6*$E$11)/$E$6^2</f>
        <v>-656250</v>
      </c>
      <c r="AB32" s="4"/>
      <c r="AC32" s="38">
        <f>-Y6/2*Y15</f>
        <v>10000</v>
      </c>
      <c r="AD32" s="4"/>
      <c r="AJ32" s="78">
        <v>8</v>
      </c>
      <c r="AK32" s="4"/>
      <c r="AL32" s="4"/>
      <c r="AM32" s="4"/>
      <c r="AN32" s="4"/>
      <c r="AO32" s="4"/>
      <c r="AP32" s="4"/>
      <c r="AQ32" s="17">
        <f t="shared" si="11"/>
        <v>3.2140046849512931E-11</v>
      </c>
      <c r="AR32" s="17">
        <f t="shared" si="11"/>
        <v>525000</v>
      </c>
      <c r="AS32" s="17">
        <f t="shared" si="11"/>
        <v>4.0200183676689094E-11</v>
      </c>
      <c r="AT32" s="17">
        <f t="shared" si="11"/>
        <v>-3.2140046849512931E-11</v>
      </c>
      <c r="AU32" s="17">
        <f t="shared" si="11"/>
        <v>-525000</v>
      </c>
      <c r="AV32" s="4"/>
      <c r="AW32" s="4"/>
      <c r="AX32" s="75">
        <f>AA21</f>
        <v>4.0200183676689094E-11</v>
      </c>
      <c r="AY32" s="10">
        <v>6.1257422745431001E-13</v>
      </c>
    </row>
    <row r="33" spans="1:83" x14ac:dyDescent="0.2">
      <c r="A33" s="4"/>
      <c r="B33" s="39">
        <v>0</v>
      </c>
      <c r="C33" s="38">
        <f>(6*$E$11)/$E$6^2</f>
        <v>656250</v>
      </c>
      <c r="D33" s="38">
        <f>2*$E$11/$E$6</f>
        <v>875000000</v>
      </c>
      <c r="E33" s="39">
        <v>0</v>
      </c>
      <c r="F33" s="38">
        <f>-(6*$E$11)/$E$6^2</f>
        <v>-656250</v>
      </c>
      <c r="G33" s="38">
        <f>4*$E$11/$E$6</f>
        <v>1750000000</v>
      </c>
      <c r="H33" s="4"/>
      <c r="I33" s="38">
        <f>1*(E15*E6^2)/12</f>
        <v>13333333.333333334</v>
      </c>
      <c r="J33" s="4"/>
      <c r="K33" s="4"/>
      <c r="L33" s="39">
        <v>0</v>
      </c>
      <c r="M33" s="38">
        <f>(6*$O$11)/$O$6^2</f>
        <v>2333333.3333333335</v>
      </c>
      <c r="N33" s="38">
        <f>2*$O$11/$O$6</f>
        <v>4666666666.666667</v>
      </c>
      <c r="O33" s="39">
        <v>0</v>
      </c>
      <c r="P33" s="38">
        <f>-(6*$O$11)/$O$6^2</f>
        <v>-2333333.3333333335</v>
      </c>
      <c r="Q33" s="38">
        <f>4*$O$11/$O$6</f>
        <v>9333333333.333334</v>
      </c>
      <c r="R33" s="4"/>
      <c r="S33" s="38">
        <f>1*((O14+O15)*O6^2)/12</f>
        <v>30000000</v>
      </c>
      <c r="T33" s="4"/>
      <c r="U33" s="4"/>
      <c r="V33" s="39">
        <v>0</v>
      </c>
      <c r="W33" s="38">
        <f>(6*$E$11)/$E$6^2</f>
        <v>656250</v>
      </c>
      <c r="X33" s="38">
        <f>2*$E$11/$E$6</f>
        <v>875000000</v>
      </c>
      <c r="Y33" s="39">
        <v>0</v>
      </c>
      <c r="Z33" s="38">
        <f>-(6*$E$11)/$E$6^2</f>
        <v>-656250</v>
      </c>
      <c r="AA33" s="38">
        <f>4*$E$11/$E$6</f>
        <v>1750000000</v>
      </c>
      <c r="AB33" s="4"/>
      <c r="AC33" s="38">
        <f>1*(Y15*Y6^2)/12</f>
        <v>-6666666.666666667</v>
      </c>
      <c r="AD33" s="4"/>
      <c r="AJ33" s="78">
        <v>9</v>
      </c>
      <c r="AK33" s="4"/>
      <c r="AL33" s="4"/>
      <c r="AM33" s="4"/>
      <c r="AN33" s="4"/>
      <c r="AO33" s="4"/>
      <c r="AP33" s="4"/>
      <c r="AQ33" s="17">
        <f t="shared" si="11"/>
        <v>-656250</v>
      </c>
      <c r="AR33" s="17">
        <f t="shared" si="11"/>
        <v>4.0200183676689094E-11</v>
      </c>
      <c r="AS33" s="17">
        <f t="shared" si="11"/>
        <v>1750000000</v>
      </c>
      <c r="AT33" s="17">
        <f t="shared" si="11"/>
        <v>656250</v>
      </c>
      <c r="AU33" s="17">
        <f t="shared" si="11"/>
        <v>-4.0200183676689094E-11</v>
      </c>
      <c r="AV33" s="4"/>
      <c r="AW33" s="4"/>
      <c r="AX33" s="75">
        <f>AA22</f>
        <v>875000000</v>
      </c>
      <c r="AY33" s="8">
        <v>6666666.666666667</v>
      </c>
    </row>
    <row r="34" spans="1:83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J34" s="78">
        <v>10</v>
      </c>
      <c r="AK34" s="4"/>
      <c r="AL34" s="4"/>
      <c r="AM34" s="4"/>
      <c r="AN34" s="4"/>
      <c r="AO34" s="4"/>
      <c r="AP34" s="4"/>
      <c r="AQ34" s="17">
        <f t="shared" si="11"/>
        <v>-328.125</v>
      </c>
      <c r="AR34" s="17">
        <f t="shared" si="11"/>
        <v>-3.2140046849512931E-11</v>
      </c>
      <c r="AS34" s="17">
        <f t="shared" si="11"/>
        <v>656250</v>
      </c>
      <c r="AT34" s="17">
        <f t="shared" si="11"/>
        <v>328.125</v>
      </c>
      <c r="AU34" s="17">
        <f t="shared" si="11"/>
        <v>3.2140046849512931E-11</v>
      </c>
      <c r="AV34" s="4"/>
      <c r="AW34" s="4"/>
      <c r="AX34" s="75">
        <f>AA23</f>
        <v>656250</v>
      </c>
      <c r="AY34" s="8">
        <v>-10000</v>
      </c>
    </row>
    <row r="35" spans="1:83" x14ac:dyDescent="0.2">
      <c r="A35" s="4"/>
      <c r="B35" s="79" t="s">
        <v>28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J35" s="78">
        <v>11</v>
      </c>
      <c r="AK35" s="4"/>
      <c r="AL35" s="4"/>
      <c r="AM35" s="4"/>
      <c r="AN35" s="4"/>
      <c r="AO35" s="4"/>
      <c r="AP35" s="4"/>
      <c r="AQ35" s="17">
        <f t="shared" si="11"/>
        <v>-3.2140046849512931E-11</v>
      </c>
      <c r="AR35" s="17">
        <f t="shared" si="11"/>
        <v>-525000</v>
      </c>
      <c r="AS35" s="17">
        <f t="shared" si="11"/>
        <v>-4.0200183676689094E-11</v>
      </c>
      <c r="AT35" s="17">
        <f t="shared" si="11"/>
        <v>3.2140046849512931E-11</v>
      </c>
      <c r="AU35" s="17">
        <f t="shared" si="11"/>
        <v>525000</v>
      </c>
      <c r="AV35" s="4"/>
      <c r="AW35" s="4"/>
      <c r="AX35" s="75">
        <f>AA24</f>
        <v>-4.0200183676689094E-11</v>
      </c>
      <c r="AY35" s="10">
        <v>6.1257422745431001E-13</v>
      </c>
    </row>
    <row r="36" spans="1:83" x14ac:dyDescent="0.2">
      <c r="A36" s="4"/>
      <c r="B36" s="38">
        <f t="shared" ref="B36:G36" si="12">$B54*B28+$C54*B29+$D54*B30+$E54*B31+$F54*B32+$G54*B33</f>
        <v>3.2160146941351275E-11</v>
      </c>
      <c r="C36" s="38">
        <f t="shared" si="12"/>
        <v>-328.125</v>
      </c>
      <c r="D36" s="38">
        <f t="shared" si="12"/>
        <v>-656250</v>
      </c>
      <c r="E36" s="38">
        <f t="shared" si="12"/>
        <v>-3.2160146941351275E-11</v>
      </c>
      <c r="F36" s="38">
        <f t="shared" si="12"/>
        <v>328.125</v>
      </c>
      <c r="G36" s="38">
        <f t="shared" si="12"/>
        <v>-656250</v>
      </c>
      <c r="H36" s="4"/>
      <c r="I36" s="4"/>
      <c r="J36" s="4"/>
      <c r="K36" s="4"/>
      <c r="L36" s="79" t="s">
        <v>28</v>
      </c>
      <c r="M36" s="4"/>
      <c r="N36" s="4"/>
      <c r="O36" s="4"/>
      <c r="P36" s="4"/>
      <c r="Q36" s="4"/>
      <c r="R36" s="4"/>
      <c r="S36" s="4"/>
      <c r="T36" s="4"/>
      <c r="U36" s="4"/>
      <c r="V36" s="79" t="s">
        <v>28</v>
      </c>
      <c r="W36" s="4"/>
      <c r="X36" s="4"/>
      <c r="Y36" s="4"/>
      <c r="Z36" s="4"/>
      <c r="AA36" s="4"/>
      <c r="AB36" s="4"/>
      <c r="AC36" s="4"/>
      <c r="AD36" s="4"/>
      <c r="AJ36" s="78">
        <v>12</v>
      </c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69"/>
      <c r="AY36" s="8"/>
    </row>
    <row r="37" spans="1:83" x14ac:dyDescent="0.2">
      <c r="A37" s="4"/>
      <c r="B37" s="38">
        <f t="shared" ref="B37:G37" si="13">$B55*B28+$C55*B29+$D55*B30+$E55*B31+$F55*B32+$G55*B33</f>
        <v>525000</v>
      </c>
      <c r="C37" s="38">
        <f t="shared" si="13"/>
        <v>2.0100091838344547E-14</v>
      </c>
      <c r="D37" s="38">
        <f t="shared" si="13"/>
        <v>4.0200183676689094E-11</v>
      </c>
      <c r="E37" s="38">
        <f t="shared" si="13"/>
        <v>-525000</v>
      </c>
      <c r="F37" s="38">
        <f t="shared" si="13"/>
        <v>-2.0100091838344547E-14</v>
      </c>
      <c r="G37" s="38">
        <f t="shared" si="13"/>
        <v>4.0200183676689094E-11</v>
      </c>
      <c r="H37" s="4"/>
      <c r="I37" s="4"/>
      <c r="J37" s="4"/>
      <c r="K37" s="4"/>
      <c r="L37" s="38">
        <f t="shared" ref="L37:Q42" si="14">$L55*L$28+$M55*L$29+$N55*L$30+$O55*L$31+$P55*L$32+$Q55*L$33</f>
        <v>700000</v>
      </c>
      <c r="M37" s="38">
        <f t="shared" si="14"/>
        <v>0</v>
      </c>
      <c r="N37" s="38">
        <f t="shared" si="14"/>
        <v>0</v>
      </c>
      <c r="O37" s="38">
        <f t="shared" si="14"/>
        <v>-700000</v>
      </c>
      <c r="P37" s="38">
        <f t="shared" si="14"/>
        <v>0</v>
      </c>
      <c r="Q37" s="38">
        <f t="shared" si="14"/>
        <v>0</v>
      </c>
      <c r="R37" s="4"/>
      <c r="S37" s="4"/>
      <c r="T37" s="4"/>
      <c r="U37" s="4"/>
      <c r="V37" s="38">
        <f t="shared" ref="V37:AA37" si="15">$V55*V28+$W55*V29+$X55*V30+$Y55*V31+$Z55*V32+$AA55*V33</f>
        <v>3.2160146941351275E-11</v>
      </c>
      <c r="W37" s="38">
        <f t="shared" si="15"/>
        <v>-328.125</v>
      </c>
      <c r="X37" s="38">
        <f t="shared" si="15"/>
        <v>-656250</v>
      </c>
      <c r="Y37" s="38">
        <f t="shared" si="15"/>
        <v>-3.2160146941351275E-11</v>
      </c>
      <c r="Z37" s="38">
        <f t="shared" si="15"/>
        <v>328.125</v>
      </c>
      <c r="AA37" s="38">
        <f t="shared" si="15"/>
        <v>-656250</v>
      </c>
      <c r="AB37" s="4"/>
      <c r="AC37" s="4"/>
      <c r="AD37" s="4"/>
      <c r="AJ37" s="78">
        <v>13</v>
      </c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69"/>
      <c r="AY37" s="4"/>
    </row>
    <row r="38" spans="1:83" x14ac:dyDescent="0.2">
      <c r="A38" s="4"/>
      <c r="B38" s="38">
        <f t="shared" ref="B38:G38" si="16">$B56*B28+$C56*B29+$D56*B30+$E56*B31+$F56*B32+$G56*B33</f>
        <v>0</v>
      </c>
      <c r="C38" s="38">
        <f t="shared" si="16"/>
        <v>656250</v>
      </c>
      <c r="D38" s="38">
        <f t="shared" si="16"/>
        <v>1750000000</v>
      </c>
      <c r="E38" s="38">
        <f t="shared" si="16"/>
        <v>0</v>
      </c>
      <c r="F38" s="38">
        <f t="shared" si="16"/>
        <v>-656250</v>
      </c>
      <c r="G38" s="38">
        <f t="shared" si="16"/>
        <v>875000000</v>
      </c>
      <c r="H38" s="4"/>
      <c r="I38" s="4"/>
      <c r="J38" s="4"/>
      <c r="K38" s="4"/>
      <c r="L38" s="38">
        <f t="shared" si="14"/>
        <v>0</v>
      </c>
      <c r="M38" s="38">
        <f t="shared" si="14"/>
        <v>777.77777777777783</v>
      </c>
      <c r="N38" s="38">
        <f t="shared" si="14"/>
        <v>2333333.3333333335</v>
      </c>
      <c r="O38" s="38">
        <f t="shared" si="14"/>
        <v>0</v>
      </c>
      <c r="P38" s="38">
        <f t="shared" si="14"/>
        <v>-777.77777777777783</v>
      </c>
      <c r="Q38" s="38">
        <f t="shared" si="14"/>
        <v>2333333.3333333335</v>
      </c>
      <c r="R38" s="4"/>
      <c r="S38" s="4"/>
      <c r="T38" s="4"/>
      <c r="U38" s="4"/>
      <c r="V38" s="38">
        <f t="shared" ref="V38:AA38" si="17">$V56*V28+$W56*V29+$X56*V30+$Y56*V31+$Z56*V32+$AA56*V33</f>
        <v>525000</v>
      </c>
      <c r="W38" s="38">
        <f t="shared" si="17"/>
        <v>2.0100091838344547E-14</v>
      </c>
      <c r="X38" s="38">
        <f t="shared" si="17"/>
        <v>4.0200183676689094E-11</v>
      </c>
      <c r="Y38" s="38">
        <f t="shared" si="17"/>
        <v>-525000</v>
      </c>
      <c r="Z38" s="38">
        <f t="shared" si="17"/>
        <v>-2.0100091838344547E-14</v>
      </c>
      <c r="AA38" s="38">
        <f t="shared" si="17"/>
        <v>4.0200183676689094E-11</v>
      </c>
      <c r="AB38" s="4"/>
      <c r="AC38" s="4"/>
      <c r="AD38" s="4"/>
      <c r="AJ38" s="78">
        <v>14</v>
      </c>
      <c r="AK38" s="70"/>
      <c r="AL38" s="70"/>
      <c r="AM38" s="70"/>
      <c r="AN38" s="70"/>
      <c r="AO38" s="70"/>
      <c r="AP38" s="70"/>
      <c r="AQ38" s="76">
        <f>V25</f>
        <v>-656250</v>
      </c>
      <c r="AR38" s="76">
        <f>W25</f>
        <v>4.0200183676689094E-11</v>
      </c>
      <c r="AS38" s="76">
        <f>X25</f>
        <v>875000000</v>
      </c>
      <c r="AT38" s="76">
        <f>Y25</f>
        <v>656250</v>
      </c>
      <c r="AU38" s="76">
        <f>Z25</f>
        <v>-4.0200183676689094E-11</v>
      </c>
      <c r="AV38" s="70"/>
      <c r="AW38" s="70"/>
      <c r="AX38" s="77">
        <f>AA25</f>
        <v>1750000000</v>
      </c>
      <c r="AY38" s="7">
        <f>AC25</f>
        <v>-6666666.666666667</v>
      </c>
    </row>
    <row r="39" spans="1:83" x14ac:dyDescent="0.2">
      <c r="A39" s="4"/>
      <c r="B39" s="38">
        <f t="shared" ref="B39:G41" si="18">$B57*B$28+$C57*B$29+$D57*B$30+$E57*B$31+$F57*B$32+$G57*B$33</f>
        <v>-3.2160146941351275E-11</v>
      </c>
      <c r="C39" s="38">
        <f t="shared" si="18"/>
        <v>328.125</v>
      </c>
      <c r="D39" s="38">
        <f t="shared" si="18"/>
        <v>656250</v>
      </c>
      <c r="E39" s="38">
        <f t="shared" si="18"/>
        <v>3.2160146941351275E-11</v>
      </c>
      <c r="F39" s="38">
        <f t="shared" si="18"/>
        <v>-328.125</v>
      </c>
      <c r="G39" s="38">
        <f t="shared" si="18"/>
        <v>656250</v>
      </c>
      <c r="H39" s="4"/>
      <c r="I39" s="4"/>
      <c r="J39" s="4"/>
      <c r="K39" s="4"/>
      <c r="L39" s="38">
        <f t="shared" si="14"/>
        <v>0</v>
      </c>
      <c r="M39" s="38">
        <f t="shared" si="14"/>
        <v>2333333.3333333335</v>
      </c>
      <c r="N39" s="38">
        <f t="shared" si="14"/>
        <v>9333333333.333334</v>
      </c>
      <c r="O39" s="38">
        <f t="shared" si="14"/>
        <v>0</v>
      </c>
      <c r="P39" s="38">
        <f t="shared" si="14"/>
        <v>-2333333.3333333335</v>
      </c>
      <c r="Q39" s="38">
        <f t="shared" si="14"/>
        <v>4666666666.666667</v>
      </c>
      <c r="R39" s="4"/>
      <c r="S39" s="4"/>
      <c r="T39" s="4"/>
      <c r="U39" s="4"/>
      <c r="V39" s="38">
        <f t="shared" ref="V39:AA39" si="19">$V57*V28+$W57*V29+$X57*V30+$Y57*V31+$Z57*V32+$AA57*V33</f>
        <v>0</v>
      </c>
      <c r="W39" s="38">
        <f t="shared" si="19"/>
        <v>656250</v>
      </c>
      <c r="X39" s="38">
        <f t="shared" si="19"/>
        <v>1750000000</v>
      </c>
      <c r="Y39" s="38">
        <f t="shared" si="19"/>
        <v>0</v>
      </c>
      <c r="Z39" s="38">
        <f t="shared" si="19"/>
        <v>-656250</v>
      </c>
      <c r="AA39" s="38">
        <f t="shared" si="19"/>
        <v>875000000</v>
      </c>
      <c r="AB39" s="4"/>
      <c r="AC39" s="4"/>
      <c r="AD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</row>
    <row r="40" spans="1:83" x14ac:dyDescent="0.2">
      <c r="A40" s="4"/>
      <c r="B40" s="38">
        <f t="shared" si="18"/>
        <v>-525000</v>
      </c>
      <c r="C40" s="38">
        <f t="shared" si="18"/>
        <v>-2.0100091838344547E-14</v>
      </c>
      <c r="D40" s="38">
        <f t="shared" si="18"/>
        <v>-4.0200183676689094E-11</v>
      </c>
      <c r="E40" s="38">
        <f t="shared" si="18"/>
        <v>525000</v>
      </c>
      <c r="F40" s="38">
        <f t="shared" si="18"/>
        <v>2.0100091838344547E-14</v>
      </c>
      <c r="G40" s="38">
        <f t="shared" si="18"/>
        <v>-4.0200183676689094E-11</v>
      </c>
      <c r="H40" s="4"/>
      <c r="I40" s="4"/>
      <c r="J40" s="4"/>
      <c r="K40" s="4"/>
      <c r="L40" s="38">
        <f t="shared" si="14"/>
        <v>-700000</v>
      </c>
      <c r="M40" s="38">
        <f t="shared" si="14"/>
        <v>0</v>
      </c>
      <c r="N40" s="38">
        <f t="shared" si="14"/>
        <v>0</v>
      </c>
      <c r="O40" s="38">
        <f t="shared" si="14"/>
        <v>700000</v>
      </c>
      <c r="P40" s="38">
        <f t="shared" si="14"/>
        <v>0</v>
      </c>
      <c r="Q40" s="38">
        <f t="shared" si="14"/>
        <v>0</v>
      </c>
      <c r="R40" s="4"/>
      <c r="S40" s="82"/>
      <c r="T40" s="4"/>
      <c r="U40" s="4"/>
      <c r="V40" s="38">
        <f t="shared" ref="V40:AA42" si="20">$V58*B$28+$W58*B$29+$X58*B$30+$Y58*B$31+$Z58*B$32+$AA58*B$33</f>
        <v>-3.2160146941351275E-11</v>
      </c>
      <c r="W40" s="38">
        <f t="shared" si="20"/>
        <v>328.125</v>
      </c>
      <c r="X40" s="38">
        <f t="shared" si="20"/>
        <v>656250</v>
      </c>
      <c r="Y40" s="38">
        <f t="shared" si="20"/>
        <v>3.2160146941351275E-11</v>
      </c>
      <c r="Z40" s="38">
        <f t="shared" si="20"/>
        <v>-328.125</v>
      </c>
      <c r="AA40" s="38">
        <f t="shared" si="20"/>
        <v>656250</v>
      </c>
      <c r="AB40" s="4"/>
      <c r="AC40" s="4"/>
      <c r="AD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</row>
    <row r="41" spans="1:83" x14ac:dyDescent="0.2">
      <c r="A41" s="4"/>
      <c r="B41" s="38">
        <f t="shared" si="18"/>
        <v>0</v>
      </c>
      <c r="C41" s="38">
        <f t="shared" si="18"/>
        <v>656250</v>
      </c>
      <c r="D41" s="38">
        <f t="shared" si="18"/>
        <v>875000000</v>
      </c>
      <c r="E41" s="38">
        <f t="shared" si="18"/>
        <v>0</v>
      </c>
      <c r="F41" s="38">
        <f t="shared" si="18"/>
        <v>-656250</v>
      </c>
      <c r="G41" s="38">
        <f t="shared" si="18"/>
        <v>1750000000</v>
      </c>
      <c r="H41" s="4"/>
      <c r="I41" s="4"/>
      <c r="J41" s="4"/>
      <c r="K41" s="4"/>
      <c r="L41" s="38">
        <f t="shared" si="14"/>
        <v>0</v>
      </c>
      <c r="M41" s="38">
        <f t="shared" si="14"/>
        <v>-777.77777777777783</v>
      </c>
      <c r="N41" s="38">
        <f t="shared" si="14"/>
        <v>-2333333.3333333335</v>
      </c>
      <c r="O41" s="38">
        <f t="shared" si="14"/>
        <v>0</v>
      </c>
      <c r="P41" s="38">
        <f t="shared" si="14"/>
        <v>777.77777777777783</v>
      </c>
      <c r="Q41" s="38">
        <f t="shared" si="14"/>
        <v>-2333333.3333333335</v>
      </c>
      <c r="R41" s="4"/>
      <c r="S41" s="4"/>
      <c r="T41" s="4"/>
      <c r="U41" s="4"/>
      <c r="V41" s="38">
        <f t="shared" si="20"/>
        <v>-525000</v>
      </c>
      <c r="W41" s="38">
        <f t="shared" si="20"/>
        <v>-2.0100091838344547E-14</v>
      </c>
      <c r="X41" s="38">
        <f t="shared" si="20"/>
        <v>-4.0200183676689094E-11</v>
      </c>
      <c r="Y41" s="38">
        <f t="shared" si="20"/>
        <v>525000</v>
      </c>
      <c r="Z41" s="38">
        <f t="shared" si="20"/>
        <v>2.0100091838344547E-14</v>
      </c>
      <c r="AA41" s="38">
        <f t="shared" si="20"/>
        <v>-4.0200183676689094E-11</v>
      </c>
      <c r="AB41" s="4"/>
      <c r="AC41" s="4"/>
      <c r="AD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</row>
    <row r="42" spans="1:83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38">
        <f t="shared" si="14"/>
        <v>0</v>
      </c>
      <c r="M42" s="38">
        <f t="shared" si="14"/>
        <v>2333333.3333333335</v>
      </c>
      <c r="N42" s="38">
        <f t="shared" si="14"/>
        <v>4666666666.666667</v>
      </c>
      <c r="O42" s="38">
        <f t="shared" si="14"/>
        <v>0</v>
      </c>
      <c r="P42" s="38">
        <f t="shared" si="14"/>
        <v>-2333333.3333333335</v>
      </c>
      <c r="Q42" s="38">
        <f t="shared" si="14"/>
        <v>9333333333.333334</v>
      </c>
      <c r="R42" s="4"/>
      <c r="S42" s="4"/>
      <c r="T42" s="4"/>
      <c r="U42" s="4"/>
      <c r="V42" s="38">
        <f t="shared" si="20"/>
        <v>0</v>
      </c>
      <c r="W42" s="38">
        <f t="shared" si="20"/>
        <v>656250</v>
      </c>
      <c r="X42" s="38">
        <f t="shared" si="20"/>
        <v>875000000</v>
      </c>
      <c r="Y42" s="38">
        <f t="shared" si="20"/>
        <v>0</v>
      </c>
      <c r="Z42" s="38">
        <f t="shared" si="20"/>
        <v>-656250</v>
      </c>
      <c r="AA42" s="38">
        <f t="shared" si="20"/>
        <v>1750000000</v>
      </c>
      <c r="AB42" s="4"/>
      <c r="AC42" s="4"/>
      <c r="AD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</row>
    <row r="43" spans="1:83" x14ac:dyDescent="0.2">
      <c r="A43" s="4"/>
      <c r="B43" s="4"/>
      <c r="C43" s="4"/>
      <c r="D43" s="4"/>
      <c r="E43" s="4"/>
      <c r="F43" s="4"/>
      <c r="G43" s="4"/>
      <c r="H43" s="87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115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</row>
    <row r="44" spans="1:83" x14ac:dyDescent="0.2">
      <c r="A44" s="4"/>
      <c r="B44" s="79" t="s">
        <v>29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115"/>
      <c r="AJ44" s="79" t="s">
        <v>36</v>
      </c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</row>
    <row r="45" spans="1:83" x14ac:dyDescent="0.2">
      <c r="A45" s="4"/>
      <c r="B45" s="41">
        <f>$C$5</f>
        <v>6.1257422745431001E-17</v>
      </c>
      <c r="C45" s="41">
        <f>$E$5</f>
        <v>1</v>
      </c>
      <c r="D45" s="41">
        <v>0</v>
      </c>
      <c r="E45" s="41">
        <v>0</v>
      </c>
      <c r="F45" s="41">
        <v>0</v>
      </c>
      <c r="G45" s="41">
        <v>0</v>
      </c>
      <c r="H45" s="4"/>
      <c r="I45" s="4"/>
      <c r="J45" s="4"/>
      <c r="K45" s="4"/>
      <c r="L45" s="79" t="s">
        <v>29</v>
      </c>
      <c r="M45" s="4"/>
      <c r="N45" s="4"/>
      <c r="O45" s="4"/>
      <c r="P45" s="4"/>
      <c r="Q45" s="4"/>
      <c r="R45" s="4"/>
      <c r="S45" s="4"/>
      <c r="T45" s="4"/>
      <c r="U45" s="4"/>
      <c r="V45" s="79" t="s">
        <v>29</v>
      </c>
      <c r="W45" s="4"/>
      <c r="X45" s="4"/>
      <c r="Y45" s="4"/>
      <c r="Z45" s="4"/>
      <c r="AA45" s="4"/>
      <c r="AB45" s="4"/>
      <c r="AC45" s="4"/>
      <c r="AD45" s="4"/>
      <c r="AE45" s="123"/>
      <c r="AJ45" s="78"/>
      <c r="AK45" s="78">
        <v>1</v>
      </c>
      <c r="AL45" s="78">
        <v>2</v>
      </c>
      <c r="AM45" s="78">
        <v>3</v>
      </c>
      <c r="AN45" s="78">
        <v>4</v>
      </c>
      <c r="AO45" s="78">
        <v>5</v>
      </c>
      <c r="AP45" s="78">
        <v>6</v>
      </c>
      <c r="AQ45" s="78">
        <v>7</v>
      </c>
      <c r="AR45" s="78">
        <v>8</v>
      </c>
      <c r="AS45" s="78">
        <v>9</v>
      </c>
      <c r="AT45" s="78">
        <v>10</v>
      </c>
      <c r="AU45" s="78">
        <v>11</v>
      </c>
      <c r="AV45" s="78">
        <v>12</v>
      </c>
      <c r="AW45" s="78">
        <v>13</v>
      </c>
      <c r="AX45" s="78">
        <v>14</v>
      </c>
      <c r="AY45" s="4" t="s">
        <v>1</v>
      </c>
      <c r="AZ45" s="9" t="s">
        <v>39</v>
      </c>
      <c r="BA45" s="4" t="s">
        <v>49</v>
      </c>
      <c r="BB45" s="9" t="s">
        <v>50</v>
      </c>
      <c r="BC45" s="146" t="s">
        <v>87</v>
      </c>
      <c r="BD45" s="9" t="s">
        <v>39</v>
      </c>
      <c r="BF45" s="80" t="s">
        <v>88</v>
      </c>
    </row>
    <row r="46" spans="1:83" x14ac:dyDescent="0.2">
      <c r="A46" s="4"/>
      <c r="B46" s="41">
        <f>-$E$5</f>
        <v>-1</v>
      </c>
      <c r="C46" s="41">
        <f>$C$5</f>
        <v>6.1257422745431001E-17</v>
      </c>
      <c r="D46" s="41">
        <v>0</v>
      </c>
      <c r="E46" s="41">
        <v>0</v>
      </c>
      <c r="F46" s="41">
        <v>0</v>
      </c>
      <c r="G46" s="41">
        <v>0</v>
      </c>
      <c r="H46" s="4"/>
      <c r="I46" s="4"/>
      <c r="J46" s="4"/>
      <c r="K46" s="4"/>
      <c r="L46" s="41">
        <f>$M$5</f>
        <v>1</v>
      </c>
      <c r="M46" s="41">
        <f>$O$5</f>
        <v>0</v>
      </c>
      <c r="N46" s="41">
        <v>0</v>
      </c>
      <c r="O46" s="41">
        <v>0</v>
      </c>
      <c r="P46" s="41">
        <v>0</v>
      </c>
      <c r="Q46" s="41">
        <v>0</v>
      </c>
      <c r="R46" s="4"/>
      <c r="S46" s="4"/>
      <c r="T46" s="4"/>
      <c r="U46" s="4"/>
      <c r="V46" s="41">
        <f>$C$5</f>
        <v>6.1257422745431001E-17</v>
      </c>
      <c r="W46" s="41">
        <f>$E$5</f>
        <v>1</v>
      </c>
      <c r="X46" s="41">
        <v>0</v>
      </c>
      <c r="Y46" s="41">
        <v>0</v>
      </c>
      <c r="Z46" s="41">
        <v>0</v>
      </c>
      <c r="AA46" s="41">
        <v>0</v>
      </c>
      <c r="AB46" s="4"/>
      <c r="AC46" s="4"/>
      <c r="AD46" s="4"/>
      <c r="AE46" s="140"/>
      <c r="AJ46" s="78">
        <v>1</v>
      </c>
      <c r="AK46" s="88">
        <f>AK6+BA6+AK25</f>
        <v>328.125</v>
      </c>
      <c r="AL46" s="89">
        <f t="shared" ref="AL46:AX46" si="21">AL6+BB6+AL25</f>
        <v>3.2140046849512931E-11</v>
      </c>
      <c r="AM46" s="89">
        <f t="shared" si="21"/>
        <v>-656250</v>
      </c>
      <c r="AN46" s="89">
        <f t="shared" si="21"/>
        <v>-328.125</v>
      </c>
      <c r="AO46" s="89">
        <f t="shared" si="21"/>
        <v>-3.2140046849512931E-11</v>
      </c>
      <c r="AP46" s="90">
        <f t="shared" si="21"/>
        <v>0</v>
      </c>
      <c r="AQ46" s="91">
        <f t="shared" si="21"/>
        <v>0</v>
      </c>
      <c r="AR46" s="91">
        <f t="shared" si="21"/>
        <v>0</v>
      </c>
      <c r="AS46" s="91">
        <f t="shared" si="21"/>
        <v>0</v>
      </c>
      <c r="AT46" s="91">
        <f t="shared" si="21"/>
        <v>0</v>
      </c>
      <c r="AU46" s="91">
        <f t="shared" si="21"/>
        <v>0</v>
      </c>
      <c r="AV46" s="91">
        <f t="shared" si="21"/>
        <v>0</v>
      </c>
      <c r="AW46" s="92">
        <f t="shared" si="21"/>
        <v>-656250</v>
      </c>
      <c r="AX46" s="93">
        <f t="shared" si="21"/>
        <v>0</v>
      </c>
      <c r="AY46" s="1"/>
      <c r="AZ46" s="4">
        <v>0</v>
      </c>
      <c r="BA46" s="1"/>
      <c r="BB46" s="3">
        <f>AY6+BO6+AY25</f>
        <v>20000</v>
      </c>
      <c r="BC46" s="144" t="s">
        <v>52</v>
      </c>
      <c r="BD46" s="32" cm="1">
        <f t="array" ref="BD46:BD48">AZ46:AZ48</f>
        <v>0</v>
      </c>
      <c r="BE46" s="4"/>
      <c r="BF46" s="4">
        <f t="array" ref="BF46:BF59">MMULT(AK46:AX59,BD46:BD59)-BB46:BB59</f>
        <v>-28750.65914106604</v>
      </c>
      <c r="BG46" s="4"/>
      <c r="BH46" s="4"/>
      <c r="BI46" s="4"/>
      <c r="BJ46" s="4"/>
      <c r="BK46" s="4"/>
      <c r="BL46" s="4"/>
      <c r="BM46" s="4"/>
      <c r="BN46" s="4"/>
      <c r="CE46" s="115"/>
    </row>
    <row r="47" spans="1:83" x14ac:dyDescent="0.2">
      <c r="A47" s="4"/>
      <c r="B47" s="41">
        <v>0</v>
      </c>
      <c r="C47" s="41">
        <v>0</v>
      </c>
      <c r="D47" s="41">
        <v>1</v>
      </c>
      <c r="E47" s="41">
        <v>0</v>
      </c>
      <c r="F47" s="41">
        <v>0</v>
      </c>
      <c r="G47" s="41">
        <v>0</v>
      </c>
      <c r="H47" s="4"/>
      <c r="I47" s="4"/>
      <c r="J47" s="4"/>
      <c r="K47" s="4"/>
      <c r="L47" s="41">
        <f>-$O$5</f>
        <v>0</v>
      </c>
      <c r="M47" s="41">
        <f>$M$5</f>
        <v>1</v>
      </c>
      <c r="N47" s="41">
        <v>0</v>
      </c>
      <c r="O47" s="41">
        <v>0</v>
      </c>
      <c r="P47" s="41">
        <v>0</v>
      </c>
      <c r="Q47" s="41">
        <v>0</v>
      </c>
      <c r="R47" s="4"/>
      <c r="S47" s="4"/>
      <c r="T47" s="4"/>
      <c r="U47" s="4"/>
      <c r="V47" s="41">
        <f>-$E$5</f>
        <v>-1</v>
      </c>
      <c r="W47" s="41">
        <f>$C$5</f>
        <v>6.1257422745431001E-17</v>
      </c>
      <c r="X47" s="41">
        <v>0</v>
      </c>
      <c r="Y47" s="41">
        <v>0</v>
      </c>
      <c r="Z47" s="41">
        <v>0</v>
      </c>
      <c r="AA47" s="41">
        <v>0</v>
      </c>
      <c r="AB47" s="4"/>
      <c r="AC47" s="4"/>
      <c r="AD47" s="4"/>
      <c r="AE47" s="123"/>
      <c r="AJ47" s="78">
        <v>2</v>
      </c>
      <c r="AK47" s="94">
        <f t="shared" ref="AK47:AK59" si="22">AK7+BA7+AK26</f>
        <v>3.2140046849512931E-11</v>
      </c>
      <c r="AL47" s="95">
        <f t="shared" ref="AL47:AL59" si="23">AL7+BB7+AL26</f>
        <v>525000</v>
      </c>
      <c r="AM47" s="95">
        <f t="shared" ref="AM47:AM59" si="24">AM7+BC7+AM26</f>
        <v>4.0200183676689094E-11</v>
      </c>
      <c r="AN47" s="95">
        <f t="shared" ref="AN47:AN59" si="25">AN7+BD7+AN26</f>
        <v>-3.2140046849512931E-11</v>
      </c>
      <c r="AO47" s="95">
        <f t="shared" ref="AO47:AO59" si="26">AO7+BE7+AO26</f>
        <v>-525000</v>
      </c>
      <c r="AP47" s="96">
        <f t="shared" ref="AP47:AP59" si="27">AP7+BF7+AP26</f>
        <v>0</v>
      </c>
      <c r="AQ47" s="97">
        <f t="shared" ref="AQ47:AQ59" si="28">AQ7+BG7+AQ26</f>
        <v>0</v>
      </c>
      <c r="AR47" s="97">
        <f t="shared" ref="AR47:AR59" si="29">AR7+BH7+AR26</f>
        <v>0</v>
      </c>
      <c r="AS47" s="97">
        <f t="shared" ref="AS47:AS59" si="30">AS7+BI7+AS26</f>
        <v>0</v>
      </c>
      <c r="AT47" s="97">
        <f t="shared" ref="AT47:AT59" si="31">AT7+BJ7+AT26</f>
        <v>0</v>
      </c>
      <c r="AU47" s="97">
        <f t="shared" ref="AU47:AU59" si="32">AU7+BK7+AU26</f>
        <v>0</v>
      </c>
      <c r="AV47" s="97">
        <f t="shared" ref="AV47:AV59" si="33">AV7+BL7+AV26</f>
        <v>0</v>
      </c>
      <c r="AW47" s="98">
        <f t="shared" ref="AW47:AW59" si="34">AW7+BM7+AW26</f>
        <v>4.0200183676689094E-11</v>
      </c>
      <c r="AX47" s="99">
        <f t="shared" ref="AX47:AX59" si="35">AX7+BN7+AX26</f>
        <v>0</v>
      </c>
      <c r="AY47" s="1"/>
      <c r="AZ47" s="4">
        <v>0</v>
      </c>
      <c r="BA47" s="1"/>
      <c r="BB47" s="3">
        <f t="shared" ref="BB47:BB59" si="36">AY7+BO7+AY26</f>
        <v>-1.22514845490862E-12</v>
      </c>
      <c r="BC47" s="144" t="s">
        <v>51</v>
      </c>
      <c r="BD47" s="32">
        <v>0</v>
      </c>
      <c r="BE47" s="154"/>
      <c r="BF47" s="154">
        <v>29999.999999999996</v>
      </c>
      <c r="BG47" s="155"/>
      <c r="BH47" s="155"/>
      <c r="BI47" s="155"/>
      <c r="BJ47" s="155"/>
      <c r="BK47" s="155"/>
      <c r="BL47" s="155"/>
      <c r="BM47" s="155"/>
      <c r="BN47" s="155"/>
      <c r="BS47" s="116"/>
      <c r="CE47" s="115"/>
    </row>
    <row r="48" spans="1:83" x14ac:dyDescent="0.2">
      <c r="A48" s="4"/>
      <c r="B48" s="41">
        <v>0</v>
      </c>
      <c r="C48" s="41">
        <v>0</v>
      </c>
      <c r="D48" s="41">
        <v>0</v>
      </c>
      <c r="E48" s="41">
        <f>$C$5</f>
        <v>6.1257422745431001E-17</v>
      </c>
      <c r="F48" s="41">
        <f>$E$5</f>
        <v>1</v>
      </c>
      <c r="G48" s="41">
        <v>0</v>
      </c>
      <c r="H48" s="4"/>
      <c r="I48" s="4"/>
      <c r="J48" s="4"/>
      <c r="K48" s="4"/>
      <c r="L48" s="41">
        <v>0</v>
      </c>
      <c r="M48" s="41">
        <v>0</v>
      </c>
      <c r="N48" s="41">
        <v>1</v>
      </c>
      <c r="O48" s="41">
        <v>0</v>
      </c>
      <c r="P48" s="41">
        <v>0</v>
      </c>
      <c r="Q48" s="41">
        <v>0</v>
      </c>
      <c r="R48" s="4"/>
      <c r="S48" s="4"/>
      <c r="T48" s="4"/>
      <c r="U48" s="4"/>
      <c r="V48" s="41">
        <v>0</v>
      </c>
      <c r="W48" s="41">
        <v>0</v>
      </c>
      <c r="X48" s="41">
        <v>1</v>
      </c>
      <c r="Y48" s="41">
        <v>0</v>
      </c>
      <c r="Z48" s="41">
        <v>0</v>
      </c>
      <c r="AA48" s="41">
        <v>0</v>
      </c>
      <c r="AB48" s="4"/>
      <c r="AC48" s="4"/>
      <c r="AD48" s="4"/>
      <c r="AE48" s="123"/>
      <c r="AJ48" s="78">
        <v>3</v>
      </c>
      <c r="AK48" s="94">
        <f t="shared" si="22"/>
        <v>-656250</v>
      </c>
      <c r="AL48" s="95">
        <f t="shared" si="23"/>
        <v>4.0200183676689094E-11</v>
      </c>
      <c r="AM48" s="95">
        <f t="shared" si="24"/>
        <v>1750000000</v>
      </c>
      <c r="AN48" s="95">
        <f t="shared" si="25"/>
        <v>656250</v>
      </c>
      <c r="AO48" s="95">
        <f t="shared" si="26"/>
        <v>-4.0200183676689094E-11</v>
      </c>
      <c r="AP48" s="96">
        <f t="shared" si="27"/>
        <v>0</v>
      </c>
      <c r="AQ48" s="97">
        <f t="shared" si="28"/>
        <v>0</v>
      </c>
      <c r="AR48" s="97">
        <f t="shared" si="29"/>
        <v>0</v>
      </c>
      <c r="AS48" s="97">
        <f t="shared" si="30"/>
        <v>0</v>
      </c>
      <c r="AT48" s="97">
        <f t="shared" si="31"/>
        <v>0</v>
      </c>
      <c r="AU48" s="97">
        <f t="shared" si="32"/>
        <v>0</v>
      </c>
      <c r="AV48" s="97">
        <f t="shared" si="33"/>
        <v>0</v>
      </c>
      <c r="AW48" s="98">
        <f t="shared" si="34"/>
        <v>875000000</v>
      </c>
      <c r="AX48" s="99">
        <f t="shared" si="35"/>
        <v>0</v>
      </c>
      <c r="AY48" s="1"/>
      <c r="AZ48" s="4">
        <v>0</v>
      </c>
      <c r="BA48" s="1"/>
      <c r="BB48" s="3">
        <f t="shared" si="36"/>
        <v>-13333333.333333334</v>
      </c>
      <c r="BC48" s="144" t="s">
        <v>83</v>
      </c>
      <c r="BD48" s="32">
        <v>0</v>
      </c>
      <c r="BE48" s="154"/>
      <c r="BF48" s="154">
        <v>35002636.564264163</v>
      </c>
      <c r="BG48" s="155"/>
      <c r="BH48" s="154"/>
      <c r="BI48" s="155"/>
      <c r="BJ48" s="155"/>
      <c r="BK48" s="155"/>
      <c r="BL48" s="155"/>
      <c r="BM48" s="155"/>
      <c r="BN48" s="155"/>
    </row>
    <row r="49" spans="1:101" x14ac:dyDescent="0.2">
      <c r="A49" s="4"/>
      <c r="B49" s="41">
        <v>0</v>
      </c>
      <c r="C49" s="41">
        <v>0</v>
      </c>
      <c r="D49" s="41">
        <v>0</v>
      </c>
      <c r="E49" s="41">
        <f>-$E$5</f>
        <v>-1</v>
      </c>
      <c r="F49" s="41">
        <f>$C$5</f>
        <v>6.1257422745431001E-17</v>
      </c>
      <c r="G49" s="41">
        <v>0</v>
      </c>
      <c r="H49" s="4"/>
      <c r="I49" s="4"/>
      <c r="J49" s="4"/>
      <c r="K49" s="4"/>
      <c r="L49" s="41">
        <v>0</v>
      </c>
      <c r="M49" s="41">
        <v>0</v>
      </c>
      <c r="N49" s="41">
        <v>0</v>
      </c>
      <c r="O49" s="41">
        <f>$M$5</f>
        <v>1</v>
      </c>
      <c r="P49" s="41">
        <f>$O$5</f>
        <v>0</v>
      </c>
      <c r="Q49" s="41">
        <v>0</v>
      </c>
      <c r="R49" s="4"/>
      <c r="S49" s="4"/>
      <c r="T49" s="4"/>
      <c r="U49" s="4"/>
      <c r="V49" s="41">
        <v>0</v>
      </c>
      <c r="W49" s="41">
        <v>0</v>
      </c>
      <c r="X49" s="41">
        <v>0</v>
      </c>
      <c r="Y49" s="41">
        <f>$C$5</f>
        <v>6.1257422745431001E-17</v>
      </c>
      <c r="Z49" s="41">
        <f>$E$5</f>
        <v>1</v>
      </c>
      <c r="AA49" s="41">
        <v>0</v>
      </c>
      <c r="AB49" s="4"/>
      <c r="AC49" s="4"/>
      <c r="AD49" s="4"/>
      <c r="AE49" s="140"/>
      <c r="AH49" s="115"/>
      <c r="AI49" s="115"/>
      <c r="AJ49" s="78">
        <v>4</v>
      </c>
      <c r="AK49" s="94">
        <f t="shared" si="22"/>
        <v>-328.125</v>
      </c>
      <c r="AL49" s="95">
        <f t="shared" si="23"/>
        <v>-3.2140046849512931E-11</v>
      </c>
      <c r="AM49" s="95">
        <f t="shared" si="24"/>
        <v>656250</v>
      </c>
      <c r="AN49" s="100">
        <f t="shared" si="25"/>
        <v>700328.125</v>
      </c>
      <c r="AO49" s="100">
        <f t="shared" si="26"/>
        <v>3.2140046849512931E-11</v>
      </c>
      <c r="AP49" s="101">
        <f t="shared" si="27"/>
        <v>0</v>
      </c>
      <c r="AQ49" s="96">
        <f t="shared" si="28"/>
        <v>0</v>
      </c>
      <c r="AR49" s="97">
        <f t="shared" si="29"/>
        <v>0</v>
      </c>
      <c r="AS49" s="97">
        <f t="shared" si="30"/>
        <v>0</v>
      </c>
      <c r="AT49" s="102">
        <f t="shared" si="31"/>
        <v>-700000</v>
      </c>
      <c r="AU49" s="101">
        <f t="shared" si="32"/>
        <v>0</v>
      </c>
      <c r="AV49" s="101">
        <f t="shared" si="33"/>
        <v>0</v>
      </c>
      <c r="AW49" s="98">
        <f t="shared" si="34"/>
        <v>656250</v>
      </c>
      <c r="AX49" s="99">
        <f t="shared" si="35"/>
        <v>0</v>
      </c>
      <c r="AY49" s="1"/>
      <c r="AZ49" s="4" t="s">
        <v>41</v>
      </c>
      <c r="BA49" s="1"/>
      <c r="BB49" s="3">
        <f t="shared" si="36"/>
        <v>20000</v>
      </c>
      <c r="BC49" s="1"/>
      <c r="BD49" s="153" cm="1">
        <f t="array" ref="BD49:BD51">AV77:AV79</f>
        <v>45.722320957757432</v>
      </c>
      <c r="BE49" s="154"/>
      <c r="BF49" s="154">
        <v>-1.076841726899147E-8</v>
      </c>
      <c r="BG49" s="155"/>
      <c r="BH49" s="154"/>
      <c r="BI49" s="155"/>
      <c r="BJ49" s="155"/>
      <c r="BK49" s="155"/>
      <c r="BL49" s="155"/>
      <c r="CW49" s="115"/>
    </row>
    <row r="50" spans="1:101" x14ac:dyDescent="0.2">
      <c r="A50" s="4"/>
      <c r="B50" s="41">
        <v>0</v>
      </c>
      <c r="C50" s="41">
        <v>0</v>
      </c>
      <c r="D50" s="41">
        <v>0</v>
      </c>
      <c r="E50" s="41">
        <v>0</v>
      </c>
      <c r="F50" s="41">
        <v>0</v>
      </c>
      <c r="G50" s="41">
        <f>D47</f>
        <v>1</v>
      </c>
      <c r="H50" s="4"/>
      <c r="I50" s="4"/>
      <c r="J50" s="4"/>
      <c r="K50" s="4"/>
      <c r="L50" s="41">
        <v>0</v>
      </c>
      <c r="M50" s="41">
        <v>0</v>
      </c>
      <c r="N50" s="41">
        <v>0</v>
      </c>
      <c r="O50" s="41">
        <f>-$O$5</f>
        <v>0</v>
      </c>
      <c r="P50" s="41">
        <f>$M$5</f>
        <v>1</v>
      </c>
      <c r="Q50" s="41">
        <v>0</v>
      </c>
      <c r="R50" s="4"/>
      <c r="S50" s="4"/>
      <c r="T50" s="4"/>
      <c r="U50" s="4"/>
      <c r="V50" s="41">
        <v>0</v>
      </c>
      <c r="W50" s="41">
        <v>0</v>
      </c>
      <c r="X50" s="41">
        <v>0</v>
      </c>
      <c r="Y50" s="41">
        <f>-$E$5</f>
        <v>-1</v>
      </c>
      <c r="Z50" s="41">
        <f>$C$5</f>
        <v>6.1257422745431001E-17</v>
      </c>
      <c r="AA50" s="41">
        <v>0</v>
      </c>
      <c r="AB50" s="4"/>
      <c r="AC50" s="4"/>
      <c r="AD50" s="4"/>
      <c r="AE50" s="123"/>
      <c r="AH50" s="115"/>
      <c r="AI50" s="115"/>
      <c r="AJ50" s="78">
        <v>5</v>
      </c>
      <c r="AK50" s="94">
        <f t="shared" si="22"/>
        <v>-3.2140046849512931E-11</v>
      </c>
      <c r="AL50" s="95">
        <f t="shared" si="23"/>
        <v>-525000</v>
      </c>
      <c r="AM50" s="95">
        <f t="shared" si="24"/>
        <v>-4.0200183676689094E-11</v>
      </c>
      <c r="AN50" s="100">
        <f t="shared" si="25"/>
        <v>3.2140046849512931E-11</v>
      </c>
      <c r="AO50" s="100">
        <f t="shared" si="26"/>
        <v>525777.77777777775</v>
      </c>
      <c r="AP50" s="101">
        <f t="shared" si="27"/>
        <v>2333333.3333333335</v>
      </c>
      <c r="AQ50" s="96">
        <f t="shared" si="28"/>
        <v>0</v>
      </c>
      <c r="AR50" s="97">
        <f t="shared" si="29"/>
        <v>0</v>
      </c>
      <c r="AS50" s="97">
        <f t="shared" si="30"/>
        <v>0</v>
      </c>
      <c r="AT50" s="102">
        <f t="shared" si="31"/>
        <v>0</v>
      </c>
      <c r="AU50" s="101">
        <f t="shared" si="32"/>
        <v>-777.77777777777783</v>
      </c>
      <c r="AV50" s="101">
        <f t="shared" si="33"/>
        <v>2333333.3333333335</v>
      </c>
      <c r="AW50" s="98">
        <f t="shared" si="34"/>
        <v>-4.0200183676689094E-11</v>
      </c>
      <c r="AX50" s="99">
        <f t="shared" si="35"/>
        <v>0</v>
      </c>
      <c r="AY50" s="1"/>
      <c r="AZ50" s="4" t="s">
        <v>42</v>
      </c>
      <c r="BA50" s="1"/>
      <c r="BB50" s="3">
        <f t="shared" si="36"/>
        <v>-30000</v>
      </c>
      <c r="BC50" s="1"/>
      <c r="BD50" s="153">
        <v>-5.7142857142859937E-2</v>
      </c>
      <c r="BF50" s="80">
        <v>0</v>
      </c>
      <c r="BG50" s="155"/>
      <c r="BH50" s="154"/>
      <c r="BI50" s="155"/>
      <c r="BJ50" s="155"/>
      <c r="BK50" s="155"/>
      <c r="BL50" s="155"/>
      <c r="CW50" s="115"/>
    </row>
    <row r="51" spans="1:10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1">
        <v>0</v>
      </c>
      <c r="M51" s="41">
        <v>0</v>
      </c>
      <c r="N51" s="41">
        <v>0</v>
      </c>
      <c r="O51" s="41">
        <v>0</v>
      </c>
      <c r="P51" s="41">
        <v>0</v>
      </c>
      <c r="Q51" s="41">
        <f>N48</f>
        <v>1</v>
      </c>
      <c r="R51" s="4"/>
      <c r="S51" s="4"/>
      <c r="T51" s="4"/>
      <c r="U51" s="4"/>
      <c r="V51" s="41">
        <v>0</v>
      </c>
      <c r="W51" s="41">
        <v>0</v>
      </c>
      <c r="X51" s="41">
        <v>0</v>
      </c>
      <c r="Y51" s="41">
        <v>0</v>
      </c>
      <c r="Z51" s="41">
        <v>0</v>
      </c>
      <c r="AA51" s="41">
        <f>X48</f>
        <v>1</v>
      </c>
      <c r="AB51" s="4"/>
      <c r="AC51" s="4"/>
      <c r="AD51" s="4"/>
      <c r="AH51" s="123"/>
      <c r="AI51" s="123"/>
      <c r="AJ51" s="78">
        <v>6</v>
      </c>
      <c r="AK51" s="103">
        <f t="shared" si="22"/>
        <v>0</v>
      </c>
      <c r="AL51" s="96">
        <f t="shared" si="23"/>
        <v>0</v>
      </c>
      <c r="AM51" s="96">
        <f t="shared" si="24"/>
        <v>0</v>
      </c>
      <c r="AN51" s="101">
        <f t="shared" si="25"/>
        <v>0</v>
      </c>
      <c r="AO51" s="101">
        <f t="shared" si="26"/>
        <v>2333333.3333333335</v>
      </c>
      <c r="AP51" s="101">
        <f t="shared" si="27"/>
        <v>9333333333.333334</v>
      </c>
      <c r="AQ51" s="97">
        <f t="shared" si="28"/>
        <v>0</v>
      </c>
      <c r="AR51" s="97">
        <f t="shared" si="29"/>
        <v>0</v>
      </c>
      <c r="AS51" s="97">
        <f t="shared" si="30"/>
        <v>0</v>
      </c>
      <c r="AT51" s="102">
        <f t="shared" si="31"/>
        <v>0</v>
      </c>
      <c r="AU51" s="102">
        <f t="shared" si="32"/>
        <v>-2333333.3333333335</v>
      </c>
      <c r="AV51" s="102">
        <f t="shared" si="33"/>
        <v>4666666666.666667</v>
      </c>
      <c r="AW51" s="97">
        <f t="shared" si="34"/>
        <v>0</v>
      </c>
      <c r="AX51" s="99">
        <f t="shared" si="35"/>
        <v>0</v>
      </c>
      <c r="AY51" s="1"/>
      <c r="AZ51" s="4" t="s">
        <v>43</v>
      </c>
      <c r="BA51" s="1"/>
      <c r="BB51" s="3">
        <f t="shared" si="36"/>
        <v>-30000000</v>
      </c>
      <c r="BC51" s="1"/>
      <c r="BD51" s="157">
        <v>-6.4285714285714276E-3</v>
      </c>
      <c r="BE51" s="154"/>
      <c r="BF51" s="154">
        <v>0</v>
      </c>
      <c r="BG51" s="155"/>
      <c r="BH51" s="154"/>
      <c r="BI51" s="155"/>
      <c r="BJ51" s="155"/>
      <c r="BK51" s="155"/>
      <c r="BL51" s="155"/>
      <c r="BO51" s="112"/>
      <c r="BP51" s="112"/>
    </row>
    <row r="52" spans="1:10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H52" s="140"/>
      <c r="AI52" s="140"/>
      <c r="AJ52" s="78">
        <v>7</v>
      </c>
      <c r="AK52" s="104">
        <f t="shared" si="22"/>
        <v>0</v>
      </c>
      <c r="AL52" s="97">
        <f t="shared" si="23"/>
        <v>0</v>
      </c>
      <c r="AM52" s="97">
        <f t="shared" si="24"/>
        <v>0</v>
      </c>
      <c r="AN52" s="96">
        <f t="shared" si="25"/>
        <v>0</v>
      </c>
      <c r="AO52" s="96">
        <f t="shared" si="26"/>
        <v>0</v>
      </c>
      <c r="AP52" s="97">
        <f t="shared" si="27"/>
        <v>0</v>
      </c>
      <c r="AQ52" s="105">
        <f t="shared" si="28"/>
        <v>328.125</v>
      </c>
      <c r="AR52" s="106">
        <f t="shared" si="29"/>
        <v>3.2140046849512931E-11</v>
      </c>
      <c r="AS52" s="106">
        <f t="shared" si="30"/>
        <v>-656250</v>
      </c>
      <c r="AT52" s="106">
        <f t="shared" si="31"/>
        <v>-328.125</v>
      </c>
      <c r="AU52" s="105">
        <f t="shared" si="32"/>
        <v>-3.2140046849512931E-11</v>
      </c>
      <c r="AV52" s="96">
        <f t="shared" si="33"/>
        <v>0</v>
      </c>
      <c r="AW52" s="97">
        <f t="shared" si="34"/>
        <v>0</v>
      </c>
      <c r="AX52" s="107">
        <f t="shared" si="35"/>
        <v>-656250</v>
      </c>
      <c r="AY52" s="1"/>
      <c r="AZ52" s="4">
        <v>0</v>
      </c>
      <c r="BA52" s="1"/>
      <c r="BB52" s="3">
        <f t="shared" si="36"/>
        <v>-10000</v>
      </c>
      <c r="BC52" s="144" t="s">
        <v>53</v>
      </c>
      <c r="BD52" s="32" cm="1">
        <f t="array" ref="BD52:BD54">AZ52:AZ54</f>
        <v>0</v>
      </c>
      <c r="BE52" s="154"/>
      <c r="BF52" s="154">
        <v>8750.6591410658639</v>
      </c>
      <c r="BG52" s="155"/>
      <c r="BH52" s="154"/>
      <c r="BI52" s="155"/>
      <c r="BJ52" s="155"/>
      <c r="BK52" s="155"/>
      <c r="BL52" s="155"/>
      <c r="BO52" s="112"/>
      <c r="BP52" s="112"/>
    </row>
    <row r="53" spans="1:101" x14ac:dyDescent="0.2">
      <c r="A53" s="4"/>
      <c r="B53" s="79" t="s">
        <v>30</v>
      </c>
      <c r="C53" s="4"/>
      <c r="D53" s="4"/>
      <c r="E53" s="4"/>
      <c r="F53" s="4"/>
      <c r="G53" s="4"/>
      <c r="H53" s="4"/>
      <c r="I53" s="7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H53" s="123"/>
      <c r="AI53" s="123"/>
      <c r="AJ53" s="78">
        <v>8</v>
      </c>
      <c r="AK53" s="104">
        <f t="shared" si="22"/>
        <v>0</v>
      </c>
      <c r="AL53" s="97">
        <f t="shared" si="23"/>
        <v>0</v>
      </c>
      <c r="AM53" s="97">
        <f t="shared" si="24"/>
        <v>0</v>
      </c>
      <c r="AN53" s="97">
        <f t="shared" si="25"/>
        <v>0</v>
      </c>
      <c r="AO53" s="97">
        <f t="shared" si="26"/>
        <v>0</v>
      </c>
      <c r="AP53" s="97">
        <f t="shared" si="27"/>
        <v>0</v>
      </c>
      <c r="AQ53" s="106">
        <f t="shared" si="28"/>
        <v>3.2140046849512931E-11</v>
      </c>
      <c r="AR53" s="105">
        <f t="shared" si="29"/>
        <v>525000</v>
      </c>
      <c r="AS53" s="105">
        <f t="shared" si="30"/>
        <v>4.0200183676689094E-11</v>
      </c>
      <c r="AT53" s="105">
        <f t="shared" si="31"/>
        <v>-3.2140046849512931E-11</v>
      </c>
      <c r="AU53" s="105">
        <f t="shared" si="32"/>
        <v>-525000</v>
      </c>
      <c r="AV53" s="96">
        <f t="shared" si="33"/>
        <v>0</v>
      </c>
      <c r="AW53" s="97">
        <f t="shared" si="34"/>
        <v>0</v>
      </c>
      <c r="AX53" s="107">
        <f t="shared" si="35"/>
        <v>4.0200183676689094E-11</v>
      </c>
      <c r="AY53" s="1"/>
      <c r="AZ53" s="4">
        <v>0</v>
      </c>
      <c r="BA53" s="1"/>
      <c r="BB53" s="3">
        <f t="shared" si="36"/>
        <v>6.1257422745431001E-13</v>
      </c>
      <c r="BC53" s="144" t="s">
        <v>54</v>
      </c>
      <c r="BD53" s="32">
        <v>0</v>
      </c>
      <c r="BE53" s="155"/>
      <c r="BF53" s="155">
        <v>30000</v>
      </c>
      <c r="BG53" s="155"/>
      <c r="BH53" s="155"/>
      <c r="BI53" s="155"/>
      <c r="BJ53" s="155"/>
      <c r="BK53" s="155"/>
      <c r="BL53" s="155"/>
      <c r="BM53" s="155"/>
      <c r="BN53" s="155"/>
      <c r="BO53" s="112"/>
      <c r="BP53" s="112"/>
    </row>
    <row r="54" spans="1:101" x14ac:dyDescent="0.2">
      <c r="A54" s="4"/>
      <c r="B54" s="41">
        <f>$C$5</f>
        <v>6.1257422745431001E-17</v>
      </c>
      <c r="C54" s="41">
        <f>-$E$5</f>
        <v>-1</v>
      </c>
      <c r="D54" s="41">
        <v>0</v>
      </c>
      <c r="E54" s="41">
        <v>0</v>
      </c>
      <c r="F54" s="41">
        <v>0</v>
      </c>
      <c r="G54" s="41">
        <v>0</v>
      </c>
      <c r="H54" s="4"/>
      <c r="I54" s="4"/>
      <c r="J54" s="4"/>
      <c r="K54" s="4"/>
      <c r="L54" s="79" t="s">
        <v>30</v>
      </c>
      <c r="M54" s="4"/>
      <c r="N54" s="4"/>
      <c r="O54" s="4"/>
      <c r="P54" s="4"/>
      <c r="Q54" s="4"/>
      <c r="R54" s="4"/>
      <c r="S54" s="4"/>
      <c r="T54" s="4"/>
      <c r="U54" s="4"/>
      <c r="V54" s="79" t="s">
        <v>30</v>
      </c>
      <c r="W54" s="4"/>
      <c r="X54" s="4"/>
      <c r="Y54" s="4"/>
      <c r="Z54" s="4"/>
      <c r="AA54" s="4"/>
      <c r="AB54" s="4"/>
      <c r="AC54" s="4"/>
      <c r="AH54" s="123"/>
      <c r="AI54" s="123"/>
      <c r="AJ54" s="78">
        <v>9</v>
      </c>
      <c r="AK54" s="104">
        <f t="shared" si="22"/>
        <v>0</v>
      </c>
      <c r="AL54" s="97">
        <f t="shared" si="23"/>
        <v>0</v>
      </c>
      <c r="AM54" s="97">
        <f t="shared" si="24"/>
        <v>0</v>
      </c>
      <c r="AN54" s="97">
        <f t="shared" si="25"/>
        <v>0</v>
      </c>
      <c r="AO54" s="97">
        <f t="shared" si="26"/>
        <v>0</v>
      </c>
      <c r="AP54" s="97">
        <f t="shared" si="27"/>
        <v>0</v>
      </c>
      <c r="AQ54" s="106">
        <f t="shared" si="28"/>
        <v>-656250</v>
      </c>
      <c r="AR54" s="105">
        <f t="shared" si="29"/>
        <v>4.0200183676689094E-11</v>
      </c>
      <c r="AS54" s="105">
        <f t="shared" si="30"/>
        <v>1750000000</v>
      </c>
      <c r="AT54" s="105">
        <f t="shared" si="31"/>
        <v>656250</v>
      </c>
      <c r="AU54" s="105">
        <f t="shared" si="32"/>
        <v>-4.0200183676689094E-11</v>
      </c>
      <c r="AV54" s="96">
        <f t="shared" si="33"/>
        <v>0</v>
      </c>
      <c r="AW54" s="97">
        <f t="shared" si="34"/>
        <v>0</v>
      </c>
      <c r="AX54" s="107">
        <f t="shared" si="35"/>
        <v>875000000</v>
      </c>
      <c r="AY54" s="1"/>
      <c r="AZ54" s="4">
        <v>0</v>
      </c>
      <c r="BA54" s="1"/>
      <c r="BB54" s="3">
        <f t="shared" si="36"/>
        <v>6666666.666666667</v>
      </c>
      <c r="BC54" s="144" t="s">
        <v>86</v>
      </c>
      <c r="BD54" s="32">
        <v>0</v>
      </c>
      <c r="BE54" s="154"/>
      <c r="BF54" s="154">
        <v>4997363.4357365454</v>
      </c>
      <c r="BG54" s="155"/>
      <c r="BH54" s="154"/>
      <c r="BI54" s="155"/>
      <c r="BJ54" s="155"/>
      <c r="BK54" s="155"/>
      <c r="BL54" s="155"/>
      <c r="BM54" s="155"/>
      <c r="BN54" s="155"/>
      <c r="BO54" s="112"/>
      <c r="BP54" s="112"/>
      <c r="BR54" s="113"/>
    </row>
    <row r="55" spans="1:101" x14ac:dyDescent="0.2">
      <c r="A55" s="4"/>
      <c r="B55" s="41">
        <f>$E$5</f>
        <v>1</v>
      </c>
      <c r="C55" s="41">
        <f>$C$5</f>
        <v>6.1257422745431001E-17</v>
      </c>
      <c r="D55" s="41">
        <v>0</v>
      </c>
      <c r="E55" s="41">
        <v>0</v>
      </c>
      <c r="F55" s="41">
        <v>0</v>
      </c>
      <c r="G55" s="41">
        <v>0</v>
      </c>
      <c r="H55" s="4"/>
      <c r="I55" s="4"/>
      <c r="J55" s="4"/>
      <c r="K55" s="4"/>
      <c r="L55" s="41">
        <f>$M$5</f>
        <v>1</v>
      </c>
      <c r="M55" s="41">
        <f>-$O$5</f>
        <v>0</v>
      </c>
      <c r="N55" s="41">
        <v>0</v>
      </c>
      <c r="O55" s="41">
        <v>0</v>
      </c>
      <c r="P55" s="41">
        <v>0</v>
      </c>
      <c r="Q55" s="41">
        <v>0</v>
      </c>
      <c r="R55" s="4"/>
      <c r="S55" s="4"/>
      <c r="T55" s="4"/>
      <c r="U55" s="4"/>
      <c r="V55" s="41">
        <f>$C$5</f>
        <v>6.1257422745431001E-17</v>
      </c>
      <c r="W55" s="41">
        <f>-$E$5</f>
        <v>-1</v>
      </c>
      <c r="X55" s="41">
        <v>0</v>
      </c>
      <c r="Y55" s="41">
        <v>0</v>
      </c>
      <c r="Z55" s="41">
        <v>0</v>
      </c>
      <c r="AA55" s="41">
        <v>0</v>
      </c>
      <c r="AB55" s="4"/>
      <c r="AC55" s="4"/>
      <c r="AH55" s="140"/>
      <c r="AI55" s="140"/>
      <c r="AJ55" s="78">
        <v>10</v>
      </c>
      <c r="AK55" s="104">
        <f t="shared" si="22"/>
        <v>0</v>
      </c>
      <c r="AL55" s="97">
        <f t="shared" si="23"/>
        <v>0</v>
      </c>
      <c r="AM55" s="97">
        <f t="shared" si="24"/>
        <v>0</v>
      </c>
      <c r="AN55" s="102">
        <f t="shared" si="25"/>
        <v>-700000</v>
      </c>
      <c r="AO55" s="102">
        <f t="shared" si="26"/>
        <v>0</v>
      </c>
      <c r="AP55" s="102">
        <f t="shared" si="27"/>
        <v>0</v>
      </c>
      <c r="AQ55" s="106">
        <f t="shared" si="28"/>
        <v>-328.125</v>
      </c>
      <c r="AR55" s="105">
        <f t="shared" si="29"/>
        <v>-3.2140046849512931E-11</v>
      </c>
      <c r="AS55" s="105">
        <f t="shared" si="30"/>
        <v>656250</v>
      </c>
      <c r="AT55" s="100">
        <f t="shared" si="31"/>
        <v>700328.125</v>
      </c>
      <c r="AU55" s="100">
        <f t="shared" si="32"/>
        <v>3.2140046849512931E-11</v>
      </c>
      <c r="AV55" s="101">
        <f t="shared" si="33"/>
        <v>0</v>
      </c>
      <c r="AW55" s="97">
        <f t="shared" si="34"/>
        <v>0</v>
      </c>
      <c r="AX55" s="107">
        <f t="shared" si="35"/>
        <v>656250</v>
      </c>
      <c r="AY55" s="1"/>
      <c r="AZ55" s="4" t="s">
        <v>45</v>
      </c>
      <c r="BA55" s="1"/>
      <c r="BB55" s="3">
        <f t="shared" si="36"/>
        <v>-10000</v>
      </c>
      <c r="BC55" s="1"/>
      <c r="BD55" s="153" cm="1">
        <f t="array" ref="BD55:BD59">AV80:AV84</f>
        <v>45.706250470816116</v>
      </c>
      <c r="BE55" s="155"/>
      <c r="BF55" s="155">
        <v>1.3978933566249907E-8</v>
      </c>
      <c r="BG55" s="155"/>
      <c r="BH55" s="155"/>
      <c r="BI55" s="155"/>
      <c r="BJ55" s="155"/>
      <c r="BK55" s="155"/>
      <c r="BL55" s="155"/>
      <c r="BM55" s="155"/>
      <c r="BN55" s="155"/>
      <c r="BO55" s="112"/>
      <c r="BP55" s="112"/>
      <c r="BR55" s="113"/>
    </row>
    <row r="56" spans="1:101" x14ac:dyDescent="0.2">
      <c r="A56" s="4"/>
      <c r="B56" s="41">
        <v>0</v>
      </c>
      <c r="C56" s="41">
        <v>0</v>
      </c>
      <c r="D56" s="41">
        <f>D47</f>
        <v>1</v>
      </c>
      <c r="E56" s="41">
        <v>0</v>
      </c>
      <c r="F56" s="41">
        <v>0</v>
      </c>
      <c r="G56" s="41">
        <v>0</v>
      </c>
      <c r="H56" s="4"/>
      <c r="I56" s="4"/>
      <c r="J56" s="4"/>
      <c r="K56" s="4"/>
      <c r="L56" s="41">
        <f>$O$5</f>
        <v>0</v>
      </c>
      <c r="M56" s="41">
        <f>$M$5</f>
        <v>1</v>
      </c>
      <c r="N56" s="41">
        <v>0</v>
      </c>
      <c r="O56" s="41">
        <v>0</v>
      </c>
      <c r="P56" s="41">
        <v>0</v>
      </c>
      <c r="Q56" s="41">
        <v>0</v>
      </c>
      <c r="R56" s="4"/>
      <c r="S56" s="4"/>
      <c r="T56" s="4"/>
      <c r="U56" s="4"/>
      <c r="V56" s="41">
        <f>$E$5</f>
        <v>1</v>
      </c>
      <c r="W56" s="41">
        <f>$C$5</f>
        <v>6.1257422745431001E-17</v>
      </c>
      <c r="X56" s="41">
        <v>0</v>
      </c>
      <c r="Y56" s="41">
        <v>0</v>
      </c>
      <c r="Z56" s="41">
        <v>0</v>
      </c>
      <c r="AA56" s="41">
        <v>0</v>
      </c>
      <c r="AB56" s="4"/>
      <c r="AC56" s="4"/>
      <c r="AH56" s="123"/>
      <c r="AI56" s="123"/>
      <c r="AJ56" s="78">
        <v>11</v>
      </c>
      <c r="AK56" s="104">
        <f t="shared" si="22"/>
        <v>0</v>
      </c>
      <c r="AL56" s="97">
        <f t="shared" si="23"/>
        <v>0</v>
      </c>
      <c r="AM56" s="97">
        <f t="shared" si="24"/>
        <v>0</v>
      </c>
      <c r="AN56" s="101">
        <f t="shared" si="25"/>
        <v>0</v>
      </c>
      <c r="AO56" s="101">
        <f t="shared" si="26"/>
        <v>-777.77777777777783</v>
      </c>
      <c r="AP56" s="102">
        <f t="shared" si="27"/>
        <v>-2333333.3333333335</v>
      </c>
      <c r="AQ56" s="105">
        <f t="shared" si="28"/>
        <v>-3.2140046849512931E-11</v>
      </c>
      <c r="AR56" s="105">
        <f t="shared" si="29"/>
        <v>-525000</v>
      </c>
      <c r="AS56" s="105">
        <f t="shared" si="30"/>
        <v>-4.0200183676689094E-11</v>
      </c>
      <c r="AT56" s="100">
        <f t="shared" si="31"/>
        <v>3.2140046849512931E-11</v>
      </c>
      <c r="AU56" s="100">
        <f t="shared" si="32"/>
        <v>525777.77777777775</v>
      </c>
      <c r="AV56" s="101">
        <f t="shared" si="33"/>
        <v>-2333333.3333333335</v>
      </c>
      <c r="AW56" s="97">
        <f t="shared" si="34"/>
        <v>0</v>
      </c>
      <c r="AX56" s="107">
        <f t="shared" si="35"/>
        <v>-4.0200183676689094E-11</v>
      </c>
      <c r="AY56" s="1"/>
      <c r="AZ56" s="4" t="s">
        <v>46</v>
      </c>
      <c r="BA56" s="1"/>
      <c r="BB56" s="3">
        <f t="shared" si="36"/>
        <v>-30000</v>
      </c>
      <c r="BC56" s="1"/>
      <c r="BD56" s="153">
        <v>-5.7142857142859944E-2</v>
      </c>
      <c r="BE56" s="155"/>
      <c r="BF56" s="155">
        <v>0</v>
      </c>
      <c r="BG56" s="155"/>
      <c r="BH56" s="155"/>
      <c r="BI56" s="155"/>
      <c r="BJ56" s="155"/>
      <c r="BK56" s="155"/>
      <c r="BL56" s="155"/>
      <c r="BM56" s="155"/>
      <c r="BN56" s="155"/>
      <c r="BO56" s="112"/>
      <c r="BP56" s="112"/>
      <c r="BR56" s="113"/>
    </row>
    <row r="57" spans="1:101" x14ac:dyDescent="0.2">
      <c r="A57" s="4"/>
      <c r="B57" s="41">
        <v>0</v>
      </c>
      <c r="C57" s="41">
        <v>0</v>
      </c>
      <c r="D57" s="41">
        <v>0</v>
      </c>
      <c r="E57" s="41">
        <f>$C$5</f>
        <v>6.1257422745431001E-17</v>
      </c>
      <c r="F57" s="41">
        <f>-$E$5</f>
        <v>-1</v>
      </c>
      <c r="G57" s="41">
        <v>0</v>
      </c>
      <c r="H57" s="4"/>
      <c r="I57" s="4"/>
      <c r="J57" s="4"/>
      <c r="K57" s="4"/>
      <c r="L57" s="41">
        <v>0</v>
      </c>
      <c r="M57" s="41">
        <v>0</v>
      </c>
      <c r="N57" s="41">
        <f>N48</f>
        <v>1</v>
      </c>
      <c r="O57" s="41">
        <v>0</v>
      </c>
      <c r="P57" s="41">
        <v>0</v>
      </c>
      <c r="Q57" s="41">
        <v>0</v>
      </c>
      <c r="R57" s="4"/>
      <c r="S57" s="4"/>
      <c r="T57" s="4"/>
      <c r="U57" s="4"/>
      <c r="V57" s="41">
        <v>0</v>
      </c>
      <c r="W57" s="41">
        <v>0</v>
      </c>
      <c r="X57" s="41">
        <f>X48</f>
        <v>1</v>
      </c>
      <c r="Y57" s="41">
        <v>0</v>
      </c>
      <c r="Z57" s="41">
        <v>0</v>
      </c>
      <c r="AA57" s="41">
        <v>0</v>
      </c>
      <c r="AB57" s="4"/>
      <c r="AC57" s="4"/>
      <c r="AJ57" s="78">
        <v>12</v>
      </c>
      <c r="AK57" s="104">
        <f t="shared" si="22"/>
        <v>0</v>
      </c>
      <c r="AL57" s="97">
        <f t="shared" si="23"/>
        <v>0</v>
      </c>
      <c r="AM57" s="97">
        <f t="shared" si="24"/>
        <v>0</v>
      </c>
      <c r="AN57" s="101">
        <f t="shared" si="25"/>
        <v>0</v>
      </c>
      <c r="AO57" s="101">
        <f t="shared" si="26"/>
        <v>2333333.3333333335</v>
      </c>
      <c r="AP57" s="102">
        <f t="shared" si="27"/>
        <v>4666666666.666667</v>
      </c>
      <c r="AQ57" s="96">
        <f t="shared" si="28"/>
        <v>0</v>
      </c>
      <c r="AR57" s="96">
        <f t="shared" si="29"/>
        <v>0</v>
      </c>
      <c r="AS57" s="96">
        <f t="shared" si="30"/>
        <v>0</v>
      </c>
      <c r="AT57" s="101">
        <f t="shared" si="31"/>
        <v>0</v>
      </c>
      <c r="AU57" s="101">
        <f t="shared" si="32"/>
        <v>-2333333.3333333335</v>
      </c>
      <c r="AV57" s="101">
        <f t="shared" si="33"/>
        <v>9333333333.333334</v>
      </c>
      <c r="AW57" s="97">
        <f t="shared" si="34"/>
        <v>0</v>
      </c>
      <c r="AX57" s="99">
        <f t="shared" si="35"/>
        <v>0</v>
      </c>
      <c r="AY57" s="1"/>
      <c r="AZ57" s="4" t="s">
        <v>47</v>
      </c>
      <c r="BA57" s="1"/>
      <c r="BB57" s="3">
        <f t="shared" si="36"/>
        <v>30000000</v>
      </c>
      <c r="BC57" s="1"/>
      <c r="BD57" s="157">
        <v>6.4285714285714276E-3</v>
      </c>
      <c r="BE57" s="155"/>
      <c r="BF57" s="155">
        <v>0</v>
      </c>
      <c r="BG57" s="155"/>
      <c r="BH57" s="155"/>
      <c r="BI57" s="155"/>
      <c r="BJ57" s="155"/>
      <c r="BK57" s="155"/>
      <c r="BL57" s="155"/>
      <c r="BM57" s="155"/>
      <c r="BN57" s="155"/>
    </row>
    <row r="58" spans="1:101" x14ac:dyDescent="0.2">
      <c r="A58" s="4"/>
      <c r="B58" s="41">
        <v>0</v>
      </c>
      <c r="C58" s="41">
        <v>0</v>
      </c>
      <c r="D58" s="41">
        <v>0</v>
      </c>
      <c r="E58" s="41">
        <f>$E$5</f>
        <v>1</v>
      </c>
      <c r="F58" s="41">
        <f>$C$5</f>
        <v>6.1257422745431001E-17</v>
      </c>
      <c r="G58" s="41">
        <v>0</v>
      </c>
      <c r="H58" s="4"/>
      <c r="I58" s="4"/>
      <c r="J58" s="4"/>
      <c r="K58" s="4"/>
      <c r="L58" s="41">
        <v>0</v>
      </c>
      <c r="M58" s="41">
        <v>0</v>
      </c>
      <c r="N58" s="41">
        <v>0</v>
      </c>
      <c r="O58" s="41">
        <f>$M$5</f>
        <v>1</v>
      </c>
      <c r="P58" s="41">
        <f>-$O$5</f>
        <v>0</v>
      </c>
      <c r="Q58" s="41">
        <v>0</v>
      </c>
      <c r="R58" s="4"/>
      <c r="S58" s="4"/>
      <c r="T58" s="4"/>
      <c r="U58" s="4"/>
      <c r="V58" s="41">
        <v>0</v>
      </c>
      <c r="W58" s="41">
        <v>0</v>
      </c>
      <c r="X58" s="41">
        <v>0</v>
      </c>
      <c r="Y58" s="41">
        <f>$C$5</f>
        <v>6.1257422745431001E-17</v>
      </c>
      <c r="Z58" s="41">
        <f>-$E$5</f>
        <v>-1</v>
      </c>
      <c r="AA58" s="41">
        <v>0</v>
      </c>
      <c r="AB58" s="4"/>
      <c r="AC58" s="4"/>
      <c r="AJ58" s="78">
        <v>13</v>
      </c>
      <c r="AK58" s="108">
        <f t="shared" si="22"/>
        <v>-656250</v>
      </c>
      <c r="AL58" s="98">
        <f t="shared" si="23"/>
        <v>4.0200183676689094E-11</v>
      </c>
      <c r="AM58" s="98">
        <f t="shared" si="24"/>
        <v>875000000</v>
      </c>
      <c r="AN58" s="98">
        <f t="shared" si="25"/>
        <v>656250</v>
      </c>
      <c r="AO58" s="98">
        <f t="shared" si="26"/>
        <v>-4.0200183676689094E-11</v>
      </c>
      <c r="AP58" s="97">
        <f t="shared" si="27"/>
        <v>0</v>
      </c>
      <c r="AQ58" s="97">
        <f t="shared" si="28"/>
        <v>0</v>
      </c>
      <c r="AR58" s="97">
        <f t="shared" si="29"/>
        <v>0</v>
      </c>
      <c r="AS58" s="97">
        <f t="shared" si="30"/>
        <v>0</v>
      </c>
      <c r="AT58" s="97">
        <f t="shared" si="31"/>
        <v>0</v>
      </c>
      <c r="AU58" s="97">
        <f t="shared" si="32"/>
        <v>0</v>
      </c>
      <c r="AV58" s="97">
        <f t="shared" si="33"/>
        <v>0</v>
      </c>
      <c r="AW58" s="98">
        <f t="shared" si="34"/>
        <v>1750000000</v>
      </c>
      <c r="AX58" s="99">
        <f t="shared" si="35"/>
        <v>0</v>
      </c>
      <c r="AY58" s="4"/>
      <c r="AZ58" s="4" t="s">
        <v>84</v>
      </c>
      <c r="BA58" s="155"/>
      <c r="BB58" s="3">
        <f t="shared" si="36"/>
        <v>13333333.333333334</v>
      </c>
      <c r="BC58" s="155"/>
      <c r="BD58" s="157">
        <v>-9.5268227401114139E-3</v>
      </c>
      <c r="BE58" s="155"/>
      <c r="BF58" s="155">
        <v>0</v>
      </c>
      <c r="BG58" s="155"/>
      <c r="BH58" s="155"/>
      <c r="BI58" s="155"/>
      <c r="BJ58" s="155"/>
      <c r="BK58" s="155"/>
      <c r="BL58" s="155"/>
      <c r="BM58" s="155"/>
      <c r="BN58" s="155"/>
    </row>
    <row r="59" spans="1:101" x14ac:dyDescent="0.2">
      <c r="A59" s="4"/>
      <c r="B59" s="41">
        <v>0</v>
      </c>
      <c r="C59" s="41">
        <v>0</v>
      </c>
      <c r="D59" s="41">
        <v>0</v>
      </c>
      <c r="E59" s="41">
        <v>0</v>
      </c>
      <c r="F59" s="41">
        <v>0</v>
      </c>
      <c r="G59" s="41">
        <f>D47</f>
        <v>1</v>
      </c>
      <c r="H59" s="4"/>
      <c r="I59" s="4"/>
      <c r="J59" s="4"/>
      <c r="K59" s="4"/>
      <c r="L59" s="41">
        <v>0</v>
      </c>
      <c r="M59" s="41">
        <v>0</v>
      </c>
      <c r="N59" s="41">
        <v>0</v>
      </c>
      <c r="O59" s="41">
        <f>$O$5</f>
        <v>0</v>
      </c>
      <c r="P59" s="41">
        <f>$M$5</f>
        <v>1</v>
      </c>
      <c r="Q59" s="41">
        <v>0</v>
      </c>
      <c r="R59" s="4"/>
      <c r="S59" s="4"/>
      <c r="T59" s="4"/>
      <c r="U59" s="4"/>
      <c r="V59" s="41">
        <v>0</v>
      </c>
      <c r="W59" s="41">
        <v>0</v>
      </c>
      <c r="X59" s="41">
        <v>0</v>
      </c>
      <c r="Y59" s="41">
        <f>$E$5</f>
        <v>1</v>
      </c>
      <c r="Z59" s="41">
        <f>$C$5</f>
        <v>6.1257422745431001E-17</v>
      </c>
      <c r="AA59" s="41">
        <v>0</v>
      </c>
      <c r="AB59" s="4"/>
      <c r="AC59" s="4"/>
      <c r="AJ59" s="78">
        <v>14</v>
      </c>
      <c r="AK59" s="104">
        <f t="shared" si="22"/>
        <v>0</v>
      </c>
      <c r="AL59" s="97">
        <f t="shared" si="23"/>
        <v>0</v>
      </c>
      <c r="AM59" s="97">
        <f t="shared" si="24"/>
        <v>0</v>
      </c>
      <c r="AN59" s="97">
        <f t="shared" si="25"/>
        <v>0</v>
      </c>
      <c r="AO59" s="97">
        <f t="shared" si="26"/>
        <v>0</v>
      </c>
      <c r="AP59" s="97">
        <f t="shared" si="27"/>
        <v>0</v>
      </c>
      <c r="AQ59" s="106">
        <f t="shared" si="28"/>
        <v>-656250</v>
      </c>
      <c r="AR59" s="106">
        <f t="shared" si="29"/>
        <v>4.0200183676689094E-11</v>
      </c>
      <c r="AS59" s="106">
        <f t="shared" si="30"/>
        <v>875000000</v>
      </c>
      <c r="AT59" s="106">
        <f t="shared" si="31"/>
        <v>656250</v>
      </c>
      <c r="AU59" s="106">
        <f t="shared" si="32"/>
        <v>-4.0200183676689094E-11</v>
      </c>
      <c r="AV59" s="97">
        <f t="shared" si="33"/>
        <v>0</v>
      </c>
      <c r="AW59" s="97">
        <f t="shared" si="34"/>
        <v>0</v>
      </c>
      <c r="AX59" s="107">
        <f t="shared" si="35"/>
        <v>1750000000</v>
      </c>
      <c r="AY59" s="4"/>
      <c r="AZ59" s="4" t="s">
        <v>85</v>
      </c>
      <c r="BA59" s="155"/>
      <c r="BB59" s="3">
        <f t="shared" si="36"/>
        <v>-6666666.666666667</v>
      </c>
      <c r="BD59" s="157">
        <v>-2.0949367736079846E-2</v>
      </c>
      <c r="BF59" s="80">
        <v>1.3969838619232178E-8</v>
      </c>
      <c r="BG59" s="155"/>
      <c r="BH59" s="155"/>
      <c r="BI59" s="155"/>
      <c r="BJ59" s="155"/>
      <c r="BK59" s="155"/>
      <c r="BL59" s="155"/>
      <c r="BT59" s="112"/>
      <c r="BY59" s="117"/>
      <c r="CA59" s="118"/>
    </row>
    <row r="60" spans="1:10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1">
        <v>0</v>
      </c>
      <c r="M60" s="41">
        <v>0</v>
      </c>
      <c r="N60" s="41">
        <v>0</v>
      </c>
      <c r="O60" s="41">
        <v>0</v>
      </c>
      <c r="P60" s="41">
        <v>0</v>
      </c>
      <c r="Q60" s="41">
        <f>N48</f>
        <v>1</v>
      </c>
      <c r="R60" s="4"/>
      <c r="S60" s="4"/>
      <c r="T60" s="4"/>
      <c r="U60" s="4"/>
      <c r="V60" s="41">
        <v>0</v>
      </c>
      <c r="W60" s="41">
        <v>0</v>
      </c>
      <c r="X60" s="41">
        <v>0</v>
      </c>
      <c r="Y60" s="41">
        <v>0</v>
      </c>
      <c r="Z60" s="41">
        <v>0</v>
      </c>
      <c r="AA60" s="41">
        <f>X48</f>
        <v>1</v>
      </c>
      <c r="AB60" s="4"/>
      <c r="AC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155"/>
      <c r="BB60" s="155"/>
      <c r="BG60" s="155"/>
      <c r="BH60" s="155"/>
      <c r="BI60" s="155"/>
      <c r="BJ60" s="155"/>
      <c r="BK60" s="155"/>
      <c r="BL60" s="155"/>
      <c r="BT60" s="112"/>
      <c r="BY60" s="117"/>
      <c r="CA60" s="118"/>
    </row>
    <row r="61" spans="1:10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111"/>
      <c r="BB61" s="111"/>
      <c r="BE61" s="111"/>
      <c r="BK61" s="116"/>
      <c r="BT61" s="112"/>
      <c r="BY61" s="117"/>
      <c r="CA61" s="118"/>
    </row>
    <row r="62" spans="1:101" ht="15" x14ac:dyDescent="0.25">
      <c r="AJ62" s="4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 s="111"/>
      <c r="BB62" s="111"/>
      <c r="BE62" s="111"/>
      <c r="BK62" s="116"/>
      <c r="BT62" s="112"/>
      <c r="BY62" s="117"/>
      <c r="CA62" s="118"/>
    </row>
    <row r="63" spans="1:101" ht="15" x14ac:dyDescent="0.25"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 s="111"/>
      <c r="BB63" s="111" t="s">
        <v>95</v>
      </c>
      <c r="BC63" s="80" t="s">
        <v>94</v>
      </c>
      <c r="BE63" s="111"/>
      <c r="BK63" s="116"/>
      <c r="BT63" s="112"/>
      <c r="BY63" s="117"/>
      <c r="CA63" s="118"/>
    </row>
    <row r="64" spans="1:101" ht="15" x14ac:dyDescent="0.25">
      <c r="AJ64" s="2" t="s">
        <v>48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/>
      <c r="BB64" s="111" cm="1">
        <f t="array" ref="BB64:BB68">BF46:BF50</f>
        <v>-28750.65914106604</v>
      </c>
      <c r="BC64" s="80" cm="1">
        <f t="array" ref="BC64:BC69">MMULT(B45:G50,BB64:BB69)</f>
        <v>29999.999999999996</v>
      </c>
      <c r="BE64" s="111"/>
      <c r="BK64" s="116"/>
      <c r="BT64" s="112"/>
      <c r="BY64" s="117"/>
      <c r="CA64" s="118"/>
    </row>
    <row r="65" spans="5:74" ht="15" x14ac:dyDescent="0.25">
      <c r="AJ65" s="9"/>
      <c r="AK65" s="9">
        <v>4</v>
      </c>
      <c r="AL65" s="9">
        <v>5</v>
      </c>
      <c r="AM65" s="9">
        <v>6</v>
      </c>
      <c r="AN65" s="9">
        <v>10</v>
      </c>
      <c r="AO65" s="9">
        <v>11</v>
      </c>
      <c r="AP65" s="9">
        <v>12</v>
      </c>
      <c r="AQ65" s="9">
        <v>13</v>
      </c>
      <c r="AR65" s="9">
        <v>14</v>
      </c>
      <c r="AS65" s="4" t="s">
        <v>1</v>
      </c>
      <c r="AT65" s="9" t="s">
        <v>39</v>
      </c>
      <c r="AU65" s="4" t="s">
        <v>49</v>
      </c>
      <c r="AV65" s="141" t="s">
        <v>50</v>
      </c>
      <c r="AW65" s="1"/>
      <c r="AX65" s="1"/>
      <c r="AY65"/>
      <c r="BB65" s="111">
        <v>29999.999999999996</v>
      </c>
      <c r="BC65" s="80">
        <v>28750.659141066044</v>
      </c>
      <c r="BE65" s="111"/>
    </row>
    <row r="66" spans="5:74" ht="15" x14ac:dyDescent="0.25">
      <c r="AJ66" s="78">
        <v>4</v>
      </c>
      <c r="AK66" s="3" cm="1">
        <f t="array" ref="AK66:AM68">AN49:AP51</f>
        <v>700328.125</v>
      </c>
      <c r="AL66" s="3">
        <v>3.2140046849512931E-11</v>
      </c>
      <c r="AM66" s="3">
        <v>0</v>
      </c>
      <c r="AN66" s="3" cm="1">
        <f t="array" ref="AN66:AR68">AT49:AX51</f>
        <v>-700000</v>
      </c>
      <c r="AO66" s="3">
        <v>0</v>
      </c>
      <c r="AP66" s="3">
        <v>0</v>
      </c>
      <c r="AQ66" s="3">
        <v>656250</v>
      </c>
      <c r="AR66" s="3">
        <v>0</v>
      </c>
      <c r="AS66" s="3"/>
      <c r="AT66" s="7" t="str" cm="1">
        <f t="array" ref="AT66:AT68">AZ49:AZ51</f>
        <v>r21</v>
      </c>
      <c r="AU66" s="1"/>
      <c r="AV66" s="145" cm="1">
        <f t="array" ref="AV66:AV68">BB49:BB51</f>
        <v>20000</v>
      </c>
      <c r="AW66" s="1"/>
      <c r="AX66" s="1"/>
      <c r="AY66"/>
      <c r="BB66" s="80">
        <v>35002636.564264163</v>
      </c>
      <c r="BC66" s="80">
        <v>35002636.564264163</v>
      </c>
    </row>
    <row r="67" spans="5:74" ht="15" x14ac:dyDescent="0.25">
      <c r="AJ67" s="78">
        <v>5</v>
      </c>
      <c r="AK67" s="3">
        <v>3.2140046849512931E-11</v>
      </c>
      <c r="AL67" s="3">
        <v>525777.77777777775</v>
      </c>
      <c r="AM67" s="3">
        <v>2333333.3333333335</v>
      </c>
      <c r="AN67" s="3">
        <v>0</v>
      </c>
      <c r="AO67" s="3">
        <v>-777.77777777777783</v>
      </c>
      <c r="AP67" s="3">
        <v>2333333.3333333335</v>
      </c>
      <c r="AQ67" s="3">
        <v>-4.0200183676689094E-11</v>
      </c>
      <c r="AR67" s="3">
        <v>0</v>
      </c>
      <c r="AS67" s="3"/>
      <c r="AT67" s="7" t="str">
        <v>r22</v>
      </c>
      <c r="AU67" s="1"/>
      <c r="AV67" s="142">
        <v>-30000</v>
      </c>
      <c r="AW67" s="1"/>
      <c r="AX67" s="1"/>
      <c r="AY67"/>
      <c r="BB67" s="80">
        <v>-1.076841726899147E-8</v>
      </c>
      <c r="BC67" s="80">
        <v>-6.5964548894581007E-25</v>
      </c>
    </row>
    <row r="68" spans="5:74" ht="15" x14ac:dyDescent="0.25">
      <c r="AJ68" s="78">
        <v>6</v>
      </c>
      <c r="AK68" s="3">
        <v>0</v>
      </c>
      <c r="AL68" s="3">
        <v>2333333.3333333335</v>
      </c>
      <c r="AM68" s="3">
        <v>9333333333.333334</v>
      </c>
      <c r="AN68" s="3">
        <v>0</v>
      </c>
      <c r="AO68" s="3">
        <v>-2333333.3333333335</v>
      </c>
      <c r="AP68" s="3">
        <v>4666666666.666667</v>
      </c>
      <c r="AQ68" s="3">
        <v>0</v>
      </c>
      <c r="AR68" s="3">
        <v>0</v>
      </c>
      <c r="AS68" s="3"/>
      <c r="AT68" s="7" t="str">
        <v>r23</v>
      </c>
      <c r="AU68" s="1"/>
      <c r="AV68" s="142">
        <v>-30000000</v>
      </c>
      <c r="AW68" s="1"/>
      <c r="AX68" s="1"/>
      <c r="AY68"/>
      <c r="BB68" s="80">
        <v>0</v>
      </c>
      <c r="BC68" s="80">
        <v>1.076841726899147E-8</v>
      </c>
      <c r="BO68" s="115"/>
      <c r="BR68" s="139"/>
    </row>
    <row r="69" spans="5:74" ht="15" x14ac:dyDescent="0.25">
      <c r="AJ69" s="78">
        <v>10</v>
      </c>
      <c r="AK69" s="3" cm="1">
        <f t="array" ref="AK69:AM73">AN55:AP59</f>
        <v>-700000</v>
      </c>
      <c r="AL69" s="3">
        <v>0</v>
      </c>
      <c r="AM69" s="3">
        <v>0</v>
      </c>
      <c r="AN69" s="3" cm="1">
        <f t="array" ref="AN69:AR73">AT55:AX59</f>
        <v>700328.125</v>
      </c>
      <c r="AO69" s="3">
        <v>3.2140046849512931E-11</v>
      </c>
      <c r="AP69" s="3">
        <v>0</v>
      </c>
      <c r="AQ69" s="3">
        <v>0</v>
      </c>
      <c r="AR69" s="3">
        <v>656250</v>
      </c>
      <c r="AS69" s="3"/>
      <c r="AT69" s="7" t="str" cm="1">
        <f t="array" ref="AT69:AT73">AZ55:AZ59</f>
        <v>r41</v>
      </c>
      <c r="AU69" s="1"/>
      <c r="AV69" s="145" cm="1">
        <f t="array" ref="AV69:AV73">BB55:BB59</f>
        <v>-10000</v>
      </c>
      <c r="AW69" s="1"/>
      <c r="AX69" s="1"/>
      <c r="AY69"/>
      <c r="BB69" s="80">
        <f>BF59</f>
        <v>1.3969838619232178E-8</v>
      </c>
      <c r="BC69" s="80">
        <v>1.3969838619232178E-8</v>
      </c>
      <c r="BR69" s="139"/>
    </row>
    <row r="70" spans="5:74" ht="15" x14ac:dyDescent="0.25">
      <c r="AJ70" s="78">
        <v>11</v>
      </c>
      <c r="AK70" s="3">
        <v>0</v>
      </c>
      <c r="AL70" s="1">
        <v>-777.77777777777783</v>
      </c>
      <c r="AM70" s="1">
        <v>-2333333.3333333335</v>
      </c>
      <c r="AN70" s="1">
        <v>3.2140046849512931E-11</v>
      </c>
      <c r="AO70" s="3">
        <v>525777.77777777775</v>
      </c>
      <c r="AP70" s="1">
        <v>-2333333.3333333335</v>
      </c>
      <c r="AQ70" s="1">
        <v>0</v>
      </c>
      <c r="AR70" s="1">
        <v>-4.0200183676689094E-11</v>
      </c>
      <c r="AS70" s="1" t="s">
        <v>1</v>
      </c>
      <c r="AT70" s="4" t="str">
        <v>r42</v>
      </c>
      <c r="AU70" s="1"/>
      <c r="AV70" s="3">
        <v>-30000</v>
      </c>
      <c r="AW70" s="1"/>
      <c r="AX70" s="1"/>
      <c r="AY70"/>
      <c r="BR70" s="139"/>
    </row>
    <row r="71" spans="5:74" ht="15" x14ac:dyDescent="0.25">
      <c r="AJ71" s="78">
        <v>12</v>
      </c>
      <c r="AK71" s="1">
        <v>0</v>
      </c>
      <c r="AL71" s="1">
        <v>2333333.3333333335</v>
      </c>
      <c r="AM71" s="1">
        <v>4666666666.666667</v>
      </c>
      <c r="AN71" s="1">
        <v>0</v>
      </c>
      <c r="AO71" s="1">
        <v>-2333333.3333333335</v>
      </c>
      <c r="AP71" s="1">
        <v>9333333333.333334</v>
      </c>
      <c r="AQ71" s="1">
        <v>0</v>
      </c>
      <c r="AR71" s="1">
        <v>0</v>
      </c>
      <c r="AS71" s="1"/>
      <c r="AT71" s="4" t="str">
        <v>r43</v>
      </c>
      <c r="AU71" s="1"/>
      <c r="AV71" s="1">
        <v>30000000</v>
      </c>
      <c r="AW71" s="1"/>
      <c r="AX71" s="1"/>
      <c r="AY71"/>
      <c r="BR71" s="139"/>
    </row>
    <row r="72" spans="5:74" ht="15" x14ac:dyDescent="0.25">
      <c r="AJ72" s="78">
        <v>13</v>
      </c>
      <c r="AK72" s="1">
        <v>656250</v>
      </c>
      <c r="AL72" s="1">
        <v>-4.0200183676689094E-11</v>
      </c>
      <c r="AM72" s="1">
        <v>0</v>
      </c>
      <c r="AN72" s="1">
        <v>0</v>
      </c>
      <c r="AO72" s="1">
        <v>0</v>
      </c>
      <c r="AP72" s="1">
        <v>0</v>
      </c>
      <c r="AQ72" s="1">
        <v>1750000000</v>
      </c>
      <c r="AR72" s="1">
        <v>0</v>
      </c>
      <c r="AS72" s="1"/>
      <c r="AT72" s="4" t="str">
        <v>r24</v>
      </c>
      <c r="AU72" s="1"/>
      <c r="AV72" s="1">
        <v>13333333.333333334</v>
      </c>
      <c r="AW72" s="1"/>
      <c r="AX72" s="1"/>
      <c r="AY72"/>
      <c r="BC72" s="112"/>
      <c r="BD72" s="112"/>
      <c r="BR72" s="139"/>
    </row>
    <row r="73" spans="5:74" ht="15" x14ac:dyDescent="0.25">
      <c r="AJ73" s="78">
        <v>14</v>
      </c>
      <c r="AK73" s="1">
        <v>0</v>
      </c>
      <c r="AL73" s="1">
        <v>0</v>
      </c>
      <c r="AM73" s="1">
        <v>0</v>
      </c>
      <c r="AN73" s="1">
        <v>656250</v>
      </c>
      <c r="AO73" s="1">
        <v>-4.0200183676689094E-11</v>
      </c>
      <c r="AP73" s="1">
        <v>0</v>
      </c>
      <c r="AQ73" s="1">
        <v>0</v>
      </c>
      <c r="AR73" s="1">
        <v>1750000000</v>
      </c>
      <c r="AS73" s="1"/>
      <c r="AT73" s="4" t="str">
        <v>r44</v>
      </c>
      <c r="AU73" s="1"/>
      <c r="AV73" s="1">
        <v>-6666666.666666667</v>
      </c>
      <c r="AW73" s="1"/>
      <c r="AX73" s="1"/>
      <c r="AY73"/>
      <c r="BR73" s="139"/>
    </row>
    <row r="74" spans="5:74" ht="15" x14ac:dyDescent="0.25">
      <c r="AJ74" s="9"/>
      <c r="AK74" s="9"/>
      <c r="AL74" s="9"/>
      <c r="AM74" s="9"/>
      <c r="AN74" s="9"/>
      <c r="AO74" s="9"/>
      <c r="AP74" s="9"/>
      <c r="AQ74" s="9"/>
      <c r="AR74" s="9"/>
      <c r="AS74" s="1"/>
      <c r="AT74" s="1"/>
      <c r="AU74" s="1"/>
      <c r="AV74" s="1"/>
      <c r="AW74" s="1"/>
      <c r="AX74" s="1"/>
      <c r="AY74"/>
      <c r="BR74" s="139"/>
    </row>
    <row r="75" spans="5:74" ht="15" x14ac:dyDescent="0.25"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/>
      <c r="BR75" s="139"/>
    </row>
    <row r="76" spans="5:74" x14ac:dyDescent="0.2">
      <c r="E76" s="120"/>
      <c r="F76" s="121"/>
      <c r="AG76" s="115"/>
      <c r="AH76" s="115"/>
      <c r="AJ76" s="9"/>
      <c r="AK76" s="9">
        <v>4</v>
      </c>
      <c r="AL76" s="9">
        <v>5</v>
      </c>
      <c r="AM76" s="9">
        <v>6</v>
      </c>
      <c r="AN76" s="9">
        <v>10</v>
      </c>
      <c r="AO76" s="9">
        <v>11</v>
      </c>
      <c r="AP76" s="9">
        <v>12</v>
      </c>
      <c r="AQ76" s="9">
        <v>13</v>
      </c>
      <c r="AR76" s="9">
        <v>14</v>
      </c>
      <c r="AS76" s="4" t="s">
        <v>1</v>
      </c>
      <c r="AT76" s="141" t="s">
        <v>50</v>
      </c>
      <c r="AU76" s="146" t="s">
        <v>49</v>
      </c>
      <c r="AV76" s="9" t="s">
        <v>39</v>
      </c>
      <c r="AW76" s="1"/>
      <c r="AX76" s="1"/>
      <c r="AY76" s="4"/>
    </row>
    <row r="77" spans="5:74" x14ac:dyDescent="0.2">
      <c r="AG77" s="115"/>
      <c r="AH77" s="115"/>
      <c r="AI77" s="115"/>
      <c r="AJ77" s="9">
        <v>3</v>
      </c>
      <c r="AK77" s="1">
        <f t="array" ref="AK77:AR84">MINVERSE(AK66:AR73)</f>
        <v>6.0955952171702615E-3</v>
      </c>
      <c r="AL77" s="1">
        <v>-3.7334210928242863E-19</v>
      </c>
      <c r="AM77" s="1">
        <v>7.2909836724316511E-27</v>
      </c>
      <c r="AN77" s="1">
        <v>6.0948809733062026E-3</v>
      </c>
      <c r="AO77" s="1">
        <v>-3.7329836338047002E-19</v>
      </c>
      <c r="AP77" s="1">
        <v>7.2909836348408699E-27</v>
      </c>
      <c r="AQ77" s="1">
        <v>-2.2858482064388477E-6</v>
      </c>
      <c r="AR77" s="1">
        <v>-2.2855803649898259E-6</v>
      </c>
      <c r="AS77" s="1"/>
      <c r="AT77" s="3" cm="1">
        <f t="array" ref="AT77:AT84">AV66:AV73</f>
        <v>20000</v>
      </c>
      <c r="AU77" s="1"/>
      <c r="AV77" s="153" cm="1">
        <f t="array" ref="AV77:AV84">MMULT(AK77:AR84,AT77:AT84)</f>
        <v>45.722320957757432</v>
      </c>
      <c r="AW77" s="1" t="s">
        <v>3</v>
      </c>
      <c r="AX77" s="1"/>
      <c r="AY77" s="4"/>
    </row>
    <row r="78" spans="5:74" x14ac:dyDescent="0.2">
      <c r="AJ78" s="9">
        <v>4</v>
      </c>
      <c r="AK78" s="1">
        <v>-3.7334210928242873E-19</v>
      </c>
      <c r="AL78" s="3">
        <v>1.9047619047619047E-6</v>
      </c>
      <c r="AM78" s="3">
        <v>-3.1746031746030363E-10</v>
      </c>
      <c r="AN78" s="1">
        <v>-3.7329836338047011E-19</v>
      </c>
      <c r="AO78" s="1">
        <v>-9.5161973539299131E-23</v>
      </c>
      <c r="AP78" s="1">
        <v>-3.1746031746030363E-10</v>
      </c>
      <c r="AQ78" s="1">
        <v>1.4004704628287177E-22</v>
      </c>
      <c r="AR78" s="1">
        <v>1.3998688626767624E-22</v>
      </c>
      <c r="AS78" s="1"/>
      <c r="AT78" s="80">
        <v>-30000</v>
      </c>
      <c r="AU78" s="1"/>
      <c r="AV78" s="153">
        <v>-5.7142857142859937E-2</v>
      </c>
      <c r="AW78" s="1" t="s">
        <v>3</v>
      </c>
      <c r="AX78" s="1"/>
      <c r="AY78" s="4"/>
    </row>
    <row r="79" spans="5:74" x14ac:dyDescent="0.2">
      <c r="AJ79" s="9">
        <v>5</v>
      </c>
      <c r="AK79" s="1">
        <v>7.2909836597899899E-27</v>
      </c>
      <c r="AL79" s="3">
        <v>-3.1746031746031748E-10</v>
      </c>
      <c r="AM79" s="3">
        <v>1.4296296296296294E-10</v>
      </c>
      <c r="AN79" s="1">
        <v>-7.2909836597592738E-27</v>
      </c>
      <c r="AO79" s="1">
        <v>3.1746031746031748E-10</v>
      </c>
      <c r="AP79" s="1">
        <v>-7.1322751322751319E-11</v>
      </c>
      <c r="AQ79" s="1">
        <v>-1.0026669199258273E-29</v>
      </c>
      <c r="AR79" s="1">
        <v>1.0026669199246649E-29</v>
      </c>
      <c r="AS79" s="1"/>
      <c r="AT79" s="1">
        <v>-30000000</v>
      </c>
      <c r="AU79" s="1"/>
      <c r="AV79" s="153">
        <v>-6.4285714285714276E-3</v>
      </c>
      <c r="AW79" s="1" t="s">
        <v>57</v>
      </c>
      <c r="AX79" s="1">
        <f>1000*AV79</f>
        <v>-6.4285714285714279</v>
      </c>
      <c r="AY79" s="4"/>
      <c r="BK79" s="115"/>
    </row>
    <row r="80" spans="5:74" x14ac:dyDescent="0.2">
      <c r="AJ80" s="9">
        <v>6</v>
      </c>
      <c r="AK80" s="1">
        <v>6.0948809733062026E-3</v>
      </c>
      <c r="AL80" s="1">
        <v>-3.7329836338046997E-19</v>
      </c>
      <c r="AM80" s="1">
        <v>-7.2909836471155134E-27</v>
      </c>
      <c r="AN80" s="1">
        <v>6.0955952171702615E-3</v>
      </c>
      <c r="AO80" s="1">
        <v>-3.7334210928242873E-19</v>
      </c>
      <c r="AP80" s="1">
        <v>-7.2909836847106926E-27</v>
      </c>
      <c r="AQ80" s="1">
        <v>-2.2855803649898254E-6</v>
      </c>
      <c r="AR80" s="1">
        <v>-2.2858482064388481E-6</v>
      </c>
      <c r="AS80" s="1"/>
      <c r="AT80" s="1">
        <v>-10000</v>
      </c>
      <c r="AU80" s="1"/>
      <c r="AV80" s="153">
        <v>45.706250470816116</v>
      </c>
      <c r="AW80" s="1" t="s">
        <v>3</v>
      </c>
      <c r="AX80" s="1"/>
      <c r="AY80" s="4"/>
      <c r="AZ80" s="111"/>
      <c r="BB80" s="111"/>
      <c r="BE80" s="111"/>
      <c r="BK80" s="112"/>
      <c r="BL80" s="112"/>
      <c r="BM80" s="112"/>
      <c r="BN80" s="112"/>
      <c r="BO80" s="112"/>
      <c r="BP80" s="112"/>
      <c r="BR80" s="113"/>
      <c r="BV80" s="114"/>
    </row>
    <row r="81" spans="1:79" x14ac:dyDescent="0.2">
      <c r="AJ81" s="9">
        <v>9</v>
      </c>
      <c r="AK81" s="1">
        <v>-3.7329836338046997E-19</v>
      </c>
      <c r="AL81" s="1">
        <v>-2.8157900968703154E-25</v>
      </c>
      <c r="AM81" s="1">
        <v>3.1746031746031748E-10</v>
      </c>
      <c r="AN81" s="1">
        <v>-3.7334210928242863E-19</v>
      </c>
      <c r="AO81" s="1">
        <v>1.9047619047619047E-6</v>
      </c>
      <c r="AP81" s="1">
        <v>3.1746031746031743E-10</v>
      </c>
      <c r="AQ81" s="1">
        <v>1.3998688626767624E-22</v>
      </c>
      <c r="AR81" s="1">
        <v>1.4004704628287173E-22</v>
      </c>
      <c r="AS81" s="1"/>
      <c r="AT81" s="3">
        <v>-30000</v>
      </c>
      <c r="AU81" s="1"/>
      <c r="AV81" s="153">
        <v>-5.7142857142859944E-2</v>
      </c>
      <c r="AW81" s="1" t="s">
        <v>3</v>
      </c>
      <c r="AX81" s="1"/>
      <c r="AY81" s="4"/>
      <c r="AZ81" s="111"/>
      <c r="BB81" s="111"/>
      <c r="BE81" s="111"/>
      <c r="BK81" s="112"/>
      <c r="BL81" s="112"/>
      <c r="BM81" s="112"/>
      <c r="BN81" s="112"/>
      <c r="BO81" s="112"/>
      <c r="BP81" s="112"/>
      <c r="BR81" s="113"/>
      <c r="BV81" s="114"/>
    </row>
    <row r="82" spans="1:79" x14ac:dyDescent="0.2">
      <c r="AJ82" s="9">
        <v>10</v>
      </c>
      <c r="AK82" s="1">
        <v>7.2909836597899899E-27</v>
      </c>
      <c r="AL82" s="1">
        <v>-3.1746031746031748E-10</v>
      </c>
      <c r="AM82" s="1">
        <v>-7.1322751322751306E-11</v>
      </c>
      <c r="AN82" s="1">
        <v>-7.2909836597592738E-27</v>
      </c>
      <c r="AO82" s="3">
        <v>3.1746031746031748E-10</v>
      </c>
      <c r="AP82" s="1">
        <v>1.4296296296296294E-10</v>
      </c>
      <c r="AQ82" s="1">
        <v>-1.0026669199258273E-29</v>
      </c>
      <c r="AR82" s="1">
        <v>1.0026669199246649E-29</v>
      </c>
      <c r="AS82" s="1"/>
      <c r="AT82" s="1">
        <v>30000000</v>
      </c>
      <c r="AU82" s="1"/>
      <c r="AV82" s="153">
        <v>6.4285714285714276E-3</v>
      </c>
      <c r="AW82" s="1" t="s">
        <v>57</v>
      </c>
      <c r="AX82" s="1">
        <f>1000*AV82</f>
        <v>6.4285714285714279</v>
      </c>
      <c r="AY82" s="4"/>
      <c r="AZ82" s="111"/>
      <c r="BB82" s="111"/>
      <c r="BE82" s="111"/>
      <c r="BK82" s="112"/>
      <c r="BL82" s="112"/>
      <c r="BM82" s="112"/>
      <c r="BN82" s="112"/>
      <c r="BO82" s="112"/>
      <c r="BP82" s="112"/>
      <c r="BR82" s="113"/>
      <c r="BV82" s="114"/>
    </row>
    <row r="83" spans="1:79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9">
        <v>11</v>
      </c>
      <c r="AK83" s="1">
        <v>-2.2858482064388477E-6</v>
      </c>
      <c r="AL83" s="1">
        <v>1.4004704628287173E-22</v>
      </c>
      <c r="AM83" s="1">
        <v>-1.0026669203999392E-29</v>
      </c>
      <c r="AN83" s="1">
        <v>-2.2855803649898259E-6</v>
      </c>
      <c r="AO83" s="3">
        <v>1.3998688626767629E-22</v>
      </c>
      <c r="AP83" s="1">
        <v>-1.0026669189895807E-29</v>
      </c>
      <c r="AQ83" s="1">
        <v>1.4286216488431392E-9</v>
      </c>
      <c r="AR83" s="1">
        <v>8.5709263687118453E-10</v>
      </c>
      <c r="AS83" s="1"/>
      <c r="AT83" s="1">
        <v>13333333.333333334</v>
      </c>
      <c r="AU83" s="1"/>
      <c r="AV83" s="153">
        <v>-9.5268227401114139E-3</v>
      </c>
      <c r="AW83" s="1" t="s">
        <v>57</v>
      </c>
      <c r="AX83" s="1">
        <f>1000*AV83</f>
        <v>-9.5268227401114132</v>
      </c>
      <c r="AY83" s="4"/>
      <c r="AZ83" s="109"/>
      <c r="BK83" s="112"/>
      <c r="BL83" s="112"/>
      <c r="BM83" s="112"/>
      <c r="BN83" s="112"/>
      <c r="BO83" s="112"/>
      <c r="BP83" s="112"/>
      <c r="BR83" s="113"/>
      <c r="BV83" s="114"/>
    </row>
    <row r="84" spans="1:79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9">
        <v>12</v>
      </c>
      <c r="AK84" s="1">
        <v>-2.2855803649898259E-6</v>
      </c>
      <c r="AL84" s="1">
        <v>1.3998688626767624E-22</v>
      </c>
      <c r="AM84" s="1">
        <v>1.0026669194505342E-29</v>
      </c>
      <c r="AN84" s="1">
        <v>-2.2858482064388481E-6</v>
      </c>
      <c r="AO84" s="1">
        <v>1.400470462828718E-22</v>
      </c>
      <c r="AP84" s="1">
        <v>1.0026669208603532E-29</v>
      </c>
      <c r="AQ84" s="1">
        <v>8.5709263687118464E-10</v>
      </c>
      <c r="AR84" s="1">
        <v>1.4286216488431394E-9</v>
      </c>
      <c r="AS84" s="1"/>
      <c r="AT84" s="1">
        <v>-6666666.666666667</v>
      </c>
      <c r="AU84" s="1"/>
      <c r="AV84" s="153">
        <v>-2.0949367736079846E-2</v>
      </c>
      <c r="AW84" s="1" t="s">
        <v>57</v>
      </c>
      <c r="AX84" s="1">
        <f>1000*AV84</f>
        <v>-20.949367736079846</v>
      </c>
      <c r="AY84" s="4"/>
      <c r="AZ84" s="4"/>
      <c r="BA84" s="4"/>
      <c r="BB84" s="4"/>
      <c r="BC84" s="4"/>
      <c r="BD84" s="4"/>
      <c r="BE84" s="12"/>
      <c r="BF84" s="4"/>
      <c r="BG84" s="4"/>
      <c r="BH84" s="4"/>
      <c r="BI84" s="4"/>
      <c r="BJ84" s="4"/>
      <c r="BK84" s="6"/>
      <c r="BL84" s="6"/>
      <c r="BM84" s="6"/>
      <c r="BN84" s="6"/>
      <c r="BO84" s="112"/>
      <c r="BP84" s="112"/>
      <c r="BR84" s="113"/>
      <c r="BV84" s="114"/>
    </row>
    <row r="85" spans="1:79" x14ac:dyDescent="0.2">
      <c r="AJ85" s="9"/>
      <c r="AK85" s="9"/>
      <c r="AL85" s="9"/>
      <c r="AM85" s="9"/>
      <c r="AN85" s="9"/>
      <c r="AO85" s="9"/>
      <c r="AP85" s="9"/>
      <c r="AQ85" s="9"/>
      <c r="AR85" s="9"/>
      <c r="AS85" s="1"/>
      <c r="AT85" s="1"/>
      <c r="AU85" s="1"/>
      <c r="AV85" s="1"/>
      <c r="AW85" s="1"/>
      <c r="AX85" s="1"/>
      <c r="AZ85" s="109"/>
      <c r="BC85" s="110"/>
      <c r="BD85" s="110"/>
      <c r="BE85" s="111"/>
      <c r="BK85" s="112"/>
      <c r="BL85" s="112"/>
      <c r="BM85" s="112"/>
      <c r="BN85" s="112"/>
      <c r="BO85" s="112"/>
      <c r="BP85" s="112"/>
      <c r="BR85" s="113"/>
      <c r="BV85" s="114"/>
    </row>
    <row r="86" spans="1:79" x14ac:dyDescent="0.25">
      <c r="AZ86" s="109"/>
      <c r="BC86" s="110"/>
      <c r="BD86" s="110"/>
      <c r="BE86" s="111"/>
    </row>
    <row r="87" spans="1:79" x14ac:dyDescent="0.25">
      <c r="BB87" s="111"/>
      <c r="BE87" s="111"/>
      <c r="BK87" s="115"/>
    </row>
    <row r="88" spans="1:79" x14ac:dyDescent="0.25">
      <c r="BB88" s="111"/>
      <c r="BE88" s="111"/>
      <c r="BK88" s="116"/>
      <c r="BL88" s="116"/>
      <c r="BM88" s="116"/>
      <c r="BN88" s="116"/>
      <c r="BO88" s="116"/>
      <c r="BP88" s="116"/>
      <c r="BR88" s="113"/>
      <c r="BT88" s="112"/>
      <c r="BY88" s="117"/>
      <c r="CA88" s="118"/>
    </row>
    <row r="89" spans="1:79" x14ac:dyDescent="0.25">
      <c r="AZ89" s="111"/>
      <c r="BB89" s="111"/>
      <c r="BE89" s="111"/>
      <c r="BK89" s="116"/>
      <c r="BL89" s="116"/>
      <c r="BM89" s="116"/>
      <c r="BN89" s="116"/>
      <c r="BO89" s="116"/>
      <c r="BP89" s="116"/>
      <c r="BR89" s="113"/>
      <c r="BT89" s="116"/>
      <c r="BY89" s="117"/>
      <c r="CA89" s="118"/>
    </row>
    <row r="90" spans="1:79" x14ac:dyDescent="0.2">
      <c r="AK90" s="16"/>
      <c r="AL90" s="16"/>
      <c r="AM90" s="16"/>
      <c r="AN90" s="16"/>
      <c r="AO90" s="16"/>
      <c r="AP90" s="16"/>
      <c r="AQ90" s="7"/>
      <c r="AR90" s="7"/>
      <c r="AS90" s="7"/>
      <c r="AT90" s="7"/>
      <c r="AU90" s="7"/>
      <c r="AV90" s="7"/>
      <c r="AW90" s="7"/>
      <c r="AX90" s="7"/>
      <c r="AZ90" s="111"/>
      <c r="BB90" s="111"/>
      <c r="BE90" s="111"/>
      <c r="BK90" s="116"/>
      <c r="BL90" s="116"/>
      <c r="BM90" s="116"/>
      <c r="BN90" s="116"/>
      <c r="BO90" s="116"/>
      <c r="BP90" s="116"/>
      <c r="BR90" s="113"/>
      <c r="BT90" s="116"/>
      <c r="BY90" s="117"/>
      <c r="CA90" s="118"/>
    </row>
    <row r="91" spans="1:79" x14ac:dyDescent="0.2">
      <c r="AK91" s="16"/>
      <c r="AL91" s="16"/>
      <c r="AM91" s="16"/>
      <c r="AN91" s="16"/>
      <c r="AO91" s="16"/>
      <c r="AP91" s="16"/>
      <c r="AQ91" s="7"/>
      <c r="AR91" s="7"/>
      <c r="AS91" s="7"/>
      <c r="AT91" s="7"/>
      <c r="AU91" s="7"/>
      <c r="AV91" s="7"/>
      <c r="AW91" s="7"/>
      <c r="AX91" s="7"/>
      <c r="BE91" s="111"/>
      <c r="BK91" s="116"/>
      <c r="BL91" s="116"/>
      <c r="BM91" s="116"/>
      <c r="BN91" s="116"/>
      <c r="BO91" s="116"/>
      <c r="BP91" s="116"/>
      <c r="BR91" s="113"/>
      <c r="BT91" s="112"/>
      <c r="BY91" s="117"/>
      <c r="CA91" s="118"/>
    </row>
    <row r="92" spans="1:79" x14ac:dyDescent="0.2">
      <c r="AK92" s="16"/>
      <c r="AL92" s="16"/>
      <c r="AM92" s="16"/>
      <c r="AN92" s="16"/>
      <c r="AO92" s="16"/>
      <c r="AP92" s="16"/>
      <c r="AQ92" s="7"/>
      <c r="AR92" s="7"/>
      <c r="AS92" s="7"/>
      <c r="AT92" s="7"/>
      <c r="AU92" s="7"/>
      <c r="AV92" s="7"/>
      <c r="AW92" s="7"/>
      <c r="AX92" s="7"/>
      <c r="BE92" s="111"/>
      <c r="BK92" s="116"/>
      <c r="BL92" s="116"/>
      <c r="BM92" s="116"/>
      <c r="BN92" s="116"/>
      <c r="BO92" s="116"/>
      <c r="BP92" s="116"/>
      <c r="BR92" s="113"/>
      <c r="BT92" s="116"/>
      <c r="BY92" s="117"/>
      <c r="CA92" s="118"/>
    </row>
    <row r="93" spans="1:79" x14ac:dyDescent="0.2">
      <c r="AK93" s="16"/>
      <c r="AL93" s="16"/>
      <c r="AM93" s="16"/>
      <c r="AN93" s="16"/>
      <c r="AO93" s="16"/>
      <c r="AP93" s="16"/>
      <c r="AQ93" s="16"/>
      <c r="AR93" s="7"/>
      <c r="AS93" s="7"/>
      <c r="AT93" s="7"/>
      <c r="AU93" s="16"/>
      <c r="AV93" s="16"/>
      <c r="AW93" s="7"/>
      <c r="AX93" s="7"/>
      <c r="AZ93" s="116"/>
      <c r="BE93" s="111"/>
      <c r="BK93" s="116"/>
      <c r="BL93" s="116"/>
      <c r="BM93" s="116"/>
      <c r="BN93" s="116"/>
      <c r="BO93" s="116"/>
      <c r="BP93" s="116"/>
      <c r="BR93" s="113"/>
      <c r="BT93" s="116"/>
      <c r="BY93" s="117"/>
      <c r="CA93" s="118"/>
    </row>
    <row r="94" spans="1:79" x14ac:dyDescent="0.2">
      <c r="AK94" s="16"/>
      <c r="AL94" s="16"/>
      <c r="AM94" s="16"/>
      <c r="AN94" s="16"/>
      <c r="AO94" s="16"/>
      <c r="AP94" s="16"/>
      <c r="AQ94" s="16"/>
      <c r="AR94" s="7"/>
      <c r="AS94" s="7"/>
      <c r="AT94" s="7"/>
      <c r="AU94" s="16"/>
      <c r="AV94" s="16"/>
      <c r="AW94" s="7"/>
      <c r="AX94" s="7"/>
    </row>
    <row r="95" spans="1:79" x14ac:dyDescent="0.2">
      <c r="AK95" s="16"/>
      <c r="AL95" s="16"/>
      <c r="AM95" s="16"/>
      <c r="AN95" s="16"/>
      <c r="AO95" s="16"/>
      <c r="AP95" s="16"/>
      <c r="AQ95" s="7"/>
      <c r="AR95" s="7"/>
      <c r="AS95" s="7"/>
      <c r="AT95" s="7"/>
      <c r="AU95" s="7"/>
      <c r="AV95" s="7"/>
      <c r="AW95" s="7"/>
      <c r="AX95" s="7"/>
    </row>
    <row r="96" spans="1:79" x14ac:dyDescent="0.2">
      <c r="AK96" s="7"/>
      <c r="AL96" s="7"/>
      <c r="AM96" s="7"/>
      <c r="AN96" s="16"/>
      <c r="AO96" s="16"/>
      <c r="AP96" s="7"/>
      <c r="AQ96" s="16"/>
      <c r="AR96" s="7"/>
      <c r="AS96" s="7"/>
      <c r="AT96" s="7"/>
      <c r="AU96" s="16"/>
      <c r="AV96" s="16"/>
      <c r="AW96" s="7"/>
      <c r="AX96" s="7"/>
    </row>
    <row r="97" spans="23:70" x14ac:dyDescent="0.2">
      <c r="AK97" s="7"/>
      <c r="AL97" s="7"/>
      <c r="AM97" s="7"/>
      <c r="AN97" s="7"/>
      <c r="AO97" s="7"/>
      <c r="AP97" s="7"/>
      <c r="AQ97" s="7"/>
      <c r="AR97" s="16"/>
      <c r="AS97" s="16"/>
      <c r="AT97" s="16"/>
      <c r="AU97" s="16"/>
      <c r="AV97" s="16"/>
      <c r="AW97" s="7"/>
      <c r="AX97" s="7"/>
    </row>
    <row r="98" spans="23:70" x14ac:dyDescent="0.2">
      <c r="AK98" s="7"/>
      <c r="AL98" s="7"/>
      <c r="AM98" s="7"/>
      <c r="AN98" s="7"/>
      <c r="AO98" s="7"/>
      <c r="AP98" s="7"/>
      <c r="AQ98" s="7"/>
      <c r="AR98" s="16"/>
      <c r="AS98" s="16"/>
      <c r="AT98" s="16"/>
      <c r="AU98" s="16"/>
      <c r="AV98" s="16"/>
      <c r="AW98" s="7"/>
      <c r="AX98" s="7"/>
    </row>
    <row r="99" spans="23:70" x14ac:dyDescent="0.2">
      <c r="AK99" s="7"/>
      <c r="AL99" s="7"/>
      <c r="AM99" s="7"/>
      <c r="AN99" s="7"/>
      <c r="AO99" s="7"/>
      <c r="AP99" s="7"/>
      <c r="AQ99" s="7"/>
      <c r="AR99" s="16"/>
      <c r="AS99" s="16"/>
      <c r="AT99" s="16"/>
      <c r="AU99" s="16"/>
      <c r="AV99" s="16"/>
      <c r="AW99" s="7"/>
      <c r="AX99" s="7"/>
      <c r="AZ99" s="116"/>
    </row>
    <row r="100" spans="23:70" x14ac:dyDescent="0.2">
      <c r="AK100" s="7"/>
      <c r="AL100" s="7"/>
      <c r="AM100" s="7"/>
      <c r="AN100" s="16"/>
      <c r="AO100" s="16"/>
      <c r="AP100" s="7"/>
      <c r="AQ100" s="16"/>
      <c r="AR100" s="16"/>
      <c r="AS100" s="16"/>
      <c r="AT100" s="16"/>
      <c r="AU100" s="16"/>
      <c r="AV100" s="16"/>
      <c r="AW100" s="7"/>
      <c r="AX100" s="7"/>
      <c r="BC100" s="112"/>
      <c r="BD100" s="112"/>
    </row>
    <row r="101" spans="23:70" x14ac:dyDescent="0.2">
      <c r="AK101" s="7"/>
      <c r="AL101" s="7"/>
      <c r="AM101" s="7"/>
      <c r="AN101" s="16"/>
      <c r="AO101" s="16"/>
      <c r="AP101" s="7"/>
      <c r="AQ101" s="16"/>
      <c r="AR101" s="16"/>
      <c r="AS101" s="16"/>
      <c r="AT101" s="16"/>
      <c r="AU101" s="16"/>
      <c r="AV101" s="16"/>
      <c r="AW101" s="7"/>
      <c r="AX101" s="7"/>
    </row>
    <row r="102" spans="23:70" x14ac:dyDescent="0.2"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</row>
    <row r="103" spans="23:70" x14ac:dyDescent="0.2"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</row>
    <row r="108" spans="23:70" x14ac:dyDescent="0.25">
      <c r="AZ108" s="111"/>
      <c r="BB108" s="111"/>
      <c r="BE108" s="111"/>
      <c r="BK108" s="115"/>
    </row>
    <row r="109" spans="23:70" x14ac:dyDescent="0.25">
      <c r="AZ109" s="111"/>
      <c r="BB109" s="111"/>
      <c r="BE109" s="111"/>
      <c r="BK109" s="112"/>
      <c r="BL109" s="112"/>
      <c r="BM109" s="112"/>
      <c r="BN109" s="112"/>
      <c r="BO109" s="112"/>
      <c r="BP109" s="112"/>
    </row>
    <row r="110" spans="23:70" x14ac:dyDescent="0.25">
      <c r="W110" s="116"/>
      <c r="AZ110" s="111"/>
      <c r="BB110" s="111"/>
      <c r="BE110" s="111"/>
      <c r="BK110" s="112"/>
      <c r="BL110" s="112"/>
      <c r="BM110" s="112"/>
      <c r="BN110" s="112"/>
      <c r="BO110" s="112"/>
      <c r="BP110" s="112"/>
    </row>
    <row r="111" spans="23:70" x14ac:dyDescent="0.25">
      <c r="X111" s="116"/>
      <c r="AE111" s="116"/>
      <c r="AZ111" s="109"/>
      <c r="BK111" s="112"/>
      <c r="BL111" s="112"/>
      <c r="BM111" s="112"/>
      <c r="BN111" s="112"/>
      <c r="BO111" s="112"/>
      <c r="BP111" s="112"/>
    </row>
    <row r="112" spans="23:70" x14ac:dyDescent="0.25">
      <c r="Y112" s="116"/>
      <c r="AA112" s="116"/>
      <c r="AF112" s="116"/>
      <c r="BK112" s="112"/>
      <c r="BL112" s="112"/>
      <c r="BM112" s="112"/>
      <c r="BN112" s="112"/>
      <c r="BO112" s="112"/>
      <c r="BP112" s="112"/>
      <c r="BR112" s="113"/>
    </row>
    <row r="113" spans="2:79" x14ac:dyDescent="0.25">
      <c r="AZ113" s="111"/>
      <c r="BB113" s="111"/>
      <c r="BE113" s="111"/>
      <c r="BK113" s="112"/>
      <c r="BL113" s="112"/>
      <c r="BM113" s="112"/>
      <c r="BN113" s="112"/>
      <c r="BO113" s="112"/>
      <c r="BP113" s="112"/>
      <c r="BR113" s="113"/>
    </row>
    <row r="114" spans="2:79" x14ac:dyDescent="0.25">
      <c r="Y114" s="116"/>
      <c r="AA114" s="116"/>
      <c r="AF114" s="116"/>
      <c r="BB114" s="111"/>
      <c r="BE114" s="119"/>
      <c r="BK114" s="112"/>
      <c r="BL114" s="112"/>
      <c r="BM114" s="112"/>
      <c r="BN114" s="112"/>
      <c r="BO114" s="112"/>
      <c r="BP114" s="112"/>
      <c r="BR114" s="113"/>
    </row>
    <row r="115" spans="2:79" x14ac:dyDescent="0.25">
      <c r="BB115" s="111"/>
      <c r="BE115" s="119"/>
    </row>
    <row r="116" spans="2:79" x14ac:dyDescent="0.25">
      <c r="AZ116" s="111"/>
      <c r="BB116" s="111"/>
      <c r="BE116" s="119"/>
      <c r="BK116" s="115"/>
    </row>
    <row r="117" spans="2:79" x14ac:dyDescent="0.25">
      <c r="AZ117" s="111"/>
      <c r="BB117" s="116"/>
      <c r="BE117" s="119"/>
      <c r="BK117" s="116"/>
      <c r="BL117" s="116"/>
      <c r="BM117" s="116"/>
      <c r="BN117" s="116"/>
      <c r="BO117" s="116"/>
      <c r="BP117" s="116"/>
      <c r="BT117" s="112"/>
      <c r="BY117" s="117"/>
      <c r="CA117" s="118"/>
    </row>
    <row r="118" spans="2:79" x14ac:dyDescent="0.25">
      <c r="X118" s="116"/>
      <c r="AE118" s="116"/>
      <c r="AZ118" s="111"/>
      <c r="BB118" s="116"/>
      <c r="BE118" s="119"/>
      <c r="BK118" s="116"/>
      <c r="BL118" s="116"/>
      <c r="BM118" s="116"/>
      <c r="BN118" s="116"/>
      <c r="BO118" s="116"/>
      <c r="BP118" s="116"/>
      <c r="BT118" s="112"/>
      <c r="BY118" s="117"/>
      <c r="CA118" s="118"/>
    </row>
    <row r="119" spans="2:79" x14ac:dyDescent="0.25">
      <c r="Y119" s="116"/>
      <c r="AA119" s="116"/>
      <c r="AF119" s="116"/>
      <c r="BE119" s="119"/>
      <c r="BK119" s="116"/>
      <c r="BL119" s="116"/>
      <c r="BM119" s="116"/>
      <c r="BN119" s="116"/>
      <c r="BO119" s="116"/>
      <c r="BP119" s="116"/>
      <c r="BT119" s="112"/>
      <c r="BY119" s="117"/>
      <c r="CA119" s="118"/>
    </row>
    <row r="120" spans="2:79" x14ac:dyDescent="0.25">
      <c r="BE120" s="119"/>
      <c r="BK120" s="116"/>
      <c r="BL120" s="116"/>
      <c r="BM120" s="116"/>
      <c r="BN120" s="116"/>
      <c r="BO120" s="116"/>
      <c r="BP120" s="116"/>
      <c r="BT120" s="112"/>
      <c r="BY120" s="117"/>
      <c r="CA120" s="118"/>
    </row>
    <row r="121" spans="2:79" x14ac:dyDescent="0.25">
      <c r="Y121" s="116"/>
      <c r="AA121" s="116"/>
      <c r="AF121" s="116"/>
      <c r="BK121" s="116"/>
      <c r="BL121" s="116"/>
      <c r="BM121" s="116"/>
      <c r="BN121" s="116"/>
      <c r="BO121" s="116"/>
      <c r="BP121" s="116"/>
      <c r="BT121" s="112"/>
      <c r="BY121" s="117"/>
      <c r="CA121" s="118"/>
    </row>
    <row r="122" spans="2:79" x14ac:dyDescent="0.25">
      <c r="BK122" s="116"/>
      <c r="BL122" s="116"/>
      <c r="BM122" s="116"/>
      <c r="BN122" s="116"/>
      <c r="BO122" s="116"/>
      <c r="BP122" s="116"/>
      <c r="BT122" s="112"/>
      <c r="BY122" s="117"/>
      <c r="CA122" s="118"/>
    </row>
    <row r="124" spans="2:79" x14ac:dyDescent="0.25">
      <c r="B124" s="115"/>
      <c r="AF124" s="115"/>
    </row>
    <row r="125" spans="2:79" x14ac:dyDescent="0.25">
      <c r="E125" s="120"/>
      <c r="F125" s="121"/>
    </row>
    <row r="126" spans="2:79" x14ac:dyDescent="0.25">
      <c r="E126" s="120"/>
      <c r="F126" s="121"/>
    </row>
    <row r="127" spans="2:79" x14ac:dyDescent="0.25">
      <c r="E127" s="120"/>
      <c r="F127" s="121"/>
      <c r="AW127" s="116"/>
      <c r="AX127" s="116"/>
      <c r="AZ127" s="111"/>
      <c r="BB127" s="111"/>
      <c r="BE127" s="119"/>
    </row>
    <row r="128" spans="2:79" x14ac:dyDescent="0.25">
      <c r="AW128" s="116"/>
      <c r="AX128" s="116"/>
      <c r="AZ128" s="111"/>
      <c r="BB128" s="111"/>
      <c r="BE128" s="119"/>
    </row>
    <row r="129" spans="37:76" x14ac:dyDescent="0.25">
      <c r="AW129" s="116"/>
      <c r="AX129" s="116"/>
      <c r="AZ129" s="111"/>
      <c r="BB129" s="111"/>
      <c r="BE129" s="119"/>
    </row>
    <row r="130" spans="37:76" x14ac:dyDescent="0.25">
      <c r="AW130" s="116"/>
      <c r="AX130" s="122"/>
      <c r="AZ130" s="109"/>
      <c r="BB130" s="116"/>
      <c r="BE130" s="119"/>
    </row>
    <row r="131" spans="37:76" x14ac:dyDescent="0.25">
      <c r="AW131" s="116"/>
      <c r="AX131" s="122"/>
      <c r="AZ131" s="109"/>
      <c r="BB131" s="116"/>
      <c r="BE131" s="119"/>
    </row>
    <row r="132" spans="37:76" x14ac:dyDescent="0.25">
      <c r="AW132" s="116"/>
      <c r="AX132" s="116"/>
      <c r="AZ132" s="109"/>
      <c r="BB132" s="111"/>
      <c r="BE132" s="119"/>
    </row>
    <row r="133" spans="37:76" x14ac:dyDescent="0.25">
      <c r="AW133" s="116"/>
      <c r="AX133" s="122"/>
      <c r="AZ133" s="109"/>
      <c r="BB133" s="111"/>
      <c r="BC133" s="110"/>
      <c r="BD133" s="110"/>
      <c r="BE133" s="119"/>
    </row>
    <row r="134" spans="37:76" x14ac:dyDescent="0.25">
      <c r="AW134" s="122"/>
      <c r="AX134" s="116"/>
      <c r="AZ134" s="109"/>
      <c r="BB134" s="111"/>
      <c r="BE134" s="119"/>
    </row>
    <row r="135" spans="37:76" x14ac:dyDescent="0.25">
      <c r="AW135" s="122"/>
      <c r="AX135" s="116"/>
      <c r="AY135" s="116"/>
      <c r="AZ135" s="109"/>
      <c r="BB135" s="111"/>
      <c r="BE135" s="119"/>
    </row>
    <row r="136" spans="37:76" x14ac:dyDescent="0.25">
      <c r="AW136" s="122"/>
      <c r="AX136" s="116"/>
      <c r="AZ136" s="109"/>
      <c r="BB136" s="111"/>
      <c r="BE136" s="119"/>
    </row>
    <row r="137" spans="37:76" x14ac:dyDescent="0.25">
      <c r="AW137" s="122"/>
      <c r="AX137" s="122"/>
      <c r="AZ137" s="109"/>
      <c r="BB137" s="116"/>
      <c r="BE137" s="119"/>
    </row>
    <row r="138" spans="37:76" x14ac:dyDescent="0.25">
      <c r="AW138" s="122"/>
      <c r="AX138" s="122"/>
      <c r="AZ138" s="109"/>
      <c r="BB138" s="116"/>
      <c r="BE138" s="119"/>
    </row>
    <row r="139" spans="37:76" x14ac:dyDescent="0.25">
      <c r="AK139" s="116"/>
      <c r="AL139" s="116"/>
      <c r="AM139" s="116"/>
      <c r="AN139" s="116"/>
      <c r="AO139" s="116"/>
      <c r="AP139" s="116"/>
      <c r="AQ139" s="116"/>
      <c r="AR139" s="122"/>
      <c r="AS139" s="122"/>
      <c r="AT139" s="122"/>
      <c r="AU139" s="122"/>
      <c r="AV139" s="122"/>
      <c r="AW139" s="122"/>
      <c r="AX139" s="116"/>
      <c r="AZ139" s="109"/>
      <c r="BB139" s="111"/>
      <c r="BE139" s="119"/>
    </row>
    <row r="140" spans="37:76" x14ac:dyDescent="0.25">
      <c r="AK140" s="116"/>
      <c r="AL140" s="116"/>
      <c r="AM140" s="116"/>
      <c r="AN140" s="122"/>
      <c r="AO140" s="122"/>
      <c r="AP140" s="116"/>
      <c r="AQ140" s="122"/>
      <c r="AR140" s="123"/>
      <c r="AS140" s="123"/>
      <c r="AT140" s="123"/>
      <c r="AU140" s="122"/>
      <c r="AV140" s="122"/>
      <c r="AW140" s="116"/>
      <c r="AX140" s="122"/>
      <c r="AZ140" s="109"/>
      <c r="BB140" s="111"/>
      <c r="BE140" s="119"/>
    </row>
    <row r="141" spans="37:76" x14ac:dyDescent="0.25">
      <c r="AK141" s="124"/>
      <c r="AL141" s="124"/>
      <c r="AM141" s="124"/>
    </row>
    <row r="143" spans="37:76" x14ac:dyDescent="0.25">
      <c r="BX143" s="81"/>
    </row>
    <row r="144" spans="37:76" x14ac:dyDescent="0.25">
      <c r="BX144" s="81"/>
    </row>
    <row r="145" spans="39:90" x14ac:dyDescent="0.25">
      <c r="BX145" s="81"/>
    </row>
    <row r="147" spans="39:90" x14ac:dyDescent="0.25">
      <c r="BX147" s="81"/>
      <c r="CL147" s="112"/>
    </row>
    <row r="148" spans="39:90" x14ac:dyDescent="0.25">
      <c r="BX148" s="81"/>
    </row>
    <row r="149" spans="39:90" x14ac:dyDescent="0.25">
      <c r="BX149" s="81"/>
    </row>
    <row r="150" spans="39:90" x14ac:dyDescent="0.25">
      <c r="BT150" s="115"/>
    </row>
    <row r="151" spans="39:90" x14ac:dyDescent="0.25">
      <c r="BT151" s="112"/>
    </row>
    <row r="152" spans="39:90" x14ac:dyDescent="0.25">
      <c r="BU152" s="112"/>
    </row>
    <row r="154" spans="39:90" x14ac:dyDescent="0.25">
      <c r="BW154" s="112"/>
      <c r="BX154" s="112"/>
      <c r="CB154" s="116"/>
      <c r="CF154" s="116"/>
    </row>
    <row r="155" spans="39:90" x14ac:dyDescent="0.25">
      <c r="AM155" s="115"/>
      <c r="BY155" s="112"/>
      <c r="CB155" s="116"/>
      <c r="CF155" s="116"/>
    </row>
    <row r="156" spans="39:90" x14ac:dyDescent="0.25">
      <c r="CB156" s="116"/>
      <c r="CF156" s="116"/>
    </row>
    <row r="157" spans="39:90" x14ac:dyDescent="0.25">
      <c r="AN157" s="116"/>
      <c r="AO157" s="116"/>
      <c r="AP157" s="116"/>
      <c r="AQ157" s="116"/>
      <c r="AR157" s="116"/>
      <c r="AS157" s="116"/>
      <c r="AT157" s="116"/>
      <c r="AU157" s="116"/>
      <c r="AW157" s="111"/>
      <c r="AY157" s="116"/>
      <c r="BQ157" s="110"/>
    </row>
    <row r="158" spans="39:90" x14ac:dyDescent="0.25">
      <c r="AN158" s="116"/>
      <c r="AO158" s="116"/>
      <c r="AP158" s="116"/>
      <c r="AQ158" s="116"/>
      <c r="AR158" s="116"/>
      <c r="AS158" s="116"/>
      <c r="AT158" s="116"/>
      <c r="AU158" s="116"/>
      <c r="AW158" s="111"/>
      <c r="AY158" s="116"/>
      <c r="BL158" s="112"/>
      <c r="BN158" s="111"/>
      <c r="BP158" s="120"/>
      <c r="BR158" s="122"/>
      <c r="BT158" s="115"/>
    </row>
    <row r="159" spans="39:90" x14ac:dyDescent="0.25">
      <c r="AN159" s="116"/>
      <c r="AO159" s="116"/>
      <c r="AP159" s="116"/>
      <c r="AQ159" s="116"/>
      <c r="AR159" s="116"/>
      <c r="AS159" s="116"/>
      <c r="AT159" s="116"/>
      <c r="AU159" s="116"/>
      <c r="AW159" s="111"/>
      <c r="AY159" s="116"/>
      <c r="BL159" s="112"/>
      <c r="BN159" s="111"/>
      <c r="BP159" s="120"/>
      <c r="BR159" s="125"/>
      <c r="BT159" s="116"/>
      <c r="BV159" s="112"/>
      <c r="BW159" s="116"/>
      <c r="BX159" s="116"/>
      <c r="BZ159" s="112"/>
      <c r="CH159" s="126"/>
    </row>
    <row r="160" spans="39:90" x14ac:dyDescent="0.25">
      <c r="AN160" s="116"/>
      <c r="AO160" s="116"/>
      <c r="AP160" s="116"/>
      <c r="AQ160" s="116"/>
      <c r="AR160" s="116"/>
      <c r="AS160" s="116"/>
      <c r="AT160" s="116"/>
      <c r="AU160" s="116"/>
      <c r="AW160" s="111"/>
      <c r="AY160" s="116"/>
      <c r="BL160" s="112"/>
      <c r="BN160" s="111"/>
      <c r="BP160" s="120"/>
      <c r="BR160" s="122"/>
      <c r="BU160" s="116"/>
      <c r="BV160" s="116"/>
      <c r="BY160" s="116"/>
      <c r="BZ160" s="116"/>
      <c r="CD160" s="116"/>
      <c r="CH160" s="126"/>
    </row>
    <row r="161" spans="39:86" x14ac:dyDescent="0.25">
      <c r="AN161" s="116"/>
      <c r="AO161" s="116"/>
      <c r="AP161" s="116"/>
      <c r="AQ161" s="116"/>
      <c r="AR161" s="116"/>
      <c r="AS161" s="116"/>
      <c r="AT161" s="116"/>
      <c r="AU161" s="116"/>
      <c r="AW161" s="111"/>
      <c r="AY161" s="116"/>
      <c r="BL161" s="112"/>
      <c r="BN161" s="111"/>
      <c r="BP161" s="116"/>
      <c r="BR161" s="122"/>
      <c r="BT161" s="112"/>
      <c r="BU161" s="116"/>
      <c r="BV161" s="116"/>
      <c r="BW161" s="116"/>
      <c r="BX161" s="116"/>
      <c r="BY161" s="116"/>
      <c r="BZ161" s="116"/>
      <c r="CD161" s="116"/>
      <c r="CH161" s="126"/>
    </row>
    <row r="162" spans="39:86" x14ac:dyDescent="0.25">
      <c r="AN162" s="116"/>
      <c r="AO162" s="116"/>
      <c r="AP162" s="116"/>
      <c r="AQ162" s="116"/>
      <c r="AR162" s="116"/>
      <c r="AS162" s="116"/>
      <c r="AT162" s="116"/>
      <c r="AU162" s="116"/>
      <c r="AW162" s="111"/>
      <c r="AY162" s="116"/>
      <c r="BL162" s="112"/>
      <c r="BN162" s="111"/>
      <c r="BP162" s="116"/>
      <c r="BR162" s="125"/>
      <c r="BT162" s="116"/>
      <c r="BV162" s="112"/>
      <c r="BW162" s="124"/>
      <c r="BX162" s="124"/>
      <c r="BZ162" s="112"/>
      <c r="CB162" s="116"/>
      <c r="CH162" s="126"/>
    </row>
    <row r="163" spans="39:86" x14ac:dyDescent="0.25">
      <c r="AN163" s="116"/>
      <c r="AO163" s="116"/>
      <c r="AP163" s="116"/>
      <c r="AQ163" s="116"/>
      <c r="AR163" s="116"/>
      <c r="AS163" s="116"/>
      <c r="AT163" s="116"/>
      <c r="AU163" s="116"/>
      <c r="AW163" s="111"/>
      <c r="AY163" s="116"/>
      <c r="BD163" s="127"/>
      <c r="BL163" s="112"/>
      <c r="BN163" s="111"/>
      <c r="BO163" s="124"/>
      <c r="BR163" s="122"/>
      <c r="BU163" s="116"/>
      <c r="BV163" s="116"/>
      <c r="BY163" s="116"/>
      <c r="BZ163" s="116"/>
      <c r="CB163" s="116"/>
      <c r="CD163" s="116"/>
      <c r="CH163" s="126"/>
    </row>
    <row r="164" spans="39:86" x14ac:dyDescent="0.25">
      <c r="AN164" s="116"/>
      <c r="AO164" s="116"/>
      <c r="AP164" s="116"/>
      <c r="AQ164" s="116"/>
      <c r="AR164" s="116"/>
      <c r="AS164" s="116"/>
      <c r="AT164" s="116"/>
      <c r="AU164" s="116"/>
      <c r="AW164" s="111"/>
      <c r="AY164" s="116"/>
      <c r="BD164" s="127"/>
      <c r="BL164" s="112"/>
      <c r="BT164" s="112"/>
      <c r="BU164" s="116"/>
      <c r="BV164" s="116"/>
      <c r="BW164" s="112"/>
      <c r="BX164" s="112"/>
      <c r="BY164" s="116"/>
      <c r="BZ164" s="116"/>
      <c r="CB164" s="116"/>
      <c r="CD164" s="116"/>
      <c r="CH164" s="128"/>
    </row>
    <row r="165" spans="39:86" x14ac:dyDescent="0.25">
      <c r="BD165" s="127"/>
      <c r="BR165" s="124"/>
    </row>
    <row r="166" spans="39:86" x14ac:dyDescent="0.25">
      <c r="AS166" s="112"/>
      <c r="BD166" s="127"/>
      <c r="BK166" s="115"/>
      <c r="BP166" s="124"/>
    </row>
    <row r="167" spans="39:86" x14ac:dyDescent="0.25">
      <c r="BD167" s="127"/>
      <c r="BW167" s="81"/>
      <c r="BX167" s="81"/>
      <c r="CC167" s="112"/>
    </row>
    <row r="168" spans="39:86" x14ac:dyDescent="0.25">
      <c r="AM168" s="115"/>
      <c r="AZ168" s="109"/>
      <c r="BA168" s="109"/>
      <c r="BB168" s="109"/>
      <c r="BC168" s="109"/>
      <c r="BD168" s="127"/>
      <c r="BK168" s="81"/>
      <c r="BL168" s="81"/>
      <c r="BN168" s="124"/>
      <c r="BT168" s="115"/>
      <c r="CA168" s="81"/>
      <c r="CB168" s="81"/>
      <c r="CC168" s="124"/>
    </row>
    <row r="169" spans="39:86" x14ac:dyDescent="0.25">
      <c r="AZ169" s="109"/>
      <c r="BA169" s="109"/>
      <c r="BB169" s="109"/>
      <c r="BC169" s="109"/>
      <c r="BD169" s="109"/>
      <c r="BE169" s="109"/>
    </row>
    <row r="170" spans="39:86" x14ac:dyDescent="0.25">
      <c r="AN170" s="116"/>
      <c r="AO170" s="116"/>
      <c r="AP170" s="116"/>
      <c r="AQ170" s="116"/>
      <c r="AR170" s="116"/>
      <c r="AS170" s="116"/>
      <c r="AT170" s="116"/>
      <c r="AU170" s="116"/>
      <c r="AW170" s="116"/>
      <c r="AY170" s="111"/>
      <c r="AZ170" s="109"/>
      <c r="BA170" s="129"/>
      <c r="BB170" s="109"/>
      <c r="BC170" s="109"/>
      <c r="BD170" s="127"/>
      <c r="BE170" s="109"/>
      <c r="BQ170" s="81"/>
    </row>
    <row r="171" spans="39:86" x14ac:dyDescent="0.25">
      <c r="AN171" s="116"/>
      <c r="AO171" s="116"/>
      <c r="AP171" s="116"/>
      <c r="AQ171" s="116"/>
      <c r="AR171" s="116"/>
      <c r="AS171" s="116"/>
      <c r="AT171" s="116"/>
      <c r="AU171" s="116"/>
      <c r="AW171" s="116"/>
      <c r="AY171" s="111"/>
      <c r="AZ171" s="109"/>
      <c r="BA171" s="129"/>
      <c r="BB171" s="109"/>
      <c r="BC171" s="109"/>
      <c r="BD171" s="127"/>
      <c r="BE171" s="109"/>
      <c r="BK171" s="115"/>
      <c r="BT171" s="115"/>
      <c r="BY171" s="115"/>
    </row>
    <row r="172" spans="39:86" x14ac:dyDescent="0.25">
      <c r="AN172" s="116"/>
      <c r="AO172" s="116"/>
      <c r="AP172" s="116"/>
      <c r="AQ172" s="116"/>
      <c r="AR172" s="116"/>
      <c r="AS172" s="116"/>
      <c r="AT172" s="116"/>
      <c r="AU172" s="116"/>
      <c r="AW172" s="116"/>
      <c r="AY172" s="111"/>
      <c r="AZ172" s="109"/>
      <c r="BA172" s="129"/>
      <c r="BB172" s="130"/>
      <c r="BC172" s="109"/>
      <c r="BD172" s="131"/>
      <c r="BE172" s="109"/>
      <c r="BP172" s="132"/>
      <c r="BQ172" s="133"/>
      <c r="BR172" s="134"/>
      <c r="BT172" s="111"/>
      <c r="BU172" s="135"/>
      <c r="BV172" s="115"/>
      <c r="BY172" s="111"/>
      <c r="BZ172" s="133"/>
      <c r="CA172" s="115"/>
    </row>
    <row r="173" spans="39:86" x14ac:dyDescent="0.25">
      <c r="AN173" s="116"/>
      <c r="AO173" s="116"/>
      <c r="AP173" s="116"/>
      <c r="AQ173" s="116"/>
      <c r="AR173" s="116"/>
      <c r="AS173" s="116"/>
      <c r="AT173" s="116"/>
      <c r="AU173" s="116"/>
      <c r="AW173" s="116"/>
      <c r="AY173" s="111"/>
      <c r="BA173" s="129"/>
      <c r="BB173" s="130"/>
      <c r="BC173" s="109"/>
      <c r="BD173" s="127"/>
      <c r="BE173" s="109"/>
      <c r="BP173" s="132"/>
      <c r="BQ173" s="133"/>
      <c r="BR173" s="134"/>
      <c r="BT173" s="111"/>
      <c r="BU173" s="135"/>
      <c r="BV173" s="115"/>
      <c r="BY173" s="111"/>
      <c r="BZ173" s="133"/>
      <c r="CA173" s="115"/>
    </row>
    <row r="174" spans="39:86" x14ac:dyDescent="0.25">
      <c r="AN174" s="116"/>
      <c r="AO174" s="116"/>
      <c r="AP174" s="116"/>
      <c r="AQ174" s="116"/>
      <c r="AR174" s="116"/>
      <c r="AS174" s="116"/>
      <c r="AT174" s="116"/>
      <c r="AU174" s="116"/>
      <c r="AW174" s="116"/>
      <c r="AY174" s="111"/>
      <c r="AZ174" s="109"/>
      <c r="BA174" s="129"/>
      <c r="BB174" s="109"/>
      <c r="BC174" s="109"/>
      <c r="BD174" s="127"/>
      <c r="BE174" s="109"/>
      <c r="BP174" s="132"/>
      <c r="BQ174" s="133"/>
      <c r="BR174" s="134"/>
      <c r="BT174" s="111"/>
      <c r="BU174" s="135"/>
      <c r="BV174" s="115"/>
      <c r="BW174" s="120"/>
      <c r="BX174" s="120"/>
      <c r="BY174" s="111"/>
      <c r="BZ174" s="133"/>
      <c r="CA174" s="115"/>
    </row>
    <row r="175" spans="39:86" x14ac:dyDescent="0.25">
      <c r="AN175" s="116"/>
      <c r="AO175" s="116"/>
      <c r="AP175" s="116"/>
      <c r="AQ175" s="116"/>
      <c r="AR175" s="116"/>
      <c r="AS175" s="116"/>
      <c r="AT175" s="116"/>
      <c r="AU175" s="116"/>
      <c r="AW175" s="116"/>
      <c r="AY175" s="111"/>
      <c r="AZ175" s="109"/>
      <c r="BA175" s="129"/>
      <c r="BB175" s="109"/>
      <c r="BC175" s="109"/>
      <c r="BD175" s="127"/>
      <c r="BE175" s="109"/>
      <c r="BL175" s="136"/>
      <c r="BM175" s="137"/>
      <c r="BN175" s="137"/>
      <c r="BP175" s="132"/>
      <c r="BQ175" s="133"/>
      <c r="BT175" s="111"/>
      <c r="BU175" s="135"/>
      <c r="BV175" s="115"/>
      <c r="BW175" s="120"/>
      <c r="BX175" s="120"/>
      <c r="BY175" s="111"/>
      <c r="BZ175" s="133"/>
      <c r="CA175" s="115"/>
    </row>
    <row r="176" spans="39:86" x14ac:dyDescent="0.25">
      <c r="AN176" s="116"/>
      <c r="AO176" s="116"/>
      <c r="AP176" s="116"/>
      <c r="AQ176" s="116"/>
      <c r="AR176" s="116"/>
      <c r="AS176" s="116"/>
      <c r="AT176" s="116"/>
      <c r="AU176" s="116"/>
      <c r="AW176" s="116"/>
      <c r="AY176" s="111"/>
      <c r="AZ176" s="109"/>
      <c r="BA176" s="129"/>
      <c r="BB176" s="130"/>
      <c r="BC176" s="109"/>
      <c r="BD176" s="127"/>
      <c r="BE176" s="109"/>
      <c r="BP176" s="132"/>
      <c r="BQ176" s="127"/>
      <c r="BT176" s="111"/>
      <c r="BU176" s="135"/>
      <c r="BV176" s="115"/>
      <c r="BY176" s="111"/>
      <c r="BZ176" s="133"/>
      <c r="CA176" s="115"/>
    </row>
    <row r="177" spans="39:93" x14ac:dyDescent="0.25">
      <c r="AN177" s="116"/>
      <c r="AO177" s="116"/>
      <c r="AP177" s="116"/>
      <c r="AQ177" s="116"/>
      <c r="AR177" s="116"/>
      <c r="AS177" s="116"/>
      <c r="AT177" s="116"/>
      <c r="AU177" s="116"/>
      <c r="AW177" s="116"/>
      <c r="AY177" s="111"/>
      <c r="AZ177" s="109"/>
      <c r="BA177" s="129"/>
      <c r="BB177" s="130"/>
      <c r="BC177" s="109"/>
      <c r="BD177" s="127"/>
      <c r="BE177" s="109"/>
      <c r="BP177" s="132"/>
      <c r="BQ177" s="127"/>
      <c r="BT177" s="111"/>
      <c r="BU177" s="135"/>
      <c r="BV177" s="115"/>
      <c r="BY177" s="111"/>
      <c r="BZ177" s="133"/>
      <c r="CA177" s="115"/>
      <c r="CF177" s="115"/>
    </row>
    <row r="178" spans="39:93" x14ac:dyDescent="0.25">
      <c r="BB178" s="109"/>
      <c r="BC178" s="109"/>
      <c r="BD178" s="109"/>
      <c r="BE178" s="109"/>
      <c r="BW178" s="120"/>
      <c r="BX178" s="120"/>
      <c r="BY178" s="111"/>
      <c r="BZ178" s="133"/>
      <c r="CA178" s="115"/>
    </row>
    <row r="179" spans="39:93" x14ac:dyDescent="0.25">
      <c r="AZ179" s="109"/>
      <c r="BA179" s="109"/>
      <c r="BB179" s="123"/>
      <c r="BC179" s="109"/>
      <c r="BD179" s="109"/>
      <c r="BE179" s="109"/>
      <c r="BF179" s="109"/>
      <c r="BW179" s="120"/>
      <c r="BX179" s="120"/>
      <c r="BY179" s="111"/>
      <c r="BZ179" s="133"/>
      <c r="CA179" s="115"/>
    </row>
    <row r="180" spans="39:93" x14ac:dyDescent="0.25">
      <c r="AZ180" s="109"/>
      <c r="BA180" s="109"/>
      <c r="BB180" s="109"/>
      <c r="BC180" s="109"/>
      <c r="BD180" s="109"/>
      <c r="BE180" s="109"/>
      <c r="BF180" s="109"/>
    </row>
    <row r="181" spans="39:93" x14ac:dyDescent="0.25">
      <c r="AM181" s="115"/>
      <c r="AZ181" s="109"/>
      <c r="BA181" s="109"/>
      <c r="BB181" s="109"/>
      <c r="BC181" s="109"/>
      <c r="BD181" s="109"/>
      <c r="BE181" s="109"/>
      <c r="BF181" s="109"/>
    </row>
    <row r="182" spans="39:93" x14ac:dyDescent="0.25">
      <c r="AW182" s="116"/>
      <c r="AZ182" s="109"/>
      <c r="BA182" s="109"/>
      <c r="BB182" s="109"/>
      <c r="BC182" s="109"/>
      <c r="BD182" s="109"/>
      <c r="BE182" s="109"/>
      <c r="BF182" s="109"/>
      <c r="BK182" s="115"/>
      <c r="BP182" s="115"/>
      <c r="BT182" s="115"/>
      <c r="BY182" s="115"/>
      <c r="CD182" s="115"/>
      <c r="CI182" s="115"/>
      <c r="CM182" s="115"/>
    </row>
    <row r="183" spans="39:93" x14ac:dyDescent="0.25">
      <c r="AN183" s="116"/>
      <c r="AO183" s="116"/>
      <c r="AP183" s="116"/>
      <c r="AQ183" s="116"/>
      <c r="AR183" s="112"/>
      <c r="AS183" s="112"/>
      <c r="AT183" s="112"/>
      <c r="AU183" s="112"/>
      <c r="AW183" s="116"/>
      <c r="AY183" s="116"/>
      <c r="AZ183" s="109"/>
      <c r="BA183" s="120"/>
      <c r="BB183" s="109"/>
      <c r="BC183" s="128"/>
      <c r="BD183" s="128"/>
      <c r="BE183" s="109"/>
      <c r="BF183" s="118"/>
      <c r="BK183" s="120"/>
      <c r="BL183" s="127"/>
      <c r="BM183" s="115"/>
      <c r="BQ183" s="127"/>
      <c r="BR183" s="115"/>
      <c r="BU183" s="127"/>
      <c r="BV183" s="115"/>
      <c r="BZ183" s="127"/>
      <c r="CA183" s="115"/>
      <c r="CE183" s="127"/>
      <c r="CF183" s="115"/>
      <c r="CJ183" s="127"/>
      <c r="CK183" s="115"/>
      <c r="CN183" s="127"/>
      <c r="CO183" s="115"/>
    </row>
    <row r="184" spans="39:93" x14ac:dyDescent="0.25">
      <c r="AN184" s="116"/>
      <c r="AO184" s="116"/>
      <c r="AP184" s="116"/>
      <c r="AQ184" s="116"/>
      <c r="AR184" s="112"/>
      <c r="AS184" s="112"/>
      <c r="AT184" s="112"/>
      <c r="AU184" s="112"/>
      <c r="AW184" s="116"/>
      <c r="AY184" s="116"/>
      <c r="AZ184" s="109"/>
      <c r="BA184" s="120"/>
      <c r="BB184" s="109"/>
      <c r="BC184" s="128"/>
      <c r="BD184" s="128"/>
      <c r="BE184" s="109"/>
      <c r="BF184" s="118"/>
      <c r="BK184" s="120"/>
      <c r="BL184" s="127"/>
      <c r="BM184" s="115"/>
      <c r="BQ184" s="127"/>
      <c r="BR184" s="115"/>
      <c r="BU184" s="127"/>
      <c r="BV184" s="115"/>
      <c r="BZ184" s="127"/>
      <c r="CA184" s="115"/>
      <c r="CE184" s="127"/>
      <c r="CF184" s="115"/>
      <c r="CJ184" s="127"/>
      <c r="CK184" s="115"/>
      <c r="CN184" s="127"/>
      <c r="CO184" s="115"/>
    </row>
    <row r="185" spans="39:93" x14ac:dyDescent="0.25">
      <c r="AN185" s="116"/>
      <c r="AO185" s="116"/>
      <c r="AP185" s="116"/>
      <c r="AQ185" s="116"/>
      <c r="AR185" s="112"/>
      <c r="AS185" s="112"/>
      <c r="AT185" s="112"/>
      <c r="AU185" s="112"/>
      <c r="AW185" s="116"/>
      <c r="AY185" s="116"/>
      <c r="AZ185" s="109"/>
      <c r="BA185" s="120"/>
      <c r="BB185" s="109"/>
      <c r="BC185" s="128"/>
      <c r="BD185" s="128"/>
      <c r="BE185" s="109"/>
      <c r="BF185" s="118"/>
      <c r="BK185" s="120"/>
      <c r="BL185" s="127"/>
      <c r="BM185" s="115"/>
      <c r="BQ185" s="127"/>
      <c r="BR185" s="115"/>
      <c r="BU185" s="127"/>
      <c r="BV185" s="115"/>
      <c r="BZ185" s="127"/>
      <c r="CA185" s="115"/>
      <c r="CE185" s="127"/>
      <c r="CF185" s="115"/>
      <c r="CJ185" s="127"/>
      <c r="CK185" s="115"/>
      <c r="CN185" s="127"/>
      <c r="CO185" s="115"/>
    </row>
    <row r="186" spans="39:93" x14ac:dyDescent="0.25">
      <c r="AR186" s="116"/>
      <c r="AS186" s="116"/>
      <c r="AT186" s="116"/>
      <c r="AU186" s="116"/>
      <c r="AW186" s="116"/>
      <c r="AY186" s="116"/>
      <c r="AZ186" s="109"/>
      <c r="BA186" s="120"/>
      <c r="BB186" s="109"/>
      <c r="BC186" s="128"/>
      <c r="BD186" s="128"/>
      <c r="BE186" s="109"/>
      <c r="BF186" s="118"/>
      <c r="BK186" s="120"/>
      <c r="BL186" s="127"/>
      <c r="BM186" s="115"/>
      <c r="BQ186" s="127"/>
      <c r="BR186" s="115"/>
      <c r="BU186" s="127"/>
      <c r="BV186" s="115"/>
      <c r="BZ186" s="127"/>
      <c r="CA186" s="115"/>
      <c r="CE186" s="127"/>
      <c r="CF186" s="115"/>
      <c r="CJ186" s="127"/>
      <c r="CK186" s="115"/>
      <c r="CN186" s="127"/>
      <c r="CO186" s="115"/>
    </row>
    <row r="187" spans="39:93" x14ac:dyDescent="0.25">
      <c r="AR187" s="116"/>
      <c r="AS187" s="116"/>
      <c r="AT187" s="116"/>
      <c r="AU187" s="116"/>
      <c r="AW187" s="116"/>
      <c r="AY187" s="116"/>
      <c r="AZ187" s="109"/>
      <c r="BA187" s="120"/>
      <c r="BB187" s="109"/>
      <c r="BC187" s="128"/>
      <c r="BD187" s="128"/>
      <c r="BE187" s="109"/>
      <c r="BF187" s="118"/>
      <c r="BK187" s="120"/>
      <c r="BL187" s="127"/>
      <c r="BM187" s="115"/>
      <c r="BQ187" s="127"/>
      <c r="BR187" s="115"/>
      <c r="BU187" s="127"/>
      <c r="BV187" s="115"/>
      <c r="BZ187" s="127"/>
      <c r="CA187" s="115"/>
      <c r="CE187" s="127"/>
      <c r="CF187" s="115"/>
      <c r="CJ187" s="127"/>
      <c r="CK187" s="115"/>
      <c r="CN187" s="127"/>
      <c r="CO187" s="115"/>
    </row>
    <row r="188" spans="39:93" x14ac:dyDescent="0.25">
      <c r="AR188" s="116"/>
      <c r="AS188" s="116"/>
      <c r="AT188" s="116"/>
      <c r="AU188" s="116"/>
      <c r="AW188" s="116"/>
      <c r="AY188" s="116"/>
      <c r="AZ188" s="109"/>
      <c r="BA188" s="120"/>
      <c r="BB188" s="109"/>
      <c r="BC188" s="128"/>
      <c r="BD188" s="128"/>
      <c r="BE188" s="109"/>
      <c r="BF188" s="118"/>
      <c r="BK188" s="120"/>
      <c r="BL188" s="127"/>
      <c r="BM188" s="115"/>
      <c r="BQ188" s="127"/>
      <c r="BR188" s="115"/>
      <c r="BU188" s="127"/>
      <c r="BV188" s="115"/>
      <c r="BZ188" s="127"/>
      <c r="CA188" s="115"/>
      <c r="CE188" s="127"/>
      <c r="CF188" s="115"/>
      <c r="CJ188" s="127"/>
      <c r="CK188" s="115"/>
      <c r="CN188" s="127"/>
      <c r="CO188" s="115"/>
    </row>
    <row r="189" spans="39:93" x14ac:dyDescent="0.25">
      <c r="AW189" s="116"/>
      <c r="AZ189" s="109"/>
      <c r="BA189" s="109"/>
      <c r="BB189" s="109"/>
      <c r="BC189" s="109"/>
      <c r="BD189" s="109"/>
      <c r="BE189" s="109"/>
      <c r="BF189" s="109"/>
      <c r="BT189" s="127"/>
    </row>
    <row r="190" spans="39:93" x14ac:dyDescent="0.25">
      <c r="AW190" s="116"/>
      <c r="BE190" s="109"/>
      <c r="BF190" s="109"/>
    </row>
    <row r="191" spans="39:93" x14ac:dyDescent="0.25">
      <c r="AW191" s="116"/>
      <c r="AZ191" s="109"/>
      <c r="BA191" s="109"/>
      <c r="BB191" s="109"/>
      <c r="BC191" s="109"/>
      <c r="BD191" s="109"/>
      <c r="BE191" s="109"/>
      <c r="BF191" s="109"/>
      <c r="BK191" s="115"/>
      <c r="BR191" s="138"/>
    </row>
    <row r="192" spans="39:93" x14ac:dyDescent="0.25">
      <c r="AW192" s="116"/>
      <c r="BL192" s="133"/>
      <c r="BM192" s="115"/>
    </row>
    <row r="193" spans="64:65" x14ac:dyDescent="0.25">
      <c r="BL193" s="133"/>
      <c r="BM193" s="115"/>
    </row>
    <row r="196" spans="64:65" x14ac:dyDescent="0.25">
      <c r="BL196" s="133"/>
      <c r="BM196" s="115"/>
    </row>
    <row r="197" spans="64:65" x14ac:dyDescent="0.25">
      <c r="BL197" s="133"/>
      <c r="BM197" s="115"/>
    </row>
    <row r="198" spans="64:65" x14ac:dyDescent="0.25">
      <c r="BL198" s="133"/>
      <c r="BM198" s="115"/>
    </row>
    <row r="199" spans="64:65" x14ac:dyDescent="0.25">
      <c r="BL199" s="133"/>
      <c r="BM199" s="115"/>
    </row>
    <row r="201" spans="64:65" x14ac:dyDescent="0.25">
      <c r="BL201" s="133"/>
      <c r="BM201" s="115"/>
    </row>
    <row r="204" spans="64:65" x14ac:dyDescent="0.25">
      <c r="BL204" s="133"/>
      <c r="BM204" s="115"/>
    </row>
    <row r="205" spans="64:65" x14ac:dyDescent="0.25">
      <c r="BL205" s="133"/>
      <c r="BM205" s="115"/>
    </row>
    <row r="206" spans="64:65" x14ac:dyDescent="0.25">
      <c r="BL206" s="133"/>
      <c r="BM206" s="115"/>
    </row>
    <row r="207" spans="64:65" x14ac:dyDescent="0.25">
      <c r="BL207" s="133"/>
      <c r="BM207" s="115"/>
    </row>
    <row r="209" spans="64:65" x14ac:dyDescent="0.25">
      <c r="BL209" s="133"/>
      <c r="BM209" s="115"/>
    </row>
    <row r="212" spans="64:65" x14ac:dyDescent="0.25">
      <c r="BL212" s="133"/>
      <c r="BM212" s="115"/>
    </row>
    <row r="213" spans="64:65" x14ac:dyDescent="0.25">
      <c r="BL213" s="133"/>
      <c r="BM213" s="115"/>
    </row>
    <row r="214" spans="64:65" x14ac:dyDescent="0.25">
      <c r="BL214" s="133"/>
      <c r="BM214" s="115"/>
    </row>
    <row r="215" spans="64:65" x14ac:dyDescent="0.25">
      <c r="BL215" s="133"/>
      <c r="BM215" s="115"/>
    </row>
    <row r="225" spans="58:58" x14ac:dyDescent="0.25">
      <c r="BF225" s="109"/>
    </row>
    <row r="226" spans="58:58" x14ac:dyDescent="0.25">
      <c r="BF226" s="109"/>
    </row>
    <row r="227" spans="58:58" x14ac:dyDescent="0.25">
      <c r="BF227" s="109"/>
    </row>
    <row r="228" spans="58:58" x14ac:dyDescent="0.25">
      <c r="BF228" s="109"/>
    </row>
    <row r="229" spans="58:58" x14ac:dyDescent="0.25">
      <c r="BF229" s="109"/>
    </row>
    <row r="230" spans="58:58" x14ac:dyDescent="0.25">
      <c r="BF230" s="109"/>
    </row>
    <row r="231" spans="58:58" x14ac:dyDescent="0.25">
      <c r="BF231" s="109"/>
    </row>
    <row r="232" spans="58:58" x14ac:dyDescent="0.25">
      <c r="BF232" s="109"/>
    </row>
    <row r="233" spans="58:58" x14ac:dyDescent="0.25">
      <c r="BF233" s="109"/>
    </row>
  </sheetData>
  <phoneticPr fontId="14" type="noConversion"/>
  <conditionalFormatting sqref="AK66:AV73">
    <cfRule type="expression" dxfId="26" priority="1">
      <formula>ABS(AK66)&lt;0.1</formula>
    </cfRule>
  </conditionalFormatting>
  <conditionalFormatting sqref="AK6:AX60">
    <cfRule type="expression" dxfId="25" priority="2">
      <formula>ABS(AK6)&lt;0.1</formula>
    </cfRule>
  </conditionalFormatting>
  <conditionalFormatting sqref="AK90:AX103">
    <cfRule type="expression" dxfId="24" priority="3">
      <formula>ABS(AK90)&lt;0.1</formula>
    </cfRule>
  </conditionalFormatting>
  <conditionalFormatting sqref="BB46:BB59">
    <cfRule type="expression" dxfId="23" priority="4">
      <formula>ABS(BB46)&lt;0.1</formula>
    </cfRule>
  </conditionalFormatting>
  <conditionalFormatting sqref="BR172:BR174">
    <cfRule type="cellIs" dxfId="22" priority="6" operator="equal">
      <formula>"VIRHE!"</formula>
    </cfRule>
    <cfRule type="cellIs" dxfId="21" priority="7" operator="equal">
      <formula>"OK!"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9C33C-A99E-4D9D-A1C8-724BB0D5FC4F}">
  <sheetPr codeName="Taul3"/>
  <dimension ref="A1:CW233"/>
  <sheetViews>
    <sheetView topLeftCell="AD1" zoomScale="85" zoomScaleNormal="85" workbookViewId="0">
      <selection activeCell="AV41" sqref="AV41"/>
    </sheetView>
  </sheetViews>
  <sheetFormatPr defaultColWidth="9.140625" defaultRowHeight="12" x14ac:dyDescent="0.25"/>
  <cols>
    <col min="1" max="35" width="9.140625" style="80"/>
    <col min="36" max="36" width="10.7109375" style="80" customWidth="1"/>
    <col min="37" max="37" width="12.28515625" style="80" bestFit="1" customWidth="1"/>
    <col min="38" max="40" width="13.140625" style="80" bestFit="1" customWidth="1"/>
    <col min="41" max="41" width="13.28515625" style="80" bestFit="1" customWidth="1"/>
    <col min="42" max="44" width="13.140625" style="80" bestFit="1" customWidth="1"/>
    <col min="45" max="45" width="12.28515625" style="80" bestFit="1" customWidth="1"/>
    <col min="46" max="46" width="12.5703125" style="80" bestFit="1" customWidth="1"/>
    <col min="47" max="47" width="13.140625" style="80" bestFit="1" customWidth="1"/>
    <col min="48" max="48" width="12.42578125" style="80" bestFit="1" customWidth="1"/>
    <col min="49" max="49" width="11.5703125" style="80" bestFit="1" customWidth="1"/>
    <col min="50" max="50" width="17.140625" style="80" bestFit="1" customWidth="1"/>
    <col min="51" max="53" width="9.140625" style="80"/>
    <col min="54" max="54" width="12.28515625" style="80" bestFit="1" customWidth="1"/>
    <col min="55" max="57" width="9.140625" style="80"/>
    <col min="58" max="58" width="11.5703125" style="80" bestFit="1" customWidth="1"/>
    <col min="59" max="16384" width="9.140625" style="80"/>
  </cols>
  <sheetData>
    <row r="1" spans="1:67" x14ac:dyDescent="0.2">
      <c r="A1" s="4"/>
      <c r="B1" s="4" t="s">
        <v>34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</row>
    <row r="2" spans="1:67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</row>
    <row r="3" spans="1:67" x14ac:dyDescent="0.2">
      <c r="A3" s="4"/>
      <c r="B3" s="79" t="s">
        <v>13</v>
      </c>
      <c r="C3" s="4"/>
      <c r="D3" s="4"/>
      <c r="E3" s="23"/>
      <c r="F3" s="23"/>
      <c r="G3" s="4"/>
      <c r="H3" s="4"/>
      <c r="I3" s="4"/>
      <c r="J3" s="4"/>
      <c r="K3" s="4"/>
      <c r="L3" s="79" t="s">
        <v>15</v>
      </c>
      <c r="M3" s="4"/>
      <c r="N3" s="4"/>
      <c r="O3" s="23"/>
      <c r="P3" s="23"/>
      <c r="Q3" s="4"/>
      <c r="R3" s="4"/>
      <c r="S3" s="82"/>
      <c r="T3" s="4"/>
      <c r="U3" s="4"/>
      <c r="V3" s="79" t="s">
        <v>16</v>
      </c>
      <c r="W3" s="4"/>
      <c r="X3" s="23"/>
      <c r="Y3" s="23"/>
      <c r="Z3" s="4"/>
      <c r="AA3" s="4"/>
      <c r="AB3" s="4"/>
      <c r="AC3" s="4"/>
      <c r="AD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</row>
    <row r="4" spans="1:67" x14ac:dyDescent="0.2">
      <c r="A4" s="4"/>
      <c r="B4" s="45" t="s">
        <v>17</v>
      </c>
      <c r="C4" s="4"/>
      <c r="D4" s="4"/>
      <c r="E4" s="83">
        <v>90</v>
      </c>
      <c r="F4" s="4" t="s">
        <v>0</v>
      </c>
      <c r="G4" s="4"/>
      <c r="H4" s="4"/>
      <c r="I4" s="4"/>
      <c r="J4" s="4"/>
      <c r="K4" s="4"/>
      <c r="L4" s="45" t="s">
        <v>17</v>
      </c>
      <c r="M4" s="4"/>
      <c r="N4" s="4"/>
      <c r="O4" s="84">
        <v>0</v>
      </c>
      <c r="P4" s="4" t="s">
        <v>0</v>
      </c>
      <c r="Q4" s="4"/>
      <c r="R4" s="4"/>
      <c r="S4" s="4"/>
      <c r="T4" s="4"/>
      <c r="U4" s="4"/>
      <c r="V4" s="45" t="s">
        <v>17</v>
      </c>
      <c r="W4" s="4"/>
      <c r="X4" s="4"/>
      <c r="Y4" s="84">
        <v>90</v>
      </c>
      <c r="Z4" s="4" t="s">
        <v>0</v>
      </c>
      <c r="AA4" s="4"/>
      <c r="AB4" s="4"/>
      <c r="AC4" s="4"/>
      <c r="AD4" s="4"/>
      <c r="AJ4" s="79" t="s">
        <v>35</v>
      </c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82"/>
      <c r="AZ4" s="79" t="s">
        <v>37</v>
      </c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</row>
    <row r="5" spans="1:67" x14ac:dyDescent="0.2">
      <c r="A5" s="4"/>
      <c r="B5" s="4" t="s">
        <v>19</v>
      </c>
      <c r="C5" s="85">
        <f>COS(RADIANS(E4))</f>
        <v>6.1257422745431001E-17</v>
      </c>
      <c r="D5" s="4" t="s">
        <v>20</v>
      </c>
      <c r="E5" s="84">
        <f>SIN(RADIANS(E4))</f>
        <v>1</v>
      </c>
      <c r="F5" s="4"/>
      <c r="G5" s="4"/>
      <c r="H5" s="4"/>
      <c r="I5" s="4"/>
      <c r="J5" s="4"/>
      <c r="K5" s="4"/>
      <c r="L5" s="45" t="s">
        <v>19</v>
      </c>
      <c r="M5" s="85">
        <f>IF(ROUND(COS(RADIANS(O4)),5)=0,0,COS(RADIANS(O4)))</f>
        <v>1</v>
      </c>
      <c r="N5" s="4" t="s">
        <v>20</v>
      </c>
      <c r="O5" s="84">
        <f>IF(ROUND(SIN(RADIANS(O4)),5)=0,0,SIN(RADIANS(O4)))</f>
        <v>0</v>
      </c>
      <c r="P5" s="4"/>
      <c r="Q5" s="4"/>
      <c r="R5" s="4"/>
      <c r="S5" s="4"/>
      <c r="T5" s="4"/>
      <c r="U5" s="4"/>
      <c r="V5" s="4" t="s">
        <v>19</v>
      </c>
      <c r="W5" s="85">
        <f>IF(ROUND(COS(RADIANS(Y4)),5)=0,0,COS(RADIANS(Y4)))</f>
        <v>0</v>
      </c>
      <c r="X5" s="4" t="s">
        <v>20</v>
      </c>
      <c r="Y5" s="84">
        <f>IF(ROUND(SIN(RADIANS(Y4)),5)=0,0,SIN(RADIANS(Y4)))</f>
        <v>1</v>
      </c>
      <c r="Z5" s="4"/>
      <c r="AA5" s="4"/>
      <c r="AB5" s="4"/>
      <c r="AC5" s="4"/>
      <c r="AD5" s="4"/>
      <c r="AJ5" s="78"/>
      <c r="AK5" s="78">
        <v>1</v>
      </c>
      <c r="AL5" s="78">
        <v>2</v>
      </c>
      <c r="AM5" s="78">
        <v>3</v>
      </c>
      <c r="AN5" s="78">
        <v>4</v>
      </c>
      <c r="AO5" s="78">
        <v>5</v>
      </c>
      <c r="AP5" s="78">
        <v>6</v>
      </c>
      <c r="AQ5" s="78">
        <v>7</v>
      </c>
      <c r="AR5" s="78">
        <v>8</v>
      </c>
      <c r="AS5" s="78">
        <v>9</v>
      </c>
      <c r="AT5" s="78">
        <v>10</v>
      </c>
      <c r="AU5" s="78">
        <v>11</v>
      </c>
      <c r="AV5" s="78">
        <v>12</v>
      </c>
      <c r="AW5" s="78">
        <v>13</v>
      </c>
      <c r="AX5" s="78">
        <v>14</v>
      </c>
      <c r="AY5" s="6"/>
      <c r="AZ5" s="78"/>
      <c r="BA5" s="78">
        <v>1</v>
      </c>
      <c r="BB5" s="78">
        <v>2</v>
      </c>
      <c r="BC5" s="78">
        <v>3</v>
      </c>
      <c r="BD5" s="78">
        <v>4</v>
      </c>
      <c r="BE5" s="78">
        <v>5</v>
      </c>
      <c r="BF5" s="78">
        <v>6</v>
      </c>
      <c r="BG5" s="78">
        <v>7</v>
      </c>
      <c r="BH5" s="78">
        <v>8</v>
      </c>
      <c r="BI5" s="78">
        <v>9</v>
      </c>
      <c r="BJ5" s="78">
        <v>10</v>
      </c>
      <c r="BK5" s="78">
        <v>11</v>
      </c>
      <c r="BL5" s="78">
        <v>12</v>
      </c>
      <c r="BM5" s="78">
        <v>13</v>
      </c>
      <c r="BN5" s="78">
        <v>14</v>
      </c>
    </row>
    <row r="6" spans="1:67" x14ac:dyDescent="0.2">
      <c r="A6" s="4"/>
      <c r="B6" s="45" t="s">
        <v>2</v>
      </c>
      <c r="C6" s="4"/>
      <c r="D6" s="4"/>
      <c r="E6" s="84">
        <v>4000</v>
      </c>
      <c r="F6" s="4" t="s">
        <v>3</v>
      </c>
      <c r="G6" s="4"/>
      <c r="H6" s="4"/>
      <c r="I6" s="4"/>
      <c r="J6" s="4"/>
      <c r="K6" s="4"/>
      <c r="L6" s="45" t="s">
        <v>2</v>
      </c>
      <c r="M6" s="4"/>
      <c r="N6" s="4"/>
      <c r="O6" s="84">
        <v>6000</v>
      </c>
      <c r="P6" s="4" t="s">
        <v>3</v>
      </c>
      <c r="Q6" s="4"/>
      <c r="R6" s="4"/>
      <c r="S6" s="4"/>
      <c r="T6" s="4"/>
      <c r="U6" s="4"/>
      <c r="V6" s="45" t="s">
        <v>2</v>
      </c>
      <c r="W6" s="4"/>
      <c r="X6" s="4"/>
      <c r="Y6" s="84">
        <v>4000</v>
      </c>
      <c r="Z6" s="4" t="s">
        <v>3</v>
      </c>
      <c r="AA6" s="4"/>
      <c r="AB6" s="4"/>
      <c r="AC6" s="4"/>
      <c r="AD6" s="4"/>
      <c r="AJ6" s="78">
        <v>1</v>
      </c>
      <c r="AK6" s="11">
        <f>B20</f>
        <v>328.125</v>
      </c>
      <c r="AL6" s="11">
        <f t="shared" ref="AK6:AO10" si="0">C20</f>
        <v>3.2140046849512931E-11</v>
      </c>
      <c r="AM6" s="11">
        <f>D20</f>
        <v>-656250</v>
      </c>
      <c r="AN6" s="11">
        <f t="shared" si="0"/>
        <v>-328.125</v>
      </c>
      <c r="AO6" s="11">
        <f t="shared" si="0"/>
        <v>-3.2140046849512931E-11</v>
      </c>
      <c r="AP6" s="4"/>
      <c r="AQ6" s="4"/>
      <c r="AR6" s="4"/>
      <c r="AS6" s="4"/>
      <c r="AT6" s="4"/>
      <c r="AU6" s="4"/>
      <c r="AV6" s="4"/>
      <c r="AW6" s="11">
        <f>G20</f>
        <v>-656250</v>
      </c>
      <c r="AX6" s="69"/>
      <c r="AY6" s="7">
        <f>I20</f>
        <v>20000</v>
      </c>
      <c r="AZ6" s="78">
        <v>1</v>
      </c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69"/>
    </row>
    <row r="7" spans="1:67" ht="13.5" x14ac:dyDescent="0.2">
      <c r="A7" s="4"/>
      <c r="B7" s="45" t="s">
        <v>21</v>
      </c>
      <c r="C7" s="4"/>
      <c r="D7" s="4"/>
      <c r="E7" s="86">
        <f>100*100</f>
        <v>10000</v>
      </c>
      <c r="F7" s="4" t="s">
        <v>4</v>
      </c>
      <c r="G7" s="4"/>
      <c r="H7" s="4"/>
      <c r="I7" s="4"/>
      <c r="J7" s="4"/>
      <c r="K7" s="4"/>
      <c r="L7" s="45" t="s">
        <v>21</v>
      </c>
      <c r="M7" s="4"/>
      <c r="N7" s="4"/>
      <c r="O7" s="86">
        <f>100*200</f>
        <v>20000</v>
      </c>
      <c r="P7" s="4" t="s">
        <v>4</v>
      </c>
      <c r="Q7" s="4"/>
      <c r="R7" s="4"/>
      <c r="S7" s="4"/>
      <c r="T7" s="4"/>
      <c r="U7" s="4"/>
      <c r="V7" s="45" t="s">
        <v>21</v>
      </c>
      <c r="W7" s="4"/>
      <c r="X7" s="26"/>
      <c r="Y7" s="86">
        <f>E7</f>
        <v>10000</v>
      </c>
      <c r="Z7" s="4" t="s">
        <v>4</v>
      </c>
      <c r="AA7" s="4"/>
      <c r="AB7" s="4"/>
      <c r="AC7" s="4"/>
      <c r="AD7" s="4"/>
      <c r="AJ7" s="78">
        <v>2</v>
      </c>
      <c r="AK7" s="11">
        <f t="shared" si="0"/>
        <v>3.2140046849512931E-11</v>
      </c>
      <c r="AL7" s="11">
        <f t="shared" si="0"/>
        <v>525000</v>
      </c>
      <c r="AM7" s="11">
        <f>D21</f>
        <v>4.0200183676689094E-11</v>
      </c>
      <c r="AN7" s="11">
        <f t="shared" si="0"/>
        <v>-3.2140046849512931E-11</v>
      </c>
      <c r="AO7" s="11">
        <f t="shared" si="0"/>
        <v>-525000</v>
      </c>
      <c r="AP7" s="4"/>
      <c r="AQ7" s="4"/>
      <c r="AR7" s="4"/>
      <c r="AS7" s="4"/>
      <c r="AT7" s="4"/>
      <c r="AU7" s="4"/>
      <c r="AV7" s="4"/>
      <c r="AW7" s="11">
        <f>G21</f>
        <v>4.0200183676689094E-11</v>
      </c>
      <c r="AX7" s="69"/>
      <c r="AY7" s="7">
        <f t="shared" ref="AY7:AY10" si="1">I21</f>
        <v>-1.22514845490862E-12</v>
      </c>
      <c r="AZ7" s="78">
        <v>2</v>
      </c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69"/>
    </row>
    <row r="8" spans="1:67" ht="13.5" x14ac:dyDescent="0.2">
      <c r="A8" s="4"/>
      <c r="B8" s="45" t="s">
        <v>5</v>
      </c>
      <c r="C8" s="4"/>
      <c r="D8" s="4"/>
      <c r="E8" s="86">
        <f>100*100^3/12</f>
        <v>8333333.333333333</v>
      </c>
      <c r="F8" s="4" t="s">
        <v>6</v>
      </c>
      <c r="G8" s="4"/>
      <c r="H8" s="4"/>
      <c r="I8" s="4"/>
      <c r="J8" s="4"/>
      <c r="K8" s="4"/>
      <c r="L8" s="45" t="s">
        <v>5</v>
      </c>
      <c r="M8" s="4"/>
      <c r="N8" s="4"/>
      <c r="O8" s="86">
        <f>100*200^3/12</f>
        <v>66666666.666666664</v>
      </c>
      <c r="P8" s="4" t="s">
        <v>6</v>
      </c>
      <c r="Q8" s="4"/>
      <c r="R8" s="4"/>
      <c r="S8" s="4"/>
      <c r="T8" s="4"/>
      <c r="U8" s="4"/>
      <c r="V8" s="45" t="s">
        <v>5</v>
      </c>
      <c r="W8" s="4"/>
      <c r="X8" s="26"/>
      <c r="Y8" s="86">
        <f>E8</f>
        <v>8333333.333333333</v>
      </c>
      <c r="Z8" s="4" t="s">
        <v>6</v>
      </c>
      <c r="AA8" s="4"/>
      <c r="AB8" s="4"/>
      <c r="AC8" s="4"/>
      <c r="AD8" s="4"/>
      <c r="AJ8" s="78">
        <v>3</v>
      </c>
      <c r="AK8" s="11">
        <f>B22</f>
        <v>-656250</v>
      </c>
      <c r="AL8" s="11">
        <f>C22</f>
        <v>4.0200183676689094E-11</v>
      </c>
      <c r="AM8" s="11">
        <f>D22</f>
        <v>1750000000</v>
      </c>
      <c r="AN8" s="11">
        <f>E22</f>
        <v>656250</v>
      </c>
      <c r="AO8" s="11">
        <f>F22</f>
        <v>-4.0200183676689094E-11</v>
      </c>
      <c r="AP8" s="4"/>
      <c r="AQ8" s="4"/>
      <c r="AR8" s="4"/>
      <c r="AS8" s="4"/>
      <c r="AT8" s="4"/>
      <c r="AU8" s="4"/>
      <c r="AV8" s="4"/>
      <c r="AW8" s="11">
        <f>G22</f>
        <v>875000000</v>
      </c>
      <c r="AX8" s="69"/>
      <c r="AY8" s="7">
        <f t="shared" si="1"/>
        <v>-13333333.333333334</v>
      </c>
      <c r="AZ8" s="78">
        <v>3</v>
      </c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69"/>
    </row>
    <row r="9" spans="1:67" ht="13.5" x14ac:dyDescent="0.2">
      <c r="A9" s="4"/>
      <c r="B9" s="45" t="s">
        <v>7</v>
      </c>
      <c r="C9" s="4"/>
      <c r="D9" s="4"/>
      <c r="E9" s="86">
        <f>210*10^3</f>
        <v>210000</v>
      </c>
      <c r="F9" s="4" t="s">
        <v>24</v>
      </c>
      <c r="G9" s="4"/>
      <c r="H9" s="4"/>
      <c r="I9" s="4"/>
      <c r="J9" s="4"/>
      <c r="K9" s="4"/>
      <c r="L9" s="45" t="s">
        <v>7</v>
      </c>
      <c r="M9" s="4"/>
      <c r="N9" s="4"/>
      <c r="O9" s="86">
        <f>210*10^3</f>
        <v>210000</v>
      </c>
      <c r="P9" s="4" t="s">
        <v>12</v>
      </c>
      <c r="Q9" s="4"/>
      <c r="R9" s="4"/>
      <c r="S9" s="4"/>
      <c r="T9" s="4"/>
      <c r="U9" s="4"/>
      <c r="V9" s="45" t="s">
        <v>7</v>
      </c>
      <c r="W9" s="4"/>
      <c r="X9" s="26"/>
      <c r="Y9" s="86">
        <f>E9</f>
        <v>210000</v>
      </c>
      <c r="Z9" s="4" t="s">
        <v>8</v>
      </c>
      <c r="AA9" s="4"/>
      <c r="AB9" s="4"/>
      <c r="AC9" s="4"/>
      <c r="AD9" s="4"/>
      <c r="AJ9" s="78">
        <v>4</v>
      </c>
      <c r="AK9" s="11">
        <f t="shared" si="0"/>
        <v>-328.125</v>
      </c>
      <c r="AL9" s="11">
        <f t="shared" si="0"/>
        <v>-3.2140046849512931E-11</v>
      </c>
      <c r="AM9" s="11">
        <f>D23</f>
        <v>656250</v>
      </c>
      <c r="AN9" s="11">
        <f t="shared" si="0"/>
        <v>328.125</v>
      </c>
      <c r="AO9" s="11">
        <f t="shared" si="0"/>
        <v>3.2140046849512931E-11</v>
      </c>
      <c r="AP9" s="4"/>
      <c r="AQ9" s="4"/>
      <c r="AR9" s="4"/>
      <c r="AS9" s="4"/>
      <c r="AT9" s="4"/>
      <c r="AU9" s="4"/>
      <c r="AV9" s="4"/>
      <c r="AW9" s="11">
        <f>G23</f>
        <v>656250</v>
      </c>
      <c r="AX9" s="69"/>
      <c r="AY9" s="7">
        <f t="shared" si="1"/>
        <v>20000</v>
      </c>
      <c r="AZ9" s="78">
        <v>4</v>
      </c>
      <c r="BA9" s="4"/>
      <c r="BB9" s="4"/>
      <c r="BC9" s="4"/>
      <c r="BD9" s="15">
        <f t="shared" ref="BD9:BF11" si="2">L20</f>
        <v>700000</v>
      </c>
      <c r="BE9" s="15">
        <f t="shared" si="2"/>
        <v>0</v>
      </c>
      <c r="BF9" s="15">
        <f t="shared" si="2"/>
        <v>0</v>
      </c>
      <c r="BG9" s="4"/>
      <c r="BH9" s="4"/>
      <c r="BI9" s="4"/>
      <c r="BJ9" s="15">
        <f t="shared" ref="BJ9:BL11" si="3">O20</f>
        <v>-700000</v>
      </c>
      <c r="BK9" s="15">
        <f t="shared" si="3"/>
        <v>0</v>
      </c>
      <c r="BL9" s="15">
        <f t="shared" si="3"/>
        <v>0</v>
      </c>
      <c r="BM9" s="16"/>
      <c r="BN9" s="72"/>
      <c r="BO9" s="116" cm="1">
        <f t="array" ref="BO9:BO11">S20:S22</f>
        <v>0</v>
      </c>
    </row>
    <row r="10" spans="1:67" x14ac:dyDescent="0.2">
      <c r="A10" s="4"/>
      <c r="B10" s="45" t="s">
        <v>23</v>
      </c>
      <c r="C10" s="4"/>
      <c r="D10" s="4"/>
      <c r="E10" s="19">
        <f>E9*E7</f>
        <v>2100000000</v>
      </c>
      <c r="F10" s="4" t="s">
        <v>9</v>
      </c>
      <c r="G10" s="4"/>
      <c r="H10" s="4"/>
      <c r="I10" s="4"/>
      <c r="J10" s="4"/>
      <c r="K10" s="4"/>
      <c r="L10" s="45" t="s">
        <v>23</v>
      </c>
      <c r="M10" s="4"/>
      <c r="N10" s="4"/>
      <c r="O10" s="19">
        <f>O9*O7</f>
        <v>4200000000</v>
      </c>
      <c r="P10" s="4" t="s">
        <v>9</v>
      </c>
      <c r="Q10" s="4"/>
      <c r="R10" s="4"/>
      <c r="S10" s="4"/>
      <c r="T10" s="4"/>
      <c r="U10" s="4"/>
      <c r="V10" s="45" t="s">
        <v>23</v>
      </c>
      <c r="W10" s="4"/>
      <c r="X10" s="26"/>
      <c r="Y10" s="19">
        <f>E10</f>
        <v>2100000000</v>
      </c>
      <c r="Z10" s="4" t="s">
        <v>9</v>
      </c>
      <c r="AA10" s="4"/>
      <c r="AB10" s="4"/>
      <c r="AC10" s="4"/>
      <c r="AD10" s="4"/>
      <c r="AJ10" s="78">
        <v>5</v>
      </c>
      <c r="AK10" s="11">
        <f t="shared" si="0"/>
        <v>-3.2140046849512931E-11</v>
      </c>
      <c r="AL10" s="11">
        <f t="shared" si="0"/>
        <v>-525000</v>
      </c>
      <c r="AM10" s="11">
        <f>D24</f>
        <v>-4.0200183676689094E-11</v>
      </c>
      <c r="AN10" s="11">
        <f t="shared" si="0"/>
        <v>3.2140046849512931E-11</v>
      </c>
      <c r="AO10" s="11">
        <f t="shared" si="0"/>
        <v>525000</v>
      </c>
      <c r="AP10" s="4"/>
      <c r="AQ10" s="4"/>
      <c r="AR10" s="4"/>
      <c r="AS10" s="4"/>
      <c r="AT10" s="4"/>
      <c r="AU10" s="4"/>
      <c r="AV10" s="4"/>
      <c r="AW10" s="11">
        <f>G24</f>
        <v>-4.0200183676689094E-11</v>
      </c>
      <c r="AX10" s="69"/>
      <c r="AY10" s="7">
        <f t="shared" si="1"/>
        <v>-1.22514845490862E-12</v>
      </c>
      <c r="AZ10" s="78">
        <v>5</v>
      </c>
      <c r="BA10" s="4"/>
      <c r="BB10" s="4"/>
      <c r="BC10" s="4"/>
      <c r="BD10" s="15">
        <f t="shared" si="2"/>
        <v>0</v>
      </c>
      <c r="BE10" s="15">
        <f t="shared" si="2"/>
        <v>777.77777777777783</v>
      </c>
      <c r="BF10" s="15">
        <f t="shared" si="2"/>
        <v>2333333.3333333335</v>
      </c>
      <c r="BG10" s="4"/>
      <c r="BH10" s="4"/>
      <c r="BI10" s="4"/>
      <c r="BJ10" s="15">
        <f t="shared" si="3"/>
        <v>0</v>
      </c>
      <c r="BK10" s="15">
        <f t="shared" si="3"/>
        <v>-777.77777777777783</v>
      </c>
      <c r="BL10" s="15">
        <f t="shared" si="3"/>
        <v>2333333.3333333335</v>
      </c>
      <c r="BM10" s="16"/>
      <c r="BN10" s="72"/>
      <c r="BO10" s="80">
        <v>-30000</v>
      </c>
    </row>
    <row r="11" spans="1:67" ht="13.5" x14ac:dyDescent="0.2">
      <c r="A11" s="4"/>
      <c r="B11" s="45" t="s">
        <v>22</v>
      </c>
      <c r="C11" s="4"/>
      <c r="D11" s="4"/>
      <c r="E11" s="19">
        <f>E9*E8</f>
        <v>1750000000000</v>
      </c>
      <c r="F11" s="4" t="s">
        <v>25</v>
      </c>
      <c r="G11" s="4"/>
      <c r="H11" s="4"/>
      <c r="I11" s="4"/>
      <c r="J11" s="4"/>
      <c r="K11" s="4"/>
      <c r="L11" s="45" t="s">
        <v>22</v>
      </c>
      <c r="M11" s="4"/>
      <c r="N11" s="4"/>
      <c r="O11" s="19">
        <f>O9*O8</f>
        <v>14000000000000</v>
      </c>
      <c r="P11" s="4" t="s">
        <v>10</v>
      </c>
      <c r="Q11" s="4"/>
      <c r="R11" s="4"/>
      <c r="S11" s="4"/>
      <c r="T11" s="4"/>
      <c r="U11" s="4"/>
      <c r="V11" s="45" t="s">
        <v>22</v>
      </c>
      <c r="W11" s="4"/>
      <c r="X11" s="26"/>
      <c r="Y11" s="19">
        <f>E11</f>
        <v>1750000000000</v>
      </c>
      <c r="Z11" s="4" t="s">
        <v>10</v>
      </c>
      <c r="AA11" s="4"/>
      <c r="AB11" s="4"/>
      <c r="AC11" s="4"/>
      <c r="AD11" s="4"/>
      <c r="AJ11" s="78">
        <v>6</v>
      </c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69"/>
      <c r="AY11" s="4"/>
      <c r="AZ11" s="78">
        <v>6</v>
      </c>
      <c r="BA11" s="4"/>
      <c r="BB11" s="4"/>
      <c r="BC11" s="4"/>
      <c r="BD11" s="15">
        <f t="shared" si="2"/>
        <v>0</v>
      </c>
      <c r="BE11" s="15">
        <f t="shared" si="2"/>
        <v>2333333.3333333335</v>
      </c>
      <c r="BF11" s="15">
        <f t="shared" si="2"/>
        <v>9333333333.333334</v>
      </c>
      <c r="BG11" s="4"/>
      <c r="BH11" s="4"/>
      <c r="BI11" s="4"/>
      <c r="BJ11" s="15">
        <f t="shared" si="3"/>
        <v>0</v>
      </c>
      <c r="BK11" s="15">
        <f t="shared" si="3"/>
        <v>-2333333.3333333335</v>
      </c>
      <c r="BL11" s="15">
        <f t="shared" si="3"/>
        <v>4666666666.666667</v>
      </c>
      <c r="BM11" s="16"/>
      <c r="BN11" s="72"/>
      <c r="BO11" s="80">
        <v>-30000000</v>
      </c>
    </row>
    <row r="12" spans="1:67" x14ac:dyDescent="0.2">
      <c r="A12" s="4"/>
      <c r="B12" s="45"/>
      <c r="C12" s="4"/>
      <c r="D12" s="4"/>
      <c r="E12" s="4"/>
      <c r="F12" s="4"/>
      <c r="G12" s="4"/>
      <c r="H12" s="4"/>
      <c r="I12" s="4"/>
      <c r="J12" s="4"/>
      <c r="K12" s="4"/>
      <c r="L12" s="45"/>
      <c r="M12" s="4"/>
      <c r="N12" s="4"/>
      <c r="O12" s="4"/>
      <c r="P12" s="4"/>
      <c r="Q12" s="4"/>
      <c r="R12" s="4"/>
      <c r="S12" s="4"/>
      <c r="T12" s="4"/>
      <c r="U12" s="4"/>
      <c r="V12" s="45"/>
      <c r="W12" s="4"/>
      <c r="X12" s="26"/>
      <c r="Y12" s="4"/>
      <c r="Z12" s="4"/>
      <c r="AA12" s="4"/>
      <c r="AB12" s="4"/>
      <c r="AC12" s="4"/>
      <c r="AD12" s="4"/>
      <c r="AJ12" s="78">
        <v>7</v>
      </c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69"/>
      <c r="AY12" s="4"/>
      <c r="AZ12" s="78">
        <v>7</v>
      </c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16"/>
      <c r="BN12" s="72"/>
    </row>
    <row r="13" spans="1:67" x14ac:dyDescent="0.2">
      <c r="A13" s="4"/>
      <c r="B13" s="79" t="s">
        <v>14</v>
      </c>
      <c r="C13" s="4"/>
      <c r="D13" s="4"/>
      <c r="E13" s="4"/>
      <c r="F13" s="4"/>
      <c r="G13" s="4"/>
      <c r="H13" s="4"/>
      <c r="I13" s="4"/>
      <c r="J13" s="4"/>
      <c r="K13" s="4"/>
      <c r="L13" s="79" t="s">
        <v>14</v>
      </c>
      <c r="M13" s="4"/>
      <c r="N13" s="4"/>
      <c r="O13" s="4"/>
      <c r="P13" s="4"/>
      <c r="Q13" s="4"/>
      <c r="R13" s="4"/>
      <c r="S13" s="4"/>
      <c r="T13" s="4"/>
      <c r="U13" s="4"/>
      <c r="V13" s="79" t="s">
        <v>14</v>
      </c>
      <c r="W13" s="4"/>
      <c r="X13" s="26"/>
      <c r="Y13" s="4"/>
      <c r="Z13" s="4"/>
      <c r="AA13" s="4"/>
      <c r="AB13" s="4"/>
      <c r="AC13" s="4"/>
      <c r="AD13" s="4"/>
      <c r="AJ13" s="78">
        <v>8</v>
      </c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69"/>
      <c r="AY13" s="4"/>
      <c r="AZ13" s="78">
        <v>8</v>
      </c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69"/>
    </row>
    <row r="14" spans="1:67" x14ac:dyDescent="0.2">
      <c r="A14" s="4"/>
      <c r="B14" s="45" t="s">
        <v>11</v>
      </c>
      <c r="C14" s="4"/>
      <c r="D14" s="4"/>
      <c r="E14" s="20">
        <v>0</v>
      </c>
      <c r="F14" s="4" t="s">
        <v>33</v>
      </c>
      <c r="G14" s="4"/>
      <c r="H14" s="4"/>
      <c r="I14" s="4"/>
      <c r="J14" s="4"/>
      <c r="K14" s="4"/>
      <c r="L14" s="45" t="s">
        <v>11</v>
      </c>
      <c r="M14" s="4"/>
      <c r="N14" s="4"/>
      <c r="O14" s="20">
        <v>0</v>
      </c>
      <c r="P14" s="4" t="s">
        <v>33</v>
      </c>
      <c r="Q14" s="4"/>
      <c r="R14" s="4"/>
      <c r="S14" s="4"/>
      <c r="T14" s="4"/>
      <c r="U14" s="4"/>
      <c r="V14" s="45" t="s">
        <v>11</v>
      </c>
      <c r="W14" s="4"/>
      <c r="X14" s="4"/>
      <c r="Y14" s="20">
        <v>0</v>
      </c>
      <c r="Z14" s="4" t="s">
        <v>33</v>
      </c>
      <c r="AA14" s="4"/>
      <c r="AB14" s="4"/>
      <c r="AC14" s="4"/>
      <c r="AD14" s="4"/>
      <c r="AJ14" s="78">
        <v>9</v>
      </c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69"/>
      <c r="AY14" s="4"/>
      <c r="AZ14" s="78">
        <v>9</v>
      </c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69"/>
    </row>
    <row r="15" spans="1:67" x14ac:dyDescent="0.2">
      <c r="A15" s="4"/>
      <c r="B15" s="45" t="s">
        <v>18</v>
      </c>
      <c r="C15" s="4"/>
      <c r="D15" s="4"/>
      <c r="E15" s="20">
        <v>10</v>
      </c>
      <c r="F15" s="4" t="s">
        <v>33</v>
      </c>
      <c r="G15" s="4"/>
      <c r="H15" s="4"/>
      <c r="I15" s="4"/>
      <c r="J15" s="4"/>
      <c r="K15" s="4"/>
      <c r="L15" s="45" t="s">
        <v>18</v>
      </c>
      <c r="M15" s="4"/>
      <c r="N15" s="4"/>
      <c r="O15" s="20">
        <v>10</v>
      </c>
      <c r="P15" s="4" t="s">
        <v>33</v>
      </c>
      <c r="Q15" s="4"/>
      <c r="R15" s="4"/>
      <c r="S15" s="4"/>
      <c r="T15" s="4"/>
      <c r="U15" s="4"/>
      <c r="V15" s="45" t="s">
        <v>18</v>
      </c>
      <c r="W15" s="4"/>
      <c r="X15" s="4"/>
      <c r="Y15" s="20">
        <v>-5</v>
      </c>
      <c r="Z15" s="4" t="s">
        <v>33</v>
      </c>
      <c r="AA15" s="4"/>
      <c r="AB15" s="4"/>
      <c r="AC15" s="4"/>
      <c r="AD15" s="4"/>
      <c r="AJ15" s="78">
        <v>10</v>
      </c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69"/>
      <c r="AY15" s="4"/>
      <c r="AZ15" s="78">
        <v>10</v>
      </c>
      <c r="BA15" s="4"/>
      <c r="BB15" s="4"/>
      <c r="BC15" s="4"/>
      <c r="BD15" s="15">
        <f t="shared" ref="BD15:BF17" si="4">L23</f>
        <v>-700000</v>
      </c>
      <c r="BE15" s="15">
        <f t="shared" si="4"/>
        <v>0</v>
      </c>
      <c r="BF15" s="15">
        <f t="shared" si="4"/>
        <v>0</v>
      </c>
      <c r="BG15" s="4"/>
      <c r="BH15" s="4"/>
      <c r="BI15" s="4"/>
      <c r="BJ15" s="15">
        <f t="shared" ref="BJ15:BL17" si="5">O23</f>
        <v>700000</v>
      </c>
      <c r="BK15" s="15">
        <f t="shared" si="5"/>
        <v>0</v>
      </c>
      <c r="BL15" s="15">
        <f t="shared" si="5"/>
        <v>0</v>
      </c>
      <c r="BM15" s="16"/>
      <c r="BN15" s="72"/>
      <c r="BO15" s="116" cm="1">
        <f t="array" ref="BO15:BO17">S23:S25</f>
        <v>0</v>
      </c>
    </row>
    <row r="16" spans="1:67" x14ac:dyDescent="0.2">
      <c r="A16" s="4"/>
      <c r="B16" s="45"/>
      <c r="C16" s="4"/>
      <c r="D16" s="4"/>
      <c r="E16" s="7"/>
      <c r="F16" s="4"/>
      <c r="G16" s="4"/>
      <c r="H16" s="4"/>
      <c r="I16" s="4"/>
      <c r="J16" s="4"/>
      <c r="K16" s="4"/>
      <c r="L16" s="45"/>
      <c r="M16" s="4"/>
      <c r="N16" s="4"/>
      <c r="O16" s="7"/>
      <c r="P16" s="4"/>
      <c r="Q16" s="4"/>
      <c r="R16" s="4"/>
      <c r="S16" s="82"/>
      <c r="T16" s="4"/>
      <c r="U16" s="4"/>
      <c r="V16" s="45"/>
      <c r="W16" s="4"/>
      <c r="X16" s="4"/>
      <c r="Y16" s="7"/>
      <c r="Z16" s="4"/>
      <c r="AA16" s="4"/>
      <c r="AB16" s="4"/>
      <c r="AC16" s="4"/>
      <c r="AD16" s="4"/>
      <c r="AJ16" s="78">
        <v>11</v>
      </c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69"/>
      <c r="AY16" s="4"/>
      <c r="AZ16" s="78">
        <v>11</v>
      </c>
      <c r="BA16" s="4"/>
      <c r="BB16" s="4"/>
      <c r="BC16" s="4"/>
      <c r="BD16" s="15">
        <f t="shared" si="4"/>
        <v>0</v>
      </c>
      <c r="BE16" s="15">
        <f t="shared" si="4"/>
        <v>-777.77777777777783</v>
      </c>
      <c r="BF16" s="15">
        <f t="shared" si="4"/>
        <v>-2333333.3333333335</v>
      </c>
      <c r="BG16" s="4"/>
      <c r="BH16" s="4"/>
      <c r="BI16" s="4"/>
      <c r="BJ16" s="15">
        <f t="shared" si="5"/>
        <v>0</v>
      </c>
      <c r="BK16" s="15">
        <f t="shared" si="5"/>
        <v>777.77777777777783</v>
      </c>
      <c r="BL16" s="15">
        <f t="shared" si="5"/>
        <v>-2333333.3333333335</v>
      </c>
      <c r="BM16" s="16"/>
      <c r="BN16" s="72"/>
      <c r="BO16" s="80">
        <v>-30000</v>
      </c>
    </row>
    <row r="17" spans="1:67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J17" s="78">
        <v>12</v>
      </c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69"/>
      <c r="AY17" s="4"/>
      <c r="AZ17" s="78">
        <v>12</v>
      </c>
      <c r="BA17" s="4"/>
      <c r="BB17" s="4"/>
      <c r="BC17" s="4"/>
      <c r="BD17" s="15">
        <f t="shared" si="4"/>
        <v>0</v>
      </c>
      <c r="BE17" s="15">
        <f t="shared" si="4"/>
        <v>2333333.3333333335</v>
      </c>
      <c r="BF17" s="15">
        <f t="shared" si="4"/>
        <v>4666666666.666667</v>
      </c>
      <c r="BG17" s="4"/>
      <c r="BH17" s="4"/>
      <c r="BI17" s="4"/>
      <c r="BJ17" s="15">
        <f t="shared" si="5"/>
        <v>0</v>
      </c>
      <c r="BK17" s="15">
        <f t="shared" si="5"/>
        <v>-2333333.3333333335</v>
      </c>
      <c r="BL17" s="15">
        <f t="shared" si="5"/>
        <v>9333333333.333334</v>
      </c>
      <c r="BM17" s="16"/>
      <c r="BN17" s="72"/>
      <c r="BO17" s="80">
        <v>30000000</v>
      </c>
    </row>
    <row r="18" spans="1:67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J18" s="78">
        <v>13</v>
      </c>
      <c r="AK18" s="11">
        <f>B25</f>
        <v>-656250</v>
      </c>
      <c r="AL18" s="11">
        <f>C25</f>
        <v>4.0200183676689094E-11</v>
      </c>
      <c r="AM18" s="11">
        <f>D25</f>
        <v>875000000</v>
      </c>
      <c r="AN18" s="11">
        <f>E25</f>
        <v>656250</v>
      </c>
      <c r="AO18" s="11">
        <f>F25</f>
        <v>-4.0200183676689094E-11</v>
      </c>
      <c r="AP18" s="4"/>
      <c r="AQ18" s="4"/>
      <c r="AR18" s="4"/>
      <c r="AS18" s="4"/>
      <c r="AT18" s="4"/>
      <c r="AU18" s="4"/>
      <c r="AV18" s="4"/>
      <c r="AW18" s="11">
        <f>G25</f>
        <v>1750000000</v>
      </c>
      <c r="AX18" s="69"/>
      <c r="AY18" s="7">
        <f>I25</f>
        <v>13333333.333333334</v>
      </c>
      <c r="AZ18" s="78">
        <v>13</v>
      </c>
      <c r="BA18" s="4"/>
      <c r="BB18" s="4"/>
      <c r="BC18" s="4"/>
      <c r="BD18" s="16"/>
      <c r="BE18" s="16"/>
      <c r="BF18" s="4"/>
      <c r="BG18" s="16"/>
      <c r="BH18" s="4"/>
      <c r="BI18" s="4"/>
      <c r="BJ18" s="4"/>
      <c r="BK18" s="16"/>
      <c r="BL18" s="16"/>
      <c r="BM18" s="4"/>
      <c r="BN18" s="72"/>
    </row>
    <row r="19" spans="1:67" x14ac:dyDescent="0.2">
      <c r="A19" s="4"/>
      <c r="B19" s="79" t="s">
        <v>26</v>
      </c>
      <c r="C19" s="4"/>
      <c r="D19" s="4"/>
      <c r="E19" s="4"/>
      <c r="F19" s="4"/>
      <c r="G19" s="4"/>
      <c r="H19" s="4"/>
      <c r="I19" s="82" t="s">
        <v>32</v>
      </c>
      <c r="J19" s="4"/>
      <c r="K19" s="4"/>
      <c r="L19" s="79" t="s">
        <v>26</v>
      </c>
      <c r="M19" s="4"/>
      <c r="N19" s="4"/>
      <c r="O19" s="4"/>
      <c r="P19" s="4"/>
      <c r="Q19" s="4"/>
      <c r="R19" s="4"/>
      <c r="S19" s="82" t="s">
        <v>32</v>
      </c>
      <c r="T19" s="4"/>
      <c r="U19" s="4"/>
      <c r="V19" s="79" t="s">
        <v>26</v>
      </c>
      <c r="W19" s="4"/>
      <c r="X19" s="4"/>
      <c r="Y19" s="4"/>
      <c r="Z19" s="4"/>
      <c r="AA19" s="4"/>
      <c r="AB19" s="4"/>
      <c r="AC19" s="82" t="s">
        <v>32</v>
      </c>
      <c r="AD19" s="4"/>
      <c r="AJ19" s="78">
        <v>14</v>
      </c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70"/>
      <c r="AX19" s="71"/>
      <c r="AY19" s="4"/>
      <c r="AZ19" s="78">
        <v>14</v>
      </c>
      <c r="BA19" s="70"/>
      <c r="BB19" s="70"/>
      <c r="BC19" s="70"/>
      <c r="BD19" s="73"/>
      <c r="BE19" s="73"/>
      <c r="BF19" s="70"/>
      <c r="BG19" s="73"/>
      <c r="BH19" s="70"/>
      <c r="BI19" s="70"/>
      <c r="BJ19" s="70"/>
      <c r="BK19" s="73"/>
      <c r="BL19" s="73"/>
      <c r="BM19" s="70"/>
      <c r="BN19" s="74"/>
    </row>
    <row r="20" spans="1:67" x14ac:dyDescent="0.2">
      <c r="A20" s="4"/>
      <c r="B20" s="37">
        <f t="shared" ref="B20:G25" si="6">$B36*B$45+$C36*B$46+$D36*B$47+$E36*B$48+$F36*B$49+$G36*B$50</f>
        <v>328.125</v>
      </c>
      <c r="C20" s="37">
        <f t="shared" si="6"/>
        <v>3.2140046849512931E-11</v>
      </c>
      <c r="D20" s="37">
        <f t="shared" si="6"/>
        <v>-656250</v>
      </c>
      <c r="E20" s="37">
        <f t="shared" si="6"/>
        <v>-328.125</v>
      </c>
      <c r="F20" s="37">
        <f t="shared" si="6"/>
        <v>-3.2140046849512931E-11</v>
      </c>
      <c r="G20" s="37">
        <f t="shared" si="6"/>
        <v>-656250</v>
      </c>
      <c r="H20" s="4"/>
      <c r="I20" s="40">
        <f>B54*I28+C54*I29+D54*I30+E54*I31+F54*I32+G54*I33</f>
        <v>20000</v>
      </c>
      <c r="J20" s="4"/>
      <c r="K20" s="4"/>
      <c r="L20" s="19">
        <f t="shared" ref="L20:Q25" si="7">$L37*L$46+$M37*L$47+$N37*L$48+$O37*L$49+$P37*L$50+$Q37*L$51</f>
        <v>700000</v>
      </c>
      <c r="M20" s="19">
        <f t="shared" si="7"/>
        <v>0</v>
      </c>
      <c r="N20" s="19">
        <f t="shared" si="7"/>
        <v>0</v>
      </c>
      <c r="O20" s="19">
        <f t="shared" si="7"/>
        <v>-700000</v>
      </c>
      <c r="P20" s="19">
        <f t="shared" si="7"/>
        <v>0</v>
      </c>
      <c r="Q20" s="19">
        <f t="shared" si="7"/>
        <v>0</v>
      </c>
      <c r="R20" s="4"/>
      <c r="S20" s="40">
        <f>L55*S28+M55*S29+N55*S30+O55*S31+P55*S32+Q55*S33</f>
        <v>0</v>
      </c>
      <c r="T20" s="4"/>
      <c r="U20" s="4"/>
      <c r="V20" s="20">
        <f t="shared" ref="V20:AA25" si="8">$V37*B$45+$W37*B$46+$X37*B$47+$Y37*B$48+$Z37*B$49+$AA37*B$50</f>
        <v>328.125</v>
      </c>
      <c r="W20" s="20">
        <f t="shared" si="8"/>
        <v>3.2140046849512931E-11</v>
      </c>
      <c r="X20" s="20">
        <f t="shared" si="8"/>
        <v>-656250</v>
      </c>
      <c r="Y20" s="20">
        <f t="shared" si="8"/>
        <v>-328.125</v>
      </c>
      <c r="Z20" s="20">
        <f t="shared" si="8"/>
        <v>-3.2140046849512931E-11</v>
      </c>
      <c r="AA20" s="20">
        <f t="shared" si="8"/>
        <v>-656250</v>
      </c>
      <c r="AB20" s="4"/>
      <c r="AC20" s="40">
        <f>V55*AC28+W55*AC29+X55*AC30+Y55*AC31+Z55*AC32+AA55*AC33</f>
        <v>-10000</v>
      </c>
      <c r="AD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</row>
    <row r="21" spans="1:67" x14ac:dyDescent="0.2">
      <c r="A21" s="4"/>
      <c r="B21" s="37">
        <f t="shared" si="6"/>
        <v>3.2140046849512931E-11</v>
      </c>
      <c r="C21" s="37">
        <f t="shared" si="6"/>
        <v>525000</v>
      </c>
      <c r="D21" s="37">
        <f t="shared" si="6"/>
        <v>4.0200183676689094E-11</v>
      </c>
      <c r="E21" s="37">
        <f t="shared" si="6"/>
        <v>-3.2140046849512931E-11</v>
      </c>
      <c r="F21" s="37">
        <f t="shared" si="6"/>
        <v>-525000</v>
      </c>
      <c r="G21" s="37">
        <f t="shared" si="6"/>
        <v>4.0200183676689094E-11</v>
      </c>
      <c r="H21" s="4"/>
      <c r="I21" s="40">
        <f>B55*I28+C55*I29+D55*I30+E55*I31+F55*I32+G55*I33</f>
        <v>-1.22514845490862E-12</v>
      </c>
      <c r="J21" s="4"/>
      <c r="K21" s="4"/>
      <c r="L21" s="19">
        <f t="shared" si="7"/>
        <v>0</v>
      </c>
      <c r="M21" s="19">
        <f t="shared" si="7"/>
        <v>777.77777777777783</v>
      </c>
      <c r="N21" s="19">
        <f t="shared" si="7"/>
        <v>2333333.3333333335</v>
      </c>
      <c r="O21" s="19">
        <f t="shared" si="7"/>
        <v>0</v>
      </c>
      <c r="P21" s="19">
        <f t="shared" si="7"/>
        <v>-777.77777777777783</v>
      </c>
      <c r="Q21" s="19">
        <f t="shared" si="7"/>
        <v>2333333.3333333335</v>
      </c>
      <c r="R21" s="4"/>
      <c r="S21" s="40">
        <f>L56*S28+M56*S29+N56*S30+O56*S31+P56*S32+Q56*S33</f>
        <v>-30000</v>
      </c>
      <c r="T21" s="4"/>
      <c r="U21" s="4"/>
      <c r="V21" s="20">
        <f t="shared" si="8"/>
        <v>3.2140046849512931E-11</v>
      </c>
      <c r="W21" s="20">
        <f t="shared" si="8"/>
        <v>525000</v>
      </c>
      <c r="X21" s="20">
        <f t="shared" si="8"/>
        <v>4.0200183676689094E-11</v>
      </c>
      <c r="Y21" s="20">
        <f t="shared" si="8"/>
        <v>-3.2140046849512931E-11</v>
      </c>
      <c r="Z21" s="20">
        <f t="shared" si="8"/>
        <v>-525000</v>
      </c>
      <c r="AA21" s="20">
        <f t="shared" si="8"/>
        <v>4.0200183676689094E-11</v>
      </c>
      <c r="AB21" s="4"/>
      <c r="AC21" s="40">
        <f>V56*AC28+W56*AC29+X56*AC30+Y56*AC31+Z56*AC32+AA56*AC33</f>
        <v>6.1257422745431001E-13</v>
      </c>
      <c r="AD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</row>
    <row r="22" spans="1:67" x14ac:dyDescent="0.2">
      <c r="A22" s="4"/>
      <c r="B22" s="37">
        <f t="shared" si="6"/>
        <v>-656250</v>
      </c>
      <c r="C22" s="37">
        <f t="shared" si="6"/>
        <v>4.0200183676689094E-11</v>
      </c>
      <c r="D22" s="37">
        <f t="shared" si="6"/>
        <v>1750000000</v>
      </c>
      <c r="E22" s="37">
        <f t="shared" si="6"/>
        <v>656250</v>
      </c>
      <c r="F22" s="37">
        <f t="shared" si="6"/>
        <v>-4.0200183676689094E-11</v>
      </c>
      <c r="G22" s="37">
        <f>-1*$B38*G$45+$C38*G$46+$D38*G$47+$E38*G$48+$F38*G$49+$G38*G$50</f>
        <v>875000000</v>
      </c>
      <c r="H22" s="4"/>
      <c r="I22" s="40">
        <f>B56*I28+C56*I29+D56*I30+E56*I31+F56*I32+G56*I33</f>
        <v>-13333333.333333334</v>
      </c>
      <c r="J22" s="4"/>
      <c r="K22" s="4"/>
      <c r="L22" s="19">
        <f t="shared" si="7"/>
        <v>0</v>
      </c>
      <c r="M22" s="19">
        <f t="shared" si="7"/>
        <v>2333333.3333333335</v>
      </c>
      <c r="N22" s="19">
        <f t="shared" si="7"/>
        <v>9333333333.333334</v>
      </c>
      <c r="O22" s="19">
        <f t="shared" si="7"/>
        <v>0</v>
      </c>
      <c r="P22" s="19">
        <f t="shared" si="7"/>
        <v>-2333333.3333333335</v>
      </c>
      <c r="Q22" s="19">
        <f t="shared" si="7"/>
        <v>4666666666.666667</v>
      </c>
      <c r="R22" s="4"/>
      <c r="S22" s="40">
        <f>L57*S28+M57*S29+N57*S30+O57*S31+P57*S32+Q57*S33</f>
        <v>-30000000</v>
      </c>
      <c r="T22" s="4"/>
      <c r="U22" s="4"/>
      <c r="V22" s="20">
        <f t="shared" si="8"/>
        <v>-656250</v>
      </c>
      <c r="W22" s="20">
        <f t="shared" si="8"/>
        <v>4.0200183676689094E-11</v>
      </c>
      <c r="X22" s="20">
        <f t="shared" si="8"/>
        <v>1750000000</v>
      </c>
      <c r="Y22" s="20">
        <f t="shared" si="8"/>
        <v>656250</v>
      </c>
      <c r="Z22" s="20">
        <f t="shared" si="8"/>
        <v>-4.0200183676689094E-11</v>
      </c>
      <c r="AA22" s="20">
        <f>-1*$V39*G$45+$W39*G$46+$X39*G$47+$Y39*G$48+$Z39*G$49+$AA39*G$50</f>
        <v>875000000</v>
      </c>
      <c r="AB22" s="4"/>
      <c r="AC22" s="40">
        <f>V57*AC28+W57*AC29+X57*AC30+Y57*AC31+Z57*AC32+AA57*AC33</f>
        <v>6666666.666666667</v>
      </c>
      <c r="AD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</row>
    <row r="23" spans="1:67" x14ac:dyDescent="0.2">
      <c r="A23" s="4"/>
      <c r="B23" s="37">
        <f t="shared" si="6"/>
        <v>-328.125</v>
      </c>
      <c r="C23" s="37">
        <f t="shared" si="6"/>
        <v>-3.2140046849512931E-11</v>
      </c>
      <c r="D23" s="37">
        <f t="shared" si="6"/>
        <v>656250</v>
      </c>
      <c r="E23" s="37">
        <f t="shared" si="6"/>
        <v>328.125</v>
      </c>
      <c r="F23" s="37">
        <f t="shared" si="6"/>
        <v>3.2140046849512931E-11</v>
      </c>
      <c r="G23" s="37">
        <f>$B39*G$45+$C39*G$46+$D39*G$47+$E39*G$48+$F39*G$49+$G39*G$50</f>
        <v>656250</v>
      </c>
      <c r="H23" s="4"/>
      <c r="I23" s="40">
        <f>B57*I28+C57*I29+D57*I30+E57*I31+F57*I32+G57*I33</f>
        <v>20000</v>
      </c>
      <c r="J23" s="4"/>
      <c r="K23" s="4"/>
      <c r="L23" s="19">
        <f t="shared" si="7"/>
        <v>-700000</v>
      </c>
      <c r="M23" s="19">
        <f t="shared" si="7"/>
        <v>0</v>
      </c>
      <c r="N23" s="19">
        <f t="shared" si="7"/>
        <v>0</v>
      </c>
      <c r="O23" s="19">
        <f t="shared" si="7"/>
        <v>700000</v>
      </c>
      <c r="P23" s="19">
        <f t="shared" si="7"/>
        <v>0</v>
      </c>
      <c r="Q23" s="19">
        <f t="shared" si="7"/>
        <v>0</v>
      </c>
      <c r="R23" s="4"/>
      <c r="S23" s="40">
        <f>L58*S28+M58*S29+N58*S30+O58*S31+P58*S32+Q58*S33</f>
        <v>0</v>
      </c>
      <c r="T23" s="4"/>
      <c r="U23" s="4"/>
      <c r="V23" s="20">
        <f t="shared" si="8"/>
        <v>-328.125</v>
      </c>
      <c r="W23" s="20">
        <f t="shared" si="8"/>
        <v>-3.2140046849512931E-11</v>
      </c>
      <c r="X23" s="20">
        <f t="shared" si="8"/>
        <v>656250</v>
      </c>
      <c r="Y23" s="20">
        <f t="shared" si="8"/>
        <v>328.125</v>
      </c>
      <c r="Z23" s="20">
        <f t="shared" si="8"/>
        <v>3.2140046849512931E-11</v>
      </c>
      <c r="AA23" s="20">
        <f>$V40*G$45+$W40*G$46+$X40*G$47+$Y40*G$48+$Z40*G$49+$AA40*G$50</f>
        <v>656250</v>
      </c>
      <c r="AB23" s="4"/>
      <c r="AC23" s="40">
        <f>V58*AC28+W58*AC29+X58*AC30+Y58*AC31+Z58*AC32+AA58*AC33</f>
        <v>-10000</v>
      </c>
      <c r="AD23" s="4"/>
      <c r="AJ23" s="79" t="s">
        <v>38</v>
      </c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</row>
    <row r="24" spans="1:67" x14ac:dyDescent="0.2">
      <c r="A24" s="4"/>
      <c r="B24" s="37">
        <f t="shared" si="6"/>
        <v>-3.2140046849512931E-11</v>
      </c>
      <c r="C24" s="37">
        <f t="shared" si="6"/>
        <v>-525000</v>
      </c>
      <c r="D24" s="37">
        <f t="shared" si="6"/>
        <v>-4.0200183676689094E-11</v>
      </c>
      <c r="E24" s="37">
        <f t="shared" si="6"/>
        <v>3.2140046849512931E-11</v>
      </c>
      <c r="F24" s="37">
        <f t="shared" si="6"/>
        <v>525000</v>
      </c>
      <c r="G24" s="37">
        <f>$B40*G$45+$C40*G$46+$D40*G$47+$E40*G$48+$F40*G$49+$G40*G$50</f>
        <v>-4.0200183676689094E-11</v>
      </c>
      <c r="H24" s="4"/>
      <c r="I24" s="40">
        <f>B58*I28+C58*I29+D58*I30+E58*I31+F58*I32+G58*I33</f>
        <v>-1.22514845490862E-12</v>
      </c>
      <c r="J24" s="4"/>
      <c r="K24" s="4"/>
      <c r="L24" s="19">
        <f t="shared" si="7"/>
        <v>0</v>
      </c>
      <c r="M24" s="19">
        <f t="shared" si="7"/>
        <v>-777.77777777777783</v>
      </c>
      <c r="N24" s="19">
        <f t="shared" si="7"/>
        <v>-2333333.3333333335</v>
      </c>
      <c r="O24" s="19">
        <f t="shared" si="7"/>
        <v>0</v>
      </c>
      <c r="P24" s="19">
        <f t="shared" si="7"/>
        <v>777.77777777777783</v>
      </c>
      <c r="Q24" s="19">
        <f t="shared" si="7"/>
        <v>-2333333.3333333335</v>
      </c>
      <c r="R24" s="4"/>
      <c r="S24" s="40">
        <f>L59*S28+M59*S29+N59*S30+O59*S31+P59*S32+Q59*S33</f>
        <v>-30000</v>
      </c>
      <c r="T24" s="4"/>
      <c r="U24" s="4"/>
      <c r="V24" s="20">
        <f t="shared" si="8"/>
        <v>-3.2140046849512931E-11</v>
      </c>
      <c r="W24" s="20">
        <f t="shared" si="8"/>
        <v>-525000</v>
      </c>
      <c r="X24" s="20">
        <f t="shared" si="8"/>
        <v>-4.0200183676689094E-11</v>
      </c>
      <c r="Y24" s="20">
        <f t="shared" si="8"/>
        <v>3.2140046849512931E-11</v>
      </c>
      <c r="Z24" s="20">
        <f t="shared" si="8"/>
        <v>525000</v>
      </c>
      <c r="AA24" s="20">
        <f>$V41*G$45+$W41*G$46+$X41*G$47+$Y41*G$48+$Z41*G$49+$AA41*G$50</f>
        <v>-4.0200183676689094E-11</v>
      </c>
      <c r="AB24" s="4"/>
      <c r="AC24" s="40">
        <f>V59*AC28+W59*AC29+X59*AC30+Y59*AC31+Z59*AC32+AA59*AC33</f>
        <v>6.1257422745431001E-13</v>
      </c>
      <c r="AD24" s="4"/>
      <c r="AJ24" s="78"/>
      <c r="AK24" s="78">
        <v>1</v>
      </c>
      <c r="AL24" s="78">
        <v>2</v>
      </c>
      <c r="AM24" s="78">
        <v>3</v>
      </c>
      <c r="AN24" s="78">
        <v>4</v>
      </c>
      <c r="AO24" s="78">
        <v>5</v>
      </c>
      <c r="AP24" s="78">
        <v>6</v>
      </c>
      <c r="AQ24" s="78">
        <v>7</v>
      </c>
      <c r="AR24" s="78">
        <v>8</v>
      </c>
      <c r="AS24" s="78">
        <v>9</v>
      </c>
      <c r="AT24" s="78">
        <v>10</v>
      </c>
      <c r="AU24" s="78">
        <v>11</v>
      </c>
      <c r="AV24" s="78">
        <v>12</v>
      </c>
      <c r="AW24" s="78">
        <v>13</v>
      </c>
      <c r="AX24" s="78">
        <v>14</v>
      </c>
      <c r="AY24" s="4"/>
    </row>
    <row r="25" spans="1:67" x14ac:dyDescent="0.2">
      <c r="A25" s="4"/>
      <c r="B25" s="37">
        <f t="shared" si="6"/>
        <v>-656250</v>
      </c>
      <c r="C25" s="37">
        <f t="shared" si="6"/>
        <v>4.0200183676689094E-11</v>
      </c>
      <c r="D25" s="37">
        <f t="shared" si="6"/>
        <v>875000000</v>
      </c>
      <c r="E25" s="37">
        <f t="shared" si="6"/>
        <v>656250</v>
      </c>
      <c r="F25" s="37">
        <f t="shared" si="6"/>
        <v>-4.0200183676689094E-11</v>
      </c>
      <c r="G25" s="37">
        <f>$B41*G$45+$C41*G$46+$D41*G$47+$E41*G$48+$F41*G$49+$G41*G$50</f>
        <v>1750000000</v>
      </c>
      <c r="H25" s="4"/>
      <c r="I25" s="40">
        <f>B59*I28+C59*I29+D59*I30+E59*I31+F59*I32+G59*I33</f>
        <v>13333333.333333334</v>
      </c>
      <c r="J25" s="4"/>
      <c r="K25" s="82"/>
      <c r="L25" s="19">
        <f t="shared" si="7"/>
        <v>0</v>
      </c>
      <c r="M25" s="19">
        <f t="shared" si="7"/>
        <v>2333333.3333333335</v>
      </c>
      <c r="N25" s="19">
        <f t="shared" si="7"/>
        <v>4666666666.666667</v>
      </c>
      <c r="O25" s="19">
        <f t="shared" si="7"/>
        <v>0</v>
      </c>
      <c r="P25" s="19">
        <f t="shared" si="7"/>
        <v>-2333333.3333333335</v>
      </c>
      <c r="Q25" s="19">
        <f t="shared" si="7"/>
        <v>9333333333.333334</v>
      </c>
      <c r="R25" s="4"/>
      <c r="S25" s="40">
        <f>L60*S28+M60*S29+N60*S30+O60*S31+P60*S32+Q60*S33</f>
        <v>30000000</v>
      </c>
      <c r="T25" s="4"/>
      <c r="U25" s="82"/>
      <c r="V25" s="20">
        <f t="shared" si="8"/>
        <v>-656250</v>
      </c>
      <c r="W25" s="20">
        <f t="shared" si="8"/>
        <v>4.0200183676689094E-11</v>
      </c>
      <c r="X25" s="20">
        <f t="shared" si="8"/>
        <v>875000000</v>
      </c>
      <c r="Y25" s="20">
        <f t="shared" si="8"/>
        <v>656250</v>
      </c>
      <c r="Z25" s="20">
        <f t="shared" si="8"/>
        <v>-4.0200183676689094E-11</v>
      </c>
      <c r="AA25" s="20">
        <f>$V42*G$45+$W42*G$46+$X42*G$47+$Y42*G$48+$Z42*G$49+$AA42*G$50</f>
        <v>1750000000</v>
      </c>
      <c r="AB25" s="4"/>
      <c r="AC25" s="40">
        <f>V60*AC28+W60*AC29+X60*AC30+Y60*AC31+Z60*AC32+AA60*AC33</f>
        <v>-6666666.666666667</v>
      </c>
      <c r="AD25" s="4"/>
      <c r="AE25" s="115"/>
      <c r="AJ25" s="78">
        <v>1</v>
      </c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69"/>
      <c r="AY25" s="4"/>
    </row>
    <row r="26" spans="1:67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82"/>
      <c r="T26" s="4"/>
      <c r="U26" s="82"/>
      <c r="V26" s="4"/>
      <c r="W26" s="4"/>
      <c r="X26" s="4"/>
      <c r="Y26" s="4"/>
      <c r="Z26" s="4"/>
      <c r="AA26" s="4"/>
      <c r="AB26" s="4"/>
      <c r="AC26" s="82"/>
      <c r="AD26" s="4"/>
      <c r="AE26" s="115"/>
      <c r="AJ26" s="78">
        <v>2</v>
      </c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69"/>
      <c r="AY26" s="4"/>
    </row>
    <row r="27" spans="1:67" x14ac:dyDescent="0.2">
      <c r="A27" s="4"/>
      <c r="B27" s="79" t="s">
        <v>27</v>
      </c>
      <c r="C27" s="4"/>
      <c r="D27" s="4"/>
      <c r="E27" s="4"/>
      <c r="F27" s="4"/>
      <c r="G27" s="4"/>
      <c r="H27" s="4"/>
      <c r="I27" s="82" t="s">
        <v>31</v>
      </c>
      <c r="J27" s="4"/>
      <c r="K27" s="4"/>
      <c r="L27" s="79" t="s">
        <v>27</v>
      </c>
      <c r="M27" s="4"/>
      <c r="N27" s="4"/>
      <c r="O27" s="4"/>
      <c r="P27" s="4"/>
      <c r="Q27" s="4"/>
      <c r="R27" s="4"/>
      <c r="S27" s="82" t="s">
        <v>31</v>
      </c>
      <c r="T27" s="4"/>
      <c r="U27" s="4"/>
      <c r="V27" s="79" t="s">
        <v>27</v>
      </c>
      <c r="W27" s="4"/>
      <c r="X27" s="4"/>
      <c r="Y27" s="4"/>
      <c r="Z27" s="4"/>
      <c r="AA27" s="4"/>
      <c r="AB27" s="4"/>
      <c r="AC27" s="82" t="s">
        <v>31</v>
      </c>
      <c r="AD27" s="4"/>
      <c r="AJ27" s="78">
        <v>3</v>
      </c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69"/>
      <c r="AY27" s="4"/>
    </row>
    <row r="28" spans="1:67" x14ac:dyDescent="0.2">
      <c r="A28" s="4"/>
      <c r="B28" s="38">
        <f>$E$10/E6</f>
        <v>525000</v>
      </c>
      <c r="C28" s="39">
        <v>0</v>
      </c>
      <c r="D28" s="39">
        <v>0</v>
      </c>
      <c r="E28" s="38">
        <f>-$E$10/E6</f>
        <v>-525000</v>
      </c>
      <c r="F28" s="39">
        <v>0</v>
      </c>
      <c r="G28" s="39">
        <v>0</v>
      </c>
      <c r="H28" s="4"/>
      <c r="I28" s="38">
        <f>E6/2*E14</f>
        <v>0</v>
      </c>
      <c r="J28" s="4"/>
      <c r="K28" s="4"/>
      <c r="L28" s="38">
        <f>$O$10/O6</f>
        <v>700000</v>
      </c>
      <c r="M28" s="39">
        <v>0</v>
      </c>
      <c r="N28" s="39">
        <v>0</v>
      </c>
      <c r="O28" s="38">
        <f>-$O$10/O6</f>
        <v>-700000</v>
      </c>
      <c r="P28" s="39">
        <v>0</v>
      </c>
      <c r="Q28" s="39">
        <v>0</v>
      </c>
      <c r="R28" s="4"/>
      <c r="S28" s="41">
        <v>0</v>
      </c>
      <c r="T28" s="4"/>
      <c r="U28" s="4"/>
      <c r="V28" s="38">
        <f>$E$10/Y6</f>
        <v>525000</v>
      </c>
      <c r="W28" s="39">
        <v>0</v>
      </c>
      <c r="X28" s="39">
        <v>0</v>
      </c>
      <c r="Y28" s="38">
        <f>-$E$10/Y6</f>
        <v>-525000</v>
      </c>
      <c r="Z28" s="39">
        <v>0</v>
      </c>
      <c r="AA28" s="39">
        <v>0</v>
      </c>
      <c r="AB28" s="4"/>
      <c r="AC28" s="38">
        <f>-Y6/2*Y14</f>
        <v>0</v>
      </c>
      <c r="AD28" s="4"/>
      <c r="AJ28" s="78">
        <v>4</v>
      </c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69"/>
      <c r="AY28" s="4"/>
    </row>
    <row r="29" spans="1:67" x14ac:dyDescent="0.2">
      <c r="A29" s="4"/>
      <c r="B29" s="39">
        <v>0</v>
      </c>
      <c r="C29" s="38">
        <f>(12*$E$11)/$E$6^3</f>
        <v>328.125</v>
      </c>
      <c r="D29" s="38">
        <f>(6*$E$11)/$E$6^2</f>
        <v>656250</v>
      </c>
      <c r="E29" s="39">
        <v>0</v>
      </c>
      <c r="F29" s="38">
        <f>-(12*$E$11)/$E$6^3</f>
        <v>-328.125</v>
      </c>
      <c r="G29" s="38">
        <f>(6*$E$11)/$E$6^2</f>
        <v>656250</v>
      </c>
      <c r="H29" s="4"/>
      <c r="I29" s="38">
        <f>-E6/2*E15</f>
        <v>-20000</v>
      </c>
      <c r="J29" s="4"/>
      <c r="K29" s="4"/>
      <c r="L29" s="39">
        <v>0</v>
      </c>
      <c r="M29" s="38">
        <f>(12*$O$11)/$O$6^3</f>
        <v>777.77777777777783</v>
      </c>
      <c r="N29" s="38">
        <f>(6*$O$11)/$O$6^2</f>
        <v>2333333.3333333335</v>
      </c>
      <c r="O29" s="39">
        <v>0</v>
      </c>
      <c r="P29" s="38">
        <f>-(12*$O$11)/$O$6^3</f>
        <v>-777.77777777777783</v>
      </c>
      <c r="Q29" s="38">
        <f>(6*$O$11)/$O$6^2</f>
        <v>2333333.3333333335</v>
      </c>
      <c r="R29" s="4"/>
      <c r="S29" s="38">
        <f>-O6/2*(O14+O15)</f>
        <v>-30000</v>
      </c>
      <c r="T29" s="4"/>
      <c r="U29" s="4"/>
      <c r="V29" s="39">
        <v>0</v>
      </c>
      <c r="W29" s="38">
        <f>(12*$E$11)/$E$6^3</f>
        <v>328.125</v>
      </c>
      <c r="X29" s="38">
        <f>(6*$E$11)/$E$6^2</f>
        <v>656250</v>
      </c>
      <c r="Y29" s="39">
        <v>0</v>
      </c>
      <c r="Z29" s="38">
        <f>-(12*$E$11)/$E$6^3</f>
        <v>-328.125</v>
      </c>
      <c r="AA29" s="38">
        <f>(6*$E$11)/$E$6^2</f>
        <v>656250</v>
      </c>
      <c r="AB29" s="4"/>
      <c r="AC29" s="38">
        <f>-Y6/2*Y15</f>
        <v>10000</v>
      </c>
      <c r="AD29" s="4"/>
      <c r="AJ29" s="78">
        <v>5</v>
      </c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69"/>
      <c r="AY29" s="82"/>
    </row>
    <row r="30" spans="1:67" x14ac:dyDescent="0.2">
      <c r="A30" s="4"/>
      <c r="B30" s="39">
        <v>0</v>
      </c>
      <c r="C30" s="38">
        <f>(6*$E$11)/$E$6^2</f>
        <v>656250</v>
      </c>
      <c r="D30" s="38">
        <f>4*$E$11/$E$6</f>
        <v>1750000000</v>
      </c>
      <c r="E30" s="39">
        <v>0</v>
      </c>
      <c r="F30" s="38">
        <f>-(6*$E$11)/$E$6^2</f>
        <v>-656250</v>
      </c>
      <c r="G30" s="38">
        <f>2*$E$11/$E$6</f>
        <v>875000000</v>
      </c>
      <c r="H30" s="4"/>
      <c r="I30" s="38">
        <f>-1*(E15*E6^2)/12</f>
        <v>-13333333.333333334</v>
      </c>
      <c r="J30" s="4"/>
      <c r="K30" s="4"/>
      <c r="L30" s="39">
        <v>0</v>
      </c>
      <c r="M30" s="38">
        <f>(6*$O$11)/$O$6^2</f>
        <v>2333333.3333333335</v>
      </c>
      <c r="N30" s="38">
        <f>4*$O$11/$O$6</f>
        <v>9333333333.333334</v>
      </c>
      <c r="O30" s="39">
        <v>0</v>
      </c>
      <c r="P30" s="38">
        <f>-(6*$O$11)/$O$6^2</f>
        <v>-2333333.3333333335</v>
      </c>
      <c r="Q30" s="38">
        <f>2*$O$11/$O$6</f>
        <v>4666666666.666667</v>
      </c>
      <c r="R30" s="4"/>
      <c r="S30" s="38">
        <f>-1*((O14+O15)*O6^2)/12</f>
        <v>-30000000</v>
      </c>
      <c r="T30" s="4"/>
      <c r="U30" s="4"/>
      <c r="V30" s="39">
        <v>0</v>
      </c>
      <c r="W30" s="38">
        <f>(6*$E$11)/$E$6^2</f>
        <v>656250</v>
      </c>
      <c r="X30" s="38">
        <f>4*$E$11/$E$6</f>
        <v>1750000000</v>
      </c>
      <c r="Y30" s="39">
        <v>0</v>
      </c>
      <c r="Z30" s="38">
        <f>-(6*$E$11)/$E$6^2</f>
        <v>-656250</v>
      </c>
      <c r="AA30" s="38">
        <f>2*$E$11/$E$6</f>
        <v>875000000</v>
      </c>
      <c r="AB30" s="4"/>
      <c r="AC30" s="38">
        <f>-1*(Y15*Y6^2)/12</f>
        <v>6666666.666666667</v>
      </c>
      <c r="AD30" s="4"/>
      <c r="AJ30" s="78">
        <v>6</v>
      </c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69"/>
      <c r="AY30" s="82"/>
    </row>
    <row r="31" spans="1:67" x14ac:dyDescent="0.2">
      <c r="A31" s="4"/>
      <c r="B31" s="38">
        <f>-$E$10/E6</f>
        <v>-525000</v>
      </c>
      <c r="C31" s="39">
        <v>0</v>
      </c>
      <c r="D31" s="39">
        <v>0</v>
      </c>
      <c r="E31" s="38">
        <f>$E$10/E6</f>
        <v>525000</v>
      </c>
      <c r="F31" s="39">
        <v>0</v>
      </c>
      <c r="G31" s="39">
        <v>0</v>
      </c>
      <c r="H31" s="4"/>
      <c r="I31" s="38">
        <f>E6/2*E14</f>
        <v>0</v>
      </c>
      <c r="J31" s="4"/>
      <c r="K31" s="4"/>
      <c r="L31" s="38">
        <f>-$O$10/O6</f>
        <v>-700000</v>
      </c>
      <c r="M31" s="39">
        <v>0</v>
      </c>
      <c r="N31" s="39">
        <v>0</v>
      </c>
      <c r="O31" s="38">
        <f>$O$10/O6</f>
        <v>700000</v>
      </c>
      <c r="P31" s="39">
        <v>0</v>
      </c>
      <c r="Q31" s="39">
        <v>0</v>
      </c>
      <c r="R31" s="4"/>
      <c r="S31" s="41">
        <v>0</v>
      </c>
      <c r="T31" s="4"/>
      <c r="U31" s="4"/>
      <c r="V31" s="38">
        <f>-$E$10/Y6</f>
        <v>-525000</v>
      </c>
      <c r="W31" s="39">
        <v>0</v>
      </c>
      <c r="X31" s="39">
        <v>0</v>
      </c>
      <c r="Y31" s="38">
        <f>$E$10/Y6</f>
        <v>525000</v>
      </c>
      <c r="Z31" s="39">
        <v>0</v>
      </c>
      <c r="AA31" s="39">
        <v>0</v>
      </c>
      <c r="AB31" s="4"/>
      <c r="AC31" s="38">
        <f>-Y6/2*Y14</f>
        <v>0</v>
      </c>
      <c r="AD31" s="4"/>
      <c r="AJ31" s="78">
        <v>7</v>
      </c>
      <c r="AK31" s="4"/>
      <c r="AL31" s="4"/>
      <c r="AM31" s="4"/>
      <c r="AN31" s="4"/>
      <c r="AO31" s="4"/>
      <c r="AP31" s="4"/>
      <c r="AQ31" s="17">
        <f>IF(ABS(V20)&lt;0.1,"",V20)</f>
        <v>328.125</v>
      </c>
      <c r="AR31" s="17">
        <f t="shared" ref="AR31:AU31" si="9">W20</f>
        <v>3.2140046849512931E-11</v>
      </c>
      <c r="AS31" s="17">
        <f t="shared" si="9"/>
        <v>-656250</v>
      </c>
      <c r="AT31" s="17">
        <f t="shared" si="9"/>
        <v>-328.125</v>
      </c>
      <c r="AU31" s="17">
        <f t="shared" si="9"/>
        <v>-3.2140046849512931E-11</v>
      </c>
      <c r="AV31" s="4"/>
      <c r="AW31" s="4"/>
      <c r="AX31" s="75">
        <f>AA20</f>
        <v>-656250</v>
      </c>
      <c r="AY31" s="8" cm="1">
        <f t="array" ref="AY31:AY35">AC20:AC24</f>
        <v>-10000</v>
      </c>
    </row>
    <row r="32" spans="1:67" x14ac:dyDescent="0.2">
      <c r="A32" s="4"/>
      <c r="B32" s="39">
        <v>0</v>
      </c>
      <c r="C32" s="38">
        <f>-(12*$E$11)/$E$6^3</f>
        <v>-328.125</v>
      </c>
      <c r="D32" s="38">
        <f>-(6*$E$11)/$E$6^2</f>
        <v>-656250</v>
      </c>
      <c r="E32" s="39">
        <v>0</v>
      </c>
      <c r="F32" s="38">
        <f>(12*$E$11)/$E$6^3</f>
        <v>328.125</v>
      </c>
      <c r="G32" s="38">
        <f>-(6*$E$11)/$E$6^2</f>
        <v>-656250</v>
      </c>
      <c r="H32" s="4"/>
      <c r="I32" s="38">
        <f>-E6/2*E15</f>
        <v>-20000</v>
      </c>
      <c r="J32" s="4"/>
      <c r="K32" s="4"/>
      <c r="L32" s="39">
        <v>0</v>
      </c>
      <c r="M32" s="38">
        <f>-(12*$O$11)/$O$6^3</f>
        <v>-777.77777777777783</v>
      </c>
      <c r="N32" s="38">
        <f>-(6*$O$11)/$O$6^2</f>
        <v>-2333333.3333333335</v>
      </c>
      <c r="O32" s="39">
        <v>0</v>
      </c>
      <c r="P32" s="38">
        <f>(12*$O$11)/$O$6^3</f>
        <v>777.77777777777783</v>
      </c>
      <c r="Q32" s="38">
        <f>-(6*$O$11)/$O$6^2</f>
        <v>-2333333.3333333335</v>
      </c>
      <c r="R32" s="82"/>
      <c r="S32" s="38">
        <f>-O6/2*(O14+O15)</f>
        <v>-30000</v>
      </c>
      <c r="T32" s="4"/>
      <c r="U32" s="4"/>
      <c r="V32" s="39">
        <v>0</v>
      </c>
      <c r="W32" s="38">
        <f>-(12*$E$11)/$E$6^3</f>
        <v>-328.125</v>
      </c>
      <c r="X32" s="38">
        <f>-(6*$E$11)/$E$6^2</f>
        <v>-656250</v>
      </c>
      <c r="Y32" s="39">
        <v>0</v>
      </c>
      <c r="Z32" s="38">
        <f>(12*$E$11)/$E$6^3</f>
        <v>328.125</v>
      </c>
      <c r="AA32" s="38">
        <f>-(6*$E$11)/$E$6^2</f>
        <v>-656250</v>
      </c>
      <c r="AB32" s="4"/>
      <c r="AC32" s="38">
        <f>-Y6/2*Y15</f>
        <v>10000</v>
      </c>
      <c r="AD32" s="4"/>
      <c r="AJ32" s="78">
        <v>8</v>
      </c>
      <c r="AK32" s="4"/>
      <c r="AL32" s="4"/>
      <c r="AM32" s="4"/>
      <c r="AN32" s="4"/>
      <c r="AO32" s="4"/>
      <c r="AP32" s="4"/>
      <c r="AQ32" s="17">
        <f t="shared" ref="AQ32:AU35" si="10">V21</f>
        <v>3.2140046849512931E-11</v>
      </c>
      <c r="AR32" s="17">
        <f t="shared" si="10"/>
        <v>525000</v>
      </c>
      <c r="AS32" s="17">
        <f t="shared" si="10"/>
        <v>4.0200183676689094E-11</v>
      </c>
      <c r="AT32" s="17">
        <f t="shared" si="10"/>
        <v>-3.2140046849512931E-11</v>
      </c>
      <c r="AU32" s="17">
        <f t="shared" si="10"/>
        <v>-525000</v>
      </c>
      <c r="AV32" s="4"/>
      <c r="AW32" s="4"/>
      <c r="AX32" s="75">
        <f>AA21</f>
        <v>4.0200183676689094E-11</v>
      </c>
      <c r="AY32" s="10">
        <v>6.1257422745431001E-13</v>
      </c>
    </row>
    <row r="33" spans="1:83" x14ac:dyDescent="0.2">
      <c r="A33" s="4"/>
      <c r="B33" s="39">
        <v>0</v>
      </c>
      <c r="C33" s="38">
        <f>(6*$E$11)/$E$6^2</f>
        <v>656250</v>
      </c>
      <c r="D33" s="38">
        <f>2*$E$11/$E$6</f>
        <v>875000000</v>
      </c>
      <c r="E33" s="39">
        <v>0</v>
      </c>
      <c r="F33" s="38">
        <f>-(6*$E$11)/$E$6^2</f>
        <v>-656250</v>
      </c>
      <c r="G33" s="38">
        <f>4*$E$11/$E$6</f>
        <v>1750000000</v>
      </c>
      <c r="H33" s="4"/>
      <c r="I33" s="38">
        <f>1*(E15*E6^2)/12</f>
        <v>13333333.333333334</v>
      </c>
      <c r="J33" s="4"/>
      <c r="K33" s="4"/>
      <c r="L33" s="39">
        <v>0</v>
      </c>
      <c r="M33" s="38">
        <f>(6*$O$11)/$O$6^2</f>
        <v>2333333.3333333335</v>
      </c>
      <c r="N33" s="38">
        <f>2*$O$11/$O$6</f>
        <v>4666666666.666667</v>
      </c>
      <c r="O33" s="39">
        <v>0</v>
      </c>
      <c r="P33" s="38">
        <f>-(6*$O$11)/$O$6^2</f>
        <v>-2333333.3333333335</v>
      </c>
      <c r="Q33" s="38">
        <f>4*$O$11/$O$6</f>
        <v>9333333333.333334</v>
      </c>
      <c r="R33" s="4"/>
      <c r="S33" s="38">
        <f>1*((O14+O15)*O6^2)/12</f>
        <v>30000000</v>
      </c>
      <c r="T33" s="4"/>
      <c r="U33" s="4"/>
      <c r="V33" s="39">
        <v>0</v>
      </c>
      <c r="W33" s="38">
        <f>(6*$E$11)/$E$6^2</f>
        <v>656250</v>
      </c>
      <c r="X33" s="38">
        <f>2*$E$11/$E$6</f>
        <v>875000000</v>
      </c>
      <c r="Y33" s="39">
        <v>0</v>
      </c>
      <c r="Z33" s="38">
        <f>-(6*$E$11)/$E$6^2</f>
        <v>-656250</v>
      </c>
      <c r="AA33" s="38">
        <f>4*$E$11/$E$6</f>
        <v>1750000000</v>
      </c>
      <c r="AB33" s="4"/>
      <c r="AC33" s="38">
        <f>1*(Y15*Y6^2)/12</f>
        <v>-6666666.666666667</v>
      </c>
      <c r="AD33" s="4"/>
      <c r="AJ33" s="78">
        <v>9</v>
      </c>
      <c r="AK33" s="4"/>
      <c r="AL33" s="4"/>
      <c r="AM33" s="4"/>
      <c r="AN33" s="4"/>
      <c r="AO33" s="4"/>
      <c r="AP33" s="4"/>
      <c r="AQ33" s="17">
        <f t="shared" si="10"/>
        <v>-656250</v>
      </c>
      <c r="AR33" s="17">
        <f t="shared" si="10"/>
        <v>4.0200183676689094E-11</v>
      </c>
      <c r="AS33" s="17">
        <f t="shared" si="10"/>
        <v>1750000000</v>
      </c>
      <c r="AT33" s="17">
        <f t="shared" si="10"/>
        <v>656250</v>
      </c>
      <c r="AU33" s="17">
        <f t="shared" si="10"/>
        <v>-4.0200183676689094E-11</v>
      </c>
      <c r="AV33" s="4"/>
      <c r="AW33" s="4"/>
      <c r="AX33" s="75">
        <f>AA22</f>
        <v>875000000</v>
      </c>
      <c r="AY33" s="8">
        <v>6666666.666666667</v>
      </c>
    </row>
    <row r="34" spans="1:83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J34" s="78">
        <v>10</v>
      </c>
      <c r="AK34" s="4"/>
      <c r="AL34" s="4"/>
      <c r="AM34" s="4"/>
      <c r="AN34" s="4"/>
      <c r="AO34" s="4"/>
      <c r="AP34" s="4"/>
      <c r="AQ34" s="17">
        <f t="shared" si="10"/>
        <v>-328.125</v>
      </c>
      <c r="AR34" s="17">
        <f t="shared" si="10"/>
        <v>-3.2140046849512931E-11</v>
      </c>
      <c r="AS34" s="17">
        <f t="shared" si="10"/>
        <v>656250</v>
      </c>
      <c r="AT34" s="17">
        <f t="shared" si="10"/>
        <v>328.125</v>
      </c>
      <c r="AU34" s="17">
        <f t="shared" si="10"/>
        <v>3.2140046849512931E-11</v>
      </c>
      <c r="AV34" s="4"/>
      <c r="AW34" s="4"/>
      <c r="AX34" s="75">
        <f>AA23</f>
        <v>656250</v>
      </c>
      <c r="AY34" s="8">
        <v>-10000</v>
      </c>
    </row>
    <row r="35" spans="1:83" x14ac:dyDescent="0.2">
      <c r="A35" s="4"/>
      <c r="B35" s="79" t="s">
        <v>28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J35" s="78">
        <v>11</v>
      </c>
      <c r="AK35" s="4"/>
      <c r="AL35" s="4"/>
      <c r="AM35" s="4"/>
      <c r="AN35" s="4"/>
      <c r="AO35" s="4"/>
      <c r="AP35" s="4"/>
      <c r="AQ35" s="17">
        <f t="shared" si="10"/>
        <v>-3.2140046849512931E-11</v>
      </c>
      <c r="AR35" s="17">
        <f t="shared" si="10"/>
        <v>-525000</v>
      </c>
      <c r="AS35" s="17">
        <f t="shared" si="10"/>
        <v>-4.0200183676689094E-11</v>
      </c>
      <c r="AT35" s="17">
        <f t="shared" si="10"/>
        <v>3.2140046849512931E-11</v>
      </c>
      <c r="AU35" s="17">
        <f t="shared" si="10"/>
        <v>525000</v>
      </c>
      <c r="AV35" s="4"/>
      <c r="AW35" s="4"/>
      <c r="AX35" s="75">
        <f>AA24</f>
        <v>-4.0200183676689094E-11</v>
      </c>
      <c r="AY35" s="10">
        <v>6.1257422745431001E-13</v>
      </c>
    </row>
    <row r="36" spans="1:83" x14ac:dyDescent="0.2">
      <c r="A36" s="4"/>
      <c r="B36" s="38">
        <f t="shared" ref="B36:G36" si="11">$B54*B28+$C54*B29+$D54*B30+$E54*B31+$F54*B32+$G54*B33</f>
        <v>3.2160146941351275E-11</v>
      </c>
      <c r="C36" s="38">
        <f t="shared" si="11"/>
        <v>-328.125</v>
      </c>
      <c r="D36" s="38">
        <f t="shared" si="11"/>
        <v>-656250</v>
      </c>
      <c r="E36" s="38">
        <f t="shared" si="11"/>
        <v>-3.2160146941351275E-11</v>
      </c>
      <c r="F36" s="38">
        <f t="shared" si="11"/>
        <v>328.125</v>
      </c>
      <c r="G36" s="38">
        <f t="shared" si="11"/>
        <v>-656250</v>
      </c>
      <c r="H36" s="4"/>
      <c r="I36" s="4"/>
      <c r="J36" s="4"/>
      <c r="K36" s="4"/>
      <c r="L36" s="79" t="s">
        <v>28</v>
      </c>
      <c r="M36" s="4"/>
      <c r="N36" s="4"/>
      <c r="O36" s="4"/>
      <c r="P36" s="4"/>
      <c r="Q36" s="4"/>
      <c r="R36" s="4"/>
      <c r="S36" s="4"/>
      <c r="T36" s="4"/>
      <c r="U36" s="4"/>
      <c r="V36" s="79" t="s">
        <v>28</v>
      </c>
      <c r="W36" s="4"/>
      <c r="X36" s="4"/>
      <c r="Y36" s="4"/>
      <c r="Z36" s="4"/>
      <c r="AA36" s="4"/>
      <c r="AB36" s="4"/>
      <c r="AC36" s="4"/>
      <c r="AD36" s="4"/>
      <c r="AJ36" s="78">
        <v>12</v>
      </c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69"/>
      <c r="AY36" s="8"/>
    </row>
    <row r="37" spans="1:83" x14ac:dyDescent="0.2">
      <c r="A37" s="4"/>
      <c r="B37" s="38">
        <f t="shared" ref="B37:G37" si="12">$B55*B28+$C55*B29+$D55*B30+$E55*B31+$F55*B32+$G55*B33</f>
        <v>525000</v>
      </c>
      <c r="C37" s="38">
        <f t="shared" si="12"/>
        <v>2.0100091838344547E-14</v>
      </c>
      <c r="D37" s="38">
        <f t="shared" si="12"/>
        <v>4.0200183676689094E-11</v>
      </c>
      <c r="E37" s="38">
        <f t="shared" si="12"/>
        <v>-525000</v>
      </c>
      <c r="F37" s="38">
        <f t="shared" si="12"/>
        <v>-2.0100091838344547E-14</v>
      </c>
      <c r="G37" s="38">
        <f t="shared" si="12"/>
        <v>4.0200183676689094E-11</v>
      </c>
      <c r="H37" s="4"/>
      <c r="I37" s="4"/>
      <c r="J37" s="4"/>
      <c r="K37" s="4"/>
      <c r="L37" s="38">
        <f t="shared" ref="L37:Q42" si="13">$L55*L$28+$M55*L$29+$N55*L$30+$O55*L$31+$P55*L$32+$Q55*L$33</f>
        <v>700000</v>
      </c>
      <c r="M37" s="38">
        <f t="shared" si="13"/>
        <v>0</v>
      </c>
      <c r="N37" s="38">
        <f t="shared" si="13"/>
        <v>0</v>
      </c>
      <c r="O37" s="38">
        <f t="shared" si="13"/>
        <v>-700000</v>
      </c>
      <c r="P37" s="38">
        <f t="shared" si="13"/>
        <v>0</v>
      </c>
      <c r="Q37" s="38">
        <f t="shared" si="13"/>
        <v>0</v>
      </c>
      <c r="R37" s="4"/>
      <c r="S37" s="4"/>
      <c r="T37" s="4"/>
      <c r="U37" s="4"/>
      <c r="V37" s="38">
        <f t="shared" ref="V37:AA37" si="14">$V55*V28+$W55*V29+$X55*V30+$Y55*V31+$Z55*V32+$AA55*V33</f>
        <v>3.2160146941351275E-11</v>
      </c>
      <c r="W37" s="38">
        <f t="shared" si="14"/>
        <v>-328.125</v>
      </c>
      <c r="X37" s="38">
        <f t="shared" si="14"/>
        <v>-656250</v>
      </c>
      <c r="Y37" s="38">
        <f t="shared" si="14"/>
        <v>-3.2160146941351275E-11</v>
      </c>
      <c r="Z37" s="38">
        <f t="shared" si="14"/>
        <v>328.125</v>
      </c>
      <c r="AA37" s="38">
        <f t="shared" si="14"/>
        <v>-656250</v>
      </c>
      <c r="AB37" s="4"/>
      <c r="AC37" s="4"/>
      <c r="AD37" s="4"/>
      <c r="AJ37" s="78">
        <v>13</v>
      </c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69"/>
      <c r="AY37" s="4"/>
    </row>
    <row r="38" spans="1:83" x14ac:dyDescent="0.2">
      <c r="A38" s="4"/>
      <c r="B38" s="38">
        <f t="shared" ref="B38:G38" si="15">$B56*B28+$C56*B29+$D56*B30+$E56*B31+$F56*B32+$G56*B33</f>
        <v>0</v>
      </c>
      <c r="C38" s="38">
        <f t="shared" si="15"/>
        <v>656250</v>
      </c>
      <c r="D38" s="38">
        <f t="shared" si="15"/>
        <v>1750000000</v>
      </c>
      <c r="E38" s="38">
        <f t="shared" si="15"/>
        <v>0</v>
      </c>
      <c r="F38" s="38">
        <f t="shared" si="15"/>
        <v>-656250</v>
      </c>
      <c r="G38" s="38">
        <f t="shared" si="15"/>
        <v>875000000</v>
      </c>
      <c r="H38" s="4"/>
      <c r="I38" s="4"/>
      <c r="J38" s="4"/>
      <c r="K38" s="4"/>
      <c r="L38" s="38">
        <f t="shared" si="13"/>
        <v>0</v>
      </c>
      <c r="M38" s="38">
        <f t="shared" si="13"/>
        <v>777.77777777777783</v>
      </c>
      <c r="N38" s="38">
        <f t="shared" si="13"/>
        <v>2333333.3333333335</v>
      </c>
      <c r="O38" s="38">
        <f t="shared" si="13"/>
        <v>0</v>
      </c>
      <c r="P38" s="38">
        <f t="shared" si="13"/>
        <v>-777.77777777777783</v>
      </c>
      <c r="Q38" s="38">
        <f t="shared" si="13"/>
        <v>2333333.3333333335</v>
      </c>
      <c r="R38" s="4"/>
      <c r="S38" s="4"/>
      <c r="T38" s="4"/>
      <c r="U38" s="4"/>
      <c r="V38" s="38">
        <f t="shared" ref="V38:AA38" si="16">$V56*V28+$W56*V29+$X56*V30+$Y56*V31+$Z56*V32+$AA56*V33</f>
        <v>525000</v>
      </c>
      <c r="W38" s="38">
        <f t="shared" si="16"/>
        <v>2.0100091838344547E-14</v>
      </c>
      <c r="X38" s="38">
        <f t="shared" si="16"/>
        <v>4.0200183676689094E-11</v>
      </c>
      <c r="Y38" s="38">
        <f t="shared" si="16"/>
        <v>-525000</v>
      </c>
      <c r="Z38" s="38">
        <f t="shared" si="16"/>
        <v>-2.0100091838344547E-14</v>
      </c>
      <c r="AA38" s="38">
        <f t="shared" si="16"/>
        <v>4.0200183676689094E-11</v>
      </c>
      <c r="AB38" s="4"/>
      <c r="AC38" s="4"/>
      <c r="AD38" s="4"/>
      <c r="AJ38" s="78">
        <v>14</v>
      </c>
      <c r="AK38" s="70"/>
      <c r="AL38" s="70"/>
      <c r="AM38" s="70"/>
      <c r="AN38" s="70"/>
      <c r="AO38" s="70"/>
      <c r="AP38" s="70"/>
      <c r="AQ38" s="76">
        <f>V25</f>
        <v>-656250</v>
      </c>
      <c r="AR38" s="76">
        <f>W25</f>
        <v>4.0200183676689094E-11</v>
      </c>
      <c r="AS38" s="76">
        <f>X25</f>
        <v>875000000</v>
      </c>
      <c r="AT38" s="76">
        <f>Y25</f>
        <v>656250</v>
      </c>
      <c r="AU38" s="76">
        <f>Z25</f>
        <v>-4.0200183676689094E-11</v>
      </c>
      <c r="AV38" s="70"/>
      <c r="AW38" s="70"/>
      <c r="AX38" s="77">
        <f>AA25</f>
        <v>1750000000</v>
      </c>
      <c r="AY38" s="7">
        <f>AC25</f>
        <v>-6666666.666666667</v>
      </c>
    </row>
    <row r="39" spans="1:83" x14ac:dyDescent="0.2">
      <c r="A39" s="4"/>
      <c r="B39" s="38">
        <f t="shared" ref="B39:G41" si="17">$B57*B$28+$C57*B$29+$D57*B$30+$E57*B$31+$F57*B$32+$G57*B$33</f>
        <v>-3.2160146941351275E-11</v>
      </c>
      <c r="C39" s="38">
        <f t="shared" si="17"/>
        <v>328.125</v>
      </c>
      <c r="D39" s="38">
        <f t="shared" si="17"/>
        <v>656250</v>
      </c>
      <c r="E39" s="38">
        <f t="shared" si="17"/>
        <v>3.2160146941351275E-11</v>
      </c>
      <c r="F39" s="38">
        <f t="shared" si="17"/>
        <v>-328.125</v>
      </c>
      <c r="G39" s="38">
        <f t="shared" si="17"/>
        <v>656250</v>
      </c>
      <c r="H39" s="4"/>
      <c r="I39" s="4"/>
      <c r="J39" s="4"/>
      <c r="K39" s="4"/>
      <c r="L39" s="38">
        <f t="shared" si="13"/>
        <v>0</v>
      </c>
      <c r="M39" s="38">
        <f t="shared" si="13"/>
        <v>2333333.3333333335</v>
      </c>
      <c r="N39" s="38">
        <f t="shared" si="13"/>
        <v>9333333333.333334</v>
      </c>
      <c r="O39" s="38">
        <f t="shared" si="13"/>
        <v>0</v>
      </c>
      <c r="P39" s="38">
        <f t="shared" si="13"/>
        <v>-2333333.3333333335</v>
      </c>
      <c r="Q39" s="38">
        <f t="shared" si="13"/>
        <v>4666666666.666667</v>
      </c>
      <c r="R39" s="4"/>
      <c r="S39" s="4"/>
      <c r="T39" s="4"/>
      <c r="U39" s="4"/>
      <c r="V39" s="38">
        <f t="shared" ref="V39:AA39" si="18">$V57*V28+$W57*V29+$X57*V30+$Y57*V31+$Z57*V32+$AA57*V33</f>
        <v>0</v>
      </c>
      <c r="W39" s="38">
        <f t="shared" si="18"/>
        <v>656250</v>
      </c>
      <c r="X39" s="38">
        <f t="shared" si="18"/>
        <v>1750000000</v>
      </c>
      <c r="Y39" s="38">
        <f t="shared" si="18"/>
        <v>0</v>
      </c>
      <c r="Z39" s="38">
        <f t="shared" si="18"/>
        <v>-656250</v>
      </c>
      <c r="AA39" s="38">
        <f t="shared" si="18"/>
        <v>875000000</v>
      </c>
      <c r="AB39" s="4"/>
      <c r="AC39" s="4"/>
      <c r="AD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</row>
    <row r="40" spans="1:83" x14ac:dyDescent="0.2">
      <c r="A40" s="4"/>
      <c r="B40" s="38">
        <f t="shared" si="17"/>
        <v>-525000</v>
      </c>
      <c r="C40" s="38">
        <f t="shared" si="17"/>
        <v>-2.0100091838344547E-14</v>
      </c>
      <c r="D40" s="38">
        <f t="shared" si="17"/>
        <v>-4.0200183676689094E-11</v>
      </c>
      <c r="E40" s="38">
        <f t="shared" si="17"/>
        <v>525000</v>
      </c>
      <c r="F40" s="38">
        <f t="shared" si="17"/>
        <v>2.0100091838344547E-14</v>
      </c>
      <c r="G40" s="38">
        <f t="shared" si="17"/>
        <v>-4.0200183676689094E-11</v>
      </c>
      <c r="H40" s="4"/>
      <c r="I40" s="4"/>
      <c r="J40" s="4"/>
      <c r="K40" s="4"/>
      <c r="L40" s="38">
        <f t="shared" si="13"/>
        <v>-700000</v>
      </c>
      <c r="M40" s="38">
        <f t="shared" si="13"/>
        <v>0</v>
      </c>
      <c r="N40" s="38">
        <f t="shared" si="13"/>
        <v>0</v>
      </c>
      <c r="O40" s="38">
        <f t="shared" si="13"/>
        <v>700000</v>
      </c>
      <c r="P40" s="38">
        <f t="shared" si="13"/>
        <v>0</v>
      </c>
      <c r="Q40" s="38">
        <f t="shared" si="13"/>
        <v>0</v>
      </c>
      <c r="R40" s="4"/>
      <c r="S40" s="82"/>
      <c r="T40" s="4"/>
      <c r="U40" s="4"/>
      <c r="V40" s="38">
        <f t="shared" ref="V40:AA42" si="19">$V58*B$28+$W58*B$29+$X58*B$30+$Y58*B$31+$Z58*B$32+$AA58*B$33</f>
        <v>-3.2160146941351275E-11</v>
      </c>
      <c r="W40" s="38">
        <f t="shared" si="19"/>
        <v>328.125</v>
      </c>
      <c r="X40" s="38">
        <f t="shared" si="19"/>
        <v>656250</v>
      </c>
      <c r="Y40" s="38">
        <f t="shared" si="19"/>
        <v>3.2160146941351275E-11</v>
      </c>
      <c r="Z40" s="38">
        <f t="shared" si="19"/>
        <v>-328.125</v>
      </c>
      <c r="AA40" s="38">
        <f t="shared" si="19"/>
        <v>656250</v>
      </c>
      <c r="AB40" s="4"/>
      <c r="AC40" s="4"/>
      <c r="AD40" s="4"/>
      <c r="AJ40" s="4"/>
      <c r="AK40" s="4"/>
      <c r="AL40" s="4"/>
      <c r="AM40" s="4"/>
      <c r="AN40" s="4"/>
      <c r="AP40" s="4"/>
      <c r="AQ40" s="4"/>
      <c r="AR40" s="4"/>
      <c r="AS40" s="4"/>
      <c r="AT40" s="4"/>
      <c r="AU40" s="4" t="s">
        <v>98</v>
      </c>
      <c r="AV40" s="4" t="s">
        <v>99</v>
      </c>
      <c r="AW40" s="4"/>
      <c r="AX40" s="80" t="s">
        <v>102</v>
      </c>
      <c r="AY40" s="4"/>
    </row>
    <row r="41" spans="1:83" x14ac:dyDescent="0.2">
      <c r="A41" s="4"/>
      <c r="B41" s="38">
        <f t="shared" si="17"/>
        <v>0</v>
      </c>
      <c r="C41" s="38">
        <f t="shared" si="17"/>
        <v>656250</v>
      </c>
      <c r="D41" s="38">
        <f t="shared" si="17"/>
        <v>875000000</v>
      </c>
      <c r="E41" s="38">
        <f t="shared" si="17"/>
        <v>0</v>
      </c>
      <c r="F41" s="38">
        <f t="shared" si="17"/>
        <v>-656250</v>
      </c>
      <c r="G41" s="38">
        <f t="shared" si="17"/>
        <v>1750000000</v>
      </c>
      <c r="H41" s="4"/>
      <c r="I41" s="4"/>
      <c r="J41" s="4"/>
      <c r="K41" s="4"/>
      <c r="L41" s="38">
        <f t="shared" si="13"/>
        <v>0</v>
      </c>
      <c r="M41" s="38">
        <f t="shared" si="13"/>
        <v>-777.77777777777783</v>
      </c>
      <c r="N41" s="38">
        <f t="shared" si="13"/>
        <v>-2333333.3333333335</v>
      </c>
      <c r="O41" s="38">
        <f t="shared" si="13"/>
        <v>0</v>
      </c>
      <c r="P41" s="38">
        <f t="shared" si="13"/>
        <v>777.77777777777783</v>
      </c>
      <c r="Q41" s="38">
        <f t="shared" si="13"/>
        <v>-2333333.3333333335</v>
      </c>
      <c r="R41" s="4"/>
      <c r="S41" s="4"/>
      <c r="T41" s="4"/>
      <c r="U41" s="4"/>
      <c r="V41" s="38">
        <f t="shared" si="19"/>
        <v>-525000</v>
      </c>
      <c r="W41" s="38">
        <f t="shared" si="19"/>
        <v>-2.0100091838344547E-14</v>
      </c>
      <c r="X41" s="38">
        <f t="shared" si="19"/>
        <v>-4.0200183676689094E-11</v>
      </c>
      <c r="Y41" s="38">
        <f t="shared" si="19"/>
        <v>525000</v>
      </c>
      <c r="Z41" s="38">
        <f t="shared" si="19"/>
        <v>2.0100091838344547E-14</v>
      </c>
      <c r="AA41" s="38">
        <f t="shared" si="19"/>
        <v>-4.0200183676689094E-11</v>
      </c>
      <c r="AB41" s="4"/>
      <c r="AC41" s="4"/>
      <c r="AD41" s="4"/>
      <c r="AJ41" s="4"/>
      <c r="AK41" s="4"/>
      <c r="AL41" s="4"/>
      <c r="AM41" s="4" t="s">
        <v>97</v>
      </c>
      <c r="AN41" s="4"/>
      <c r="AO41" s="4"/>
      <c r="AP41" s="4"/>
      <c r="AQ41" s="4"/>
      <c r="AR41" s="4"/>
      <c r="AS41" s="4" t="s">
        <v>97</v>
      </c>
      <c r="AT41" s="4"/>
      <c r="AU41" s="7">
        <v>1000000000000</v>
      </c>
      <c r="AV41" s="7">
        <v>1000000</v>
      </c>
      <c r="AW41" s="4"/>
      <c r="AX41" s="7">
        <v>1000000000</v>
      </c>
      <c r="AY41" s="4"/>
    </row>
    <row r="42" spans="1:83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38">
        <f t="shared" si="13"/>
        <v>0</v>
      </c>
      <c r="M42" s="38">
        <f t="shared" si="13"/>
        <v>2333333.3333333335</v>
      </c>
      <c r="N42" s="38">
        <f t="shared" si="13"/>
        <v>4666666666.666667</v>
      </c>
      <c r="O42" s="38">
        <f t="shared" si="13"/>
        <v>0</v>
      </c>
      <c r="P42" s="38">
        <f t="shared" si="13"/>
        <v>-2333333.3333333335</v>
      </c>
      <c r="Q42" s="38">
        <f t="shared" si="13"/>
        <v>9333333333.333334</v>
      </c>
      <c r="R42" s="4"/>
      <c r="S42" s="4"/>
      <c r="T42" s="4"/>
      <c r="U42" s="4"/>
      <c r="V42" s="38">
        <f t="shared" si="19"/>
        <v>0</v>
      </c>
      <c r="W42" s="38">
        <f t="shared" si="19"/>
        <v>656250</v>
      </c>
      <c r="X42" s="38">
        <f t="shared" si="19"/>
        <v>875000000</v>
      </c>
      <c r="Y42" s="38">
        <f t="shared" si="19"/>
        <v>0</v>
      </c>
      <c r="Z42" s="38">
        <f t="shared" si="19"/>
        <v>-656250</v>
      </c>
      <c r="AA42" s="38">
        <f t="shared" si="19"/>
        <v>1750000000</v>
      </c>
      <c r="AB42" s="4"/>
      <c r="AC42" s="4"/>
      <c r="AD42" s="4"/>
      <c r="AJ42" s="4"/>
      <c r="AK42" s="4"/>
      <c r="AL42" s="4"/>
      <c r="AM42" s="4">
        <f>AX41</f>
        <v>1000000000</v>
      </c>
      <c r="AN42" s="4"/>
      <c r="AO42" s="4"/>
      <c r="AP42" s="4"/>
      <c r="AQ42" s="4"/>
      <c r="AR42" s="4"/>
      <c r="AS42" s="4">
        <f>AX41</f>
        <v>1000000000</v>
      </c>
      <c r="AT42" s="4"/>
      <c r="AU42" s="4"/>
      <c r="AV42" s="4"/>
      <c r="AW42" s="4"/>
      <c r="AX42" s="4"/>
      <c r="AY42" s="4"/>
    </row>
    <row r="43" spans="1:83" x14ac:dyDescent="0.2">
      <c r="A43" s="4"/>
      <c r="B43" s="4"/>
      <c r="C43" s="4"/>
      <c r="D43" s="4"/>
      <c r="E43" s="4"/>
      <c r="F43" s="4"/>
      <c r="G43" s="4"/>
      <c r="H43" s="87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115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</row>
    <row r="44" spans="1:83" x14ac:dyDescent="0.2">
      <c r="A44" s="4"/>
      <c r="B44" s="79" t="s">
        <v>29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115"/>
      <c r="AJ44" s="79" t="s">
        <v>101</v>
      </c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</row>
    <row r="45" spans="1:83" x14ac:dyDescent="0.2">
      <c r="A45" s="4"/>
      <c r="B45" s="41">
        <f>$C$5</f>
        <v>6.1257422745431001E-17</v>
      </c>
      <c r="C45" s="41">
        <f>$E$5</f>
        <v>1</v>
      </c>
      <c r="D45" s="41">
        <v>0</v>
      </c>
      <c r="E45" s="41">
        <v>0</v>
      </c>
      <c r="F45" s="41">
        <v>0</v>
      </c>
      <c r="G45" s="41">
        <v>0</v>
      </c>
      <c r="H45" s="4"/>
      <c r="I45" s="4"/>
      <c r="J45" s="4"/>
      <c r="K45" s="4"/>
      <c r="L45" s="79" t="s">
        <v>29</v>
      </c>
      <c r="M45" s="4"/>
      <c r="N45" s="4"/>
      <c r="O45" s="4"/>
      <c r="P45" s="4"/>
      <c r="Q45" s="4"/>
      <c r="R45" s="4"/>
      <c r="S45" s="4"/>
      <c r="T45" s="4"/>
      <c r="U45" s="4"/>
      <c r="V45" s="79" t="s">
        <v>29</v>
      </c>
      <c r="W45" s="4"/>
      <c r="X45" s="4"/>
      <c r="Y45" s="4"/>
      <c r="Z45" s="4"/>
      <c r="AA45" s="4"/>
      <c r="AB45" s="4"/>
      <c r="AC45" s="4"/>
      <c r="AD45" s="4"/>
      <c r="AE45" s="123"/>
      <c r="AJ45" s="78"/>
      <c r="AK45" s="78">
        <v>1</v>
      </c>
      <c r="AL45" s="78">
        <v>2</v>
      </c>
      <c r="AM45" s="78">
        <v>3</v>
      </c>
      <c r="AN45" s="78">
        <v>4</v>
      </c>
      <c r="AO45" s="78">
        <v>5</v>
      </c>
      <c r="AP45" s="78">
        <v>6</v>
      </c>
      <c r="AQ45" s="78">
        <v>7</v>
      </c>
      <c r="AR45" s="78">
        <v>8</v>
      </c>
      <c r="AS45" s="78">
        <v>9</v>
      </c>
      <c r="AT45" s="78">
        <v>10</v>
      </c>
      <c r="AU45" s="78">
        <v>11</v>
      </c>
      <c r="AV45" s="78">
        <v>12</v>
      </c>
      <c r="AW45" s="78">
        <v>13</v>
      </c>
      <c r="AX45" s="78">
        <v>14</v>
      </c>
      <c r="AY45" s="4" t="s">
        <v>1</v>
      </c>
      <c r="AZ45" s="9" t="s">
        <v>39</v>
      </c>
      <c r="BA45" s="4" t="s">
        <v>49</v>
      </c>
      <c r="BB45" s="9" t="s">
        <v>50</v>
      </c>
      <c r="BC45" s="146"/>
    </row>
    <row r="46" spans="1:83" x14ac:dyDescent="0.2">
      <c r="A46" s="4"/>
      <c r="B46" s="41">
        <f>-$E$5</f>
        <v>-1</v>
      </c>
      <c r="C46" s="41">
        <f>$C$5</f>
        <v>6.1257422745431001E-17</v>
      </c>
      <c r="D46" s="41">
        <v>0</v>
      </c>
      <c r="E46" s="41">
        <v>0</v>
      </c>
      <c r="F46" s="41">
        <v>0</v>
      </c>
      <c r="G46" s="41">
        <v>0</v>
      </c>
      <c r="H46" s="4"/>
      <c r="I46" s="4"/>
      <c r="J46" s="4"/>
      <c r="K46" s="4"/>
      <c r="L46" s="41">
        <f>$M$5</f>
        <v>1</v>
      </c>
      <c r="M46" s="41">
        <f>$O$5</f>
        <v>0</v>
      </c>
      <c r="N46" s="41">
        <v>0</v>
      </c>
      <c r="O46" s="41">
        <v>0</v>
      </c>
      <c r="P46" s="41">
        <v>0</v>
      </c>
      <c r="Q46" s="41">
        <v>0</v>
      </c>
      <c r="R46" s="4"/>
      <c r="S46" s="4"/>
      <c r="T46" s="4"/>
      <c r="U46" s="4"/>
      <c r="V46" s="41">
        <f>$C$5</f>
        <v>6.1257422745431001E-17</v>
      </c>
      <c r="W46" s="41">
        <f>$E$5</f>
        <v>1</v>
      </c>
      <c r="X46" s="41">
        <v>0</v>
      </c>
      <c r="Y46" s="41">
        <v>0</v>
      </c>
      <c r="Z46" s="41">
        <v>0</v>
      </c>
      <c r="AA46" s="41">
        <v>0</v>
      </c>
      <c r="AB46" s="4"/>
      <c r="AC46" s="4"/>
      <c r="AD46" s="4"/>
      <c r="AE46" s="140"/>
      <c r="AJ46" s="78">
        <v>1</v>
      </c>
      <c r="AK46" s="88">
        <f>AK6+BA6+AK25</f>
        <v>328.125</v>
      </c>
      <c r="AL46" s="89">
        <f t="shared" ref="AL46:AM46" si="20">AL6+BB6+AL25</f>
        <v>3.2140046849512931E-11</v>
      </c>
      <c r="AM46" s="89">
        <f t="shared" si="20"/>
        <v>-656250</v>
      </c>
      <c r="AN46" s="89">
        <f t="shared" ref="AN46:AX59" si="21">AN6+BD6+AN25</f>
        <v>-328.125</v>
      </c>
      <c r="AO46" s="89">
        <f t="shared" si="21"/>
        <v>-3.2140046849512931E-11</v>
      </c>
      <c r="AP46" s="90">
        <f t="shared" si="21"/>
        <v>0</v>
      </c>
      <c r="AQ46" s="91">
        <f t="shared" si="21"/>
        <v>0</v>
      </c>
      <c r="AR46" s="91">
        <f t="shared" si="21"/>
        <v>0</v>
      </c>
      <c r="AS46" s="91">
        <f t="shared" si="21"/>
        <v>0</v>
      </c>
      <c r="AT46" s="91">
        <f t="shared" si="21"/>
        <v>0</v>
      </c>
      <c r="AU46" s="91">
        <f t="shared" si="21"/>
        <v>0</v>
      </c>
      <c r="AV46" s="91">
        <f t="shared" si="21"/>
        <v>0</v>
      </c>
      <c r="AW46" s="92">
        <f t="shared" si="21"/>
        <v>-656250</v>
      </c>
      <c r="AX46" s="93">
        <f t="shared" si="21"/>
        <v>0</v>
      </c>
      <c r="AY46" s="1"/>
      <c r="AZ46" s="4">
        <v>0</v>
      </c>
      <c r="BA46" s="1"/>
      <c r="BB46" s="3">
        <f>AY6+BO6+AY25</f>
        <v>20000</v>
      </c>
      <c r="BC46" s="144" t="s">
        <v>52</v>
      </c>
      <c r="BE46" s="4"/>
      <c r="BG46" s="4"/>
      <c r="BH46" s="4"/>
      <c r="BI46" s="4"/>
      <c r="BJ46" s="4"/>
      <c r="BK46" s="4"/>
      <c r="BL46" s="4"/>
      <c r="BM46" s="4"/>
      <c r="BN46" s="4"/>
      <c r="CE46" s="115"/>
    </row>
    <row r="47" spans="1:83" x14ac:dyDescent="0.2">
      <c r="A47" s="4"/>
      <c r="B47" s="41">
        <v>0</v>
      </c>
      <c r="C47" s="41">
        <v>0</v>
      </c>
      <c r="D47" s="41">
        <v>1</v>
      </c>
      <c r="E47" s="41">
        <v>0</v>
      </c>
      <c r="F47" s="41">
        <v>0</v>
      </c>
      <c r="G47" s="41">
        <v>0</v>
      </c>
      <c r="H47" s="4"/>
      <c r="I47" s="4"/>
      <c r="J47" s="4"/>
      <c r="K47" s="4"/>
      <c r="L47" s="41">
        <f>-$O$5</f>
        <v>0</v>
      </c>
      <c r="M47" s="41">
        <f>$M$5</f>
        <v>1</v>
      </c>
      <c r="N47" s="41">
        <v>0</v>
      </c>
      <c r="O47" s="41">
        <v>0</v>
      </c>
      <c r="P47" s="41">
        <v>0</v>
      </c>
      <c r="Q47" s="41">
        <v>0</v>
      </c>
      <c r="R47" s="4"/>
      <c r="S47" s="4"/>
      <c r="T47" s="4"/>
      <c r="U47" s="4"/>
      <c r="V47" s="41">
        <f>-$E$5</f>
        <v>-1</v>
      </c>
      <c r="W47" s="41">
        <f>$C$5</f>
        <v>6.1257422745431001E-17</v>
      </c>
      <c r="X47" s="41">
        <v>0</v>
      </c>
      <c r="Y47" s="41">
        <v>0</v>
      </c>
      <c r="Z47" s="41">
        <v>0</v>
      </c>
      <c r="AA47" s="41">
        <v>0</v>
      </c>
      <c r="AB47" s="4"/>
      <c r="AC47" s="4"/>
      <c r="AD47" s="4"/>
      <c r="AE47" s="123"/>
      <c r="AJ47" s="78">
        <v>2</v>
      </c>
      <c r="AK47" s="94">
        <f t="shared" ref="AK47:AK59" si="22">AK7+BA7+AK26</f>
        <v>3.2140046849512931E-11</v>
      </c>
      <c r="AL47" s="95">
        <f t="shared" ref="AL47:AL59" si="23">AL7+BB7+AL26</f>
        <v>525000</v>
      </c>
      <c r="AM47" s="95">
        <f t="shared" ref="AM47:AM59" si="24">AM7+BC7+AM26</f>
        <v>4.0200183676689094E-11</v>
      </c>
      <c r="AN47" s="95">
        <f t="shared" si="21"/>
        <v>-3.2140046849512931E-11</v>
      </c>
      <c r="AO47" s="95">
        <f t="shared" si="21"/>
        <v>-525000</v>
      </c>
      <c r="AP47" s="96">
        <f t="shared" si="21"/>
        <v>0</v>
      </c>
      <c r="AQ47" s="97">
        <f t="shared" si="21"/>
        <v>0</v>
      </c>
      <c r="AR47" s="97">
        <f t="shared" ref="AR47:AR59" si="25">AR7+BH7+AR26</f>
        <v>0</v>
      </c>
      <c r="AS47" s="97">
        <f t="shared" ref="AS47:AS59" si="26">AS7+BI7+AS26</f>
        <v>0</v>
      </c>
      <c r="AT47" s="97">
        <f t="shared" si="21"/>
        <v>0</v>
      </c>
      <c r="AU47" s="97">
        <f t="shared" si="21"/>
        <v>0</v>
      </c>
      <c r="AV47" s="97">
        <f t="shared" si="21"/>
        <v>0</v>
      </c>
      <c r="AW47" s="98">
        <f t="shared" si="21"/>
        <v>4.0200183676689094E-11</v>
      </c>
      <c r="AX47" s="99">
        <f t="shared" si="21"/>
        <v>0</v>
      </c>
      <c r="AY47" s="1"/>
      <c r="AZ47" s="4">
        <v>0</v>
      </c>
      <c r="BA47" s="1"/>
      <c r="BB47" s="3">
        <f t="shared" ref="BB47:BB59" si="27">AY7+BO7+AY26</f>
        <v>-1.22514845490862E-12</v>
      </c>
      <c r="BC47" s="144" t="s">
        <v>51</v>
      </c>
      <c r="BE47" s="154"/>
      <c r="BG47" s="155"/>
      <c r="BH47" s="155"/>
      <c r="BI47" s="155"/>
      <c r="BJ47" s="155"/>
      <c r="BK47" s="155"/>
      <c r="BL47" s="155"/>
      <c r="BM47" s="155"/>
      <c r="BN47" s="155"/>
      <c r="BS47" s="116"/>
      <c r="CE47" s="115"/>
    </row>
    <row r="48" spans="1:83" x14ac:dyDescent="0.2">
      <c r="A48" s="4"/>
      <c r="B48" s="41">
        <v>0</v>
      </c>
      <c r="C48" s="41">
        <v>0</v>
      </c>
      <c r="D48" s="41">
        <v>0</v>
      </c>
      <c r="E48" s="41">
        <f>$C$5</f>
        <v>6.1257422745431001E-17</v>
      </c>
      <c r="F48" s="41">
        <f>$E$5</f>
        <v>1</v>
      </c>
      <c r="G48" s="41">
        <v>0</v>
      </c>
      <c r="H48" s="4"/>
      <c r="I48" s="4"/>
      <c r="J48" s="4"/>
      <c r="K48" s="4"/>
      <c r="L48" s="41">
        <v>0</v>
      </c>
      <c r="M48" s="41">
        <v>0</v>
      </c>
      <c r="N48" s="41">
        <v>1</v>
      </c>
      <c r="O48" s="41">
        <v>0</v>
      </c>
      <c r="P48" s="41">
        <v>0</v>
      </c>
      <c r="Q48" s="41">
        <v>0</v>
      </c>
      <c r="R48" s="4"/>
      <c r="S48" s="4"/>
      <c r="T48" s="4"/>
      <c r="U48" s="4"/>
      <c r="V48" s="41">
        <v>0</v>
      </c>
      <c r="W48" s="41">
        <v>0</v>
      </c>
      <c r="X48" s="41">
        <v>1</v>
      </c>
      <c r="Y48" s="41">
        <v>0</v>
      </c>
      <c r="Z48" s="41">
        <v>0</v>
      </c>
      <c r="AA48" s="41">
        <v>0</v>
      </c>
      <c r="AB48" s="4"/>
      <c r="AC48" s="4"/>
      <c r="AD48" s="4"/>
      <c r="AE48" s="123"/>
      <c r="AJ48" s="78">
        <v>3</v>
      </c>
      <c r="AK48" s="94">
        <f t="shared" si="22"/>
        <v>-656250</v>
      </c>
      <c r="AL48" s="95">
        <f t="shared" si="23"/>
        <v>4.0200183676689094E-11</v>
      </c>
      <c r="AM48" s="95">
        <f>AM8+BC8+AM27+AM42</f>
        <v>2750000000</v>
      </c>
      <c r="AN48" s="95">
        <f t="shared" si="21"/>
        <v>656250</v>
      </c>
      <c r="AO48" s="95">
        <f t="shared" si="21"/>
        <v>-4.0200183676689094E-11</v>
      </c>
      <c r="AP48" s="96">
        <f t="shared" si="21"/>
        <v>0</v>
      </c>
      <c r="AQ48" s="97">
        <f t="shared" si="21"/>
        <v>0</v>
      </c>
      <c r="AR48" s="97">
        <f t="shared" si="25"/>
        <v>0</v>
      </c>
      <c r="AS48" s="97">
        <f t="shared" si="26"/>
        <v>0</v>
      </c>
      <c r="AT48" s="97">
        <f t="shared" si="21"/>
        <v>0</v>
      </c>
      <c r="AU48" s="97">
        <f t="shared" si="21"/>
        <v>0</v>
      </c>
      <c r="AV48" s="97">
        <f t="shared" si="21"/>
        <v>0</v>
      </c>
      <c r="AW48" s="98">
        <f t="shared" si="21"/>
        <v>875000000</v>
      </c>
      <c r="AX48" s="99">
        <f t="shared" si="21"/>
        <v>0</v>
      </c>
      <c r="AY48" s="1"/>
      <c r="AZ48" s="4" t="s">
        <v>40</v>
      </c>
      <c r="BA48" s="1"/>
      <c r="BB48" s="3">
        <f t="shared" si="27"/>
        <v>-13333333.333333334</v>
      </c>
      <c r="BC48" s="144" t="s">
        <v>83</v>
      </c>
      <c r="BE48" s="154"/>
      <c r="BG48" s="155"/>
      <c r="BH48" s="154"/>
      <c r="BI48" s="155"/>
      <c r="BJ48" s="155"/>
      <c r="BK48" s="155"/>
      <c r="BL48" s="155"/>
      <c r="BM48" s="155"/>
      <c r="BN48" s="155"/>
    </row>
    <row r="49" spans="1:101" x14ac:dyDescent="0.2">
      <c r="A49" s="4"/>
      <c r="B49" s="41">
        <v>0</v>
      </c>
      <c r="C49" s="41">
        <v>0</v>
      </c>
      <c r="D49" s="41">
        <v>0</v>
      </c>
      <c r="E49" s="41">
        <f>-$E$5</f>
        <v>-1</v>
      </c>
      <c r="F49" s="41">
        <f>$C$5</f>
        <v>6.1257422745431001E-17</v>
      </c>
      <c r="G49" s="41">
        <v>0</v>
      </c>
      <c r="H49" s="4"/>
      <c r="I49" s="4"/>
      <c r="J49" s="4"/>
      <c r="K49" s="4"/>
      <c r="L49" s="41">
        <v>0</v>
      </c>
      <c r="M49" s="41">
        <v>0</v>
      </c>
      <c r="N49" s="41">
        <v>0</v>
      </c>
      <c r="O49" s="41">
        <f>$M$5</f>
        <v>1</v>
      </c>
      <c r="P49" s="41">
        <f>$O$5</f>
        <v>0</v>
      </c>
      <c r="Q49" s="41">
        <v>0</v>
      </c>
      <c r="R49" s="4"/>
      <c r="S49" s="4"/>
      <c r="T49" s="4"/>
      <c r="U49" s="4"/>
      <c r="V49" s="41">
        <v>0</v>
      </c>
      <c r="W49" s="41">
        <v>0</v>
      </c>
      <c r="X49" s="41">
        <v>0</v>
      </c>
      <c r="Y49" s="41">
        <f>$C$5</f>
        <v>6.1257422745431001E-17</v>
      </c>
      <c r="Z49" s="41">
        <f>$E$5</f>
        <v>1</v>
      </c>
      <c r="AA49" s="41">
        <v>0</v>
      </c>
      <c r="AB49" s="4"/>
      <c r="AC49" s="4"/>
      <c r="AD49" s="4"/>
      <c r="AE49" s="140"/>
      <c r="AH49" s="115"/>
      <c r="AI49" s="115"/>
      <c r="AJ49" s="78">
        <v>4</v>
      </c>
      <c r="AK49" s="94">
        <f t="shared" si="22"/>
        <v>-328.125</v>
      </c>
      <c r="AL49" s="95">
        <f t="shared" si="23"/>
        <v>-3.2140046849512931E-11</v>
      </c>
      <c r="AM49" s="95">
        <f t="shared" si="24"/>
        <v>656250</v>
      </c>
      <c r="AN49" s="100">
        <f t="shared" si="21"/>
        <v>700328.125</v>
      </c>
      <c r="AO49" s="100">
        <f t="shared" si="21"/>
        <v>3.2140046849512931E-11</v>
      </c>
      <c r="AP49" s="101">
        <f t="shared" si="21"/>
        <v>0</v>
      </c>
      <c r="AQ49" s="96">
        <f t="shared" si="21"/>
        <v>0</v>
      </c>
      <c r="AR49" s="97">
        <f t="shared" si="25"/>
        <v>0</v>
      </c>
      <c r="AS49" s="97">
        <f t="shared" si="26"/>
        <v>0</v>
      </c>
      <c r="AT49" s="102">
        <f t="shared" si="21"/>
        <v>-700000</v>
      </c>
      <c r="AU49" s="101">
        <f t="shared" si="21"/>
        <v>0</v>
      </c>
      <c r="AV49" s="101">
        <f t="shared" si="21"/>
        <v>0</v>
      </c>
      <c r="AW49" s="98">
        <f t="shared" si="21"/>
        <v>656250</v>
      </c>
      <c r="AX49" s="99">
        <f t="shared" si="21"/>
        <v>0</v>
      </c>
      <c r="AY49" s="1"/>
      <c r="AZ49" s="4" t="s">
        <v>41</v>
      </c>
      <c r="BA49" s="1"/>
      <c r="BB49" s="3">
        <f t="shared" si="27"/>
        <v>20000</v>
      </c>
      <c r="BC49" s="1"/>
      <c r="BE49" s="154"/>
      <c r="BG49" s="155"/>
      <c r="BH49" s="154"/>
      <c r="BI49" s="155"/>
      <c r="BJ49" s="155"/>
      <c r="BK49" s="155"/>
      <c r="BL49" s="155"/>
      <c r="CW49" s="115"/>
    </row>
    <row r="50" spans="1:101" x14ac:dyDescent="0.2">
      <c r="A50" s="4"/>
      <c r="B50" s="41">
        <v>0</v>
      </c>
      <c r="C50" s="41">
        <v>0</v>
      </c>
      <c r="D50" s="41">
        <v>0</v>
      </c>
      <c r="E50" s="41">
        <v>0</v>
      </c>
      <c r="F50" s="41">
        <v>0</v>
      </c>
      <c r="G50" s="41">
        <f>D47</f>
        <v>1</v>
      </c>
      <c r="H50" s="4"/>
      <c r="I50" s="4"/>
      <c r="J50" s="4"/>
      <c r="K50" s="4"/>
      <c r="L50" s="41">
        <v>0</v>
      </c>
      <c r="M50" s="41">
        <v>0</v>
      </c>
      <c r="N50" s="41">
        <v>0</v>
      </c>
      <c r="O50" s="41">
        <f>-$O$5</f>
        <v>0</v>
      </c>
      <c r="P50" s="41">
        <f>$M$5</f>
        <v>1</v>
      </c>
      <c r="Q50" s="41">
        <v>0</v>
      </c>
      <c r="R50" s="4"/>
      <c r="S50" s="4"/>
      <c r="T50" s="4"/>
      <c r="U50" s="4"/>
      <c r="V50" s="41">
        <v>0</v>
      </c>
      <c r="W50" s="41">
        <v>0</v>
      </c>
      <c r="X50" s="41">
        <v>0</v>
      </c>
      <c r="Y50" s="41">
        <f>-$E$5</f>
        <v>-1</v>
      </c>
      <c r="Z50" s="41">
        <f>$C$5</f>
        <v>6.1257422745431001E-17</v>
      </c>
      <c r="AA50" s="41">
        <v>0</v>
      </c>
      <c r="AB50" s="4"/>
      <c r="AC50" s="4"/>
      <c r="AD50" s="4"/>
      <c r="AE50" s="123"/>
      <c r="AH50" s="115"/>
      <c r="AI50" s="115"/>
      <c r="AJ50" s="78">
        <v>5</v>
      </c>
      <c r="AK50" s="94">
        <f t="shared" si="22"/>
        <v>-3.2140046849512931E-11</v>
      </c>
      <c r="AL50" s="95">
        <f t="shared" si="23"/>
        <v>-525000</v>
      </c>
      <c r="AM50" s="95">
        <f t="shared" si="24"/>
        <v>-4.0200183676689094E-11</v>
      </c>
      <c r="AN50" s="100">
        <f t="shared" si="21"/>
        <v>3.2140046849512931E-11</v>
      </c>
      <c r="AO50" s="100">
        <f t="shared" si="21"/>
        <v>525777.77777777775</v>
      </c>
      <c r="AP50" s="101">
        <f t="shared" si="21"/>
        <v>2333333.3333333335</v>
      </c>
      <c r="AQ50" s="96">
        <f t="shared" si="21"/>
        <v>0</v>
      </c>
      <c r="AR50" s="97">
        <f t="shared" si="25"/>
        <v>0</v>
      </c>
      <c r="AS50" s="97">
        <f t="shared" si="26"/>
        <v>0</v>
      </c>
      <c r="AT50" s="102">
        <f t="shared" si="21"/>
        <v>0</v>
      </c>
      <c r="AU50" s="101">
        <f t="shared" si="21"/>
        <v>-777.77777777777783</v>
      </c>
      <c r="AV50" s="101">
        <f t="shared" si="21"/>
        <v>2333333.3333333335</v>
      </c>
      <c r="AW50" s="98">
        <f t="shared" si="21"/>
        <v>-4.0200183676689094E-11</v>
      </c>
      <c r="AX50" s="99">
        <f t="shared" si="21"/>
        <v>0</v>
      </c>
      <c r="AY50" s="1"/>
      <c r="AZ50" s="4" t="s">
        <v>42</v>
      </c>
      <c r="BA50" s="1"/>
      <c r="BB50" s="3">
        <f t="shared" si="27"/>
        <v>-30000</v>
      </c>
      <c r="BC50" s="1"/>
      <c r="BG50" s="155"/>
      <c r="BH50" s="154"/>
      <c r="BI50" s="155"/>
      <c r="BJ50" s="155"/>
      <c r="BK50" s="155"/>
      <c r="BL50" s="155"/>
      <c r="CW50" s="115"/>
    </row>
    <row r="51" spans="1:10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1">
        <v>0</v>
      </c>
      <c r="M51" s="41">
        <v>0</v>
      </c>
      <c r="N51" s="41">
        <v>0</v>
      </c>
      <c r="O51" s="41">
        <v>0</v>
      </c>
      <c r="P51" s="41">
        <v>0</v>
      </c>
      <c r="Q51" s="41">
        <f>N48</f>
        <v>1</v>
      </c>
      <c r="R51" s="4"/>
      <c r="S51" s="4"/>
      <c r="T51" s="4"/>
      <c r="U51" s="4"/>
      <c r="V51" s="41">
        <v>0</v>
      </c>
      <c r="W51" s="41">
        <v>0</v>
      </c>
      <c r="X51" s="41">
        <v>0</v>
      </c>
      <c r="Y51" s="41">
        <v>0</v>
      </c>
      <c r="Z51" s="41">
        <v>0</v>
      </c>
      <c r="AA51" s="41">
        <f>X48</f>
        <v>1</v>
      </c>
      <c r="AB51" s="4"/>
      <c r="AC51" s="4"/>
      <c r="AD51" s="4"/>
      <c r="AH51" s="123"/>
      <c r="AI51" s="123"/>
      <c r="AJ51" s="78">
        <v>6</v>
      </c>
      <c r="AK51" s="103">
        <f t="shared" si="22"/>
        <v>0</v>
      </c>
      <c r="AL51" s="96">
        <f t="shared" si="23"/>
        <v>0</v>
      </c>
      <c r="AM51" s="96">
        <f t="shared" si="24"/>
        <v>0</v>
      </c>
      <c r="AN51" s="101">
        <f t="shared" si="21"/>
        <v>0</v>
      </c>
      <c r="AO51" s="101">
        <f t="shared" si="21"/>
        <v>2333333.3333333335</v>
      </c>
      <c r="AP51" s="101">
        <f t="shared" si="21"/>
        <v>9333333333.333334</v>
      </c>
      <c r="AQ51" s="97">
        <f t="shared" si="21"/>
        <v>0</v>
      </c>
      <c r="AR51" s="97">
        <f t="shared" si="25"/>
        <v>0</v>
      </c>
      <c r="AS51" s="97">
        <f t="shared" si="26"/>
        <v>0</v>
      </c>
      <c r="AT51" s="102">
        <f t="shared" si="21"/>
        <v>0</v>
      </c>
      <c r="AU51" s="102">
        <f t="shared" si="21"/>
        <v>-2333333.3333333335</v>
      </c>
      <c r="AV51" s="102">
        <f t="shared" si="21"/>
        <v>4666666666.666667</v>
      </c>
      <c r="AW51" s="97">
        <f t="shared" si="21"/>
        <v>0</v>
      </c>
      <c r="AX51" s="99">
        <f t="shared" si="21"/>
        <v>0</v>
      </c>
      <c r="AY51" s="1"/>
      <c r="AZ51" s="4" t="s">
        <v>43</v>
      </c>
      <c r="BA51" s="1"/>
      <c r="BB51" s="3">
        <f t="shared" si="27"/>
        <v>-30000000</v>
      </c>
      <c r="BC51" s="1"/>
      <c r="BE51" s="154"/>
      <c r="BG51" s="155"/>
      <c r="BH51" s="154"/>
      <c r="BI51" s="155"/>
      <c r="BJ51" s="155"/>
      <c r="BK51" s="155"/>
      <c r="BL51" s="155"/>
      <c r="BO51" s="112"/>
      <c r="BP51" s="112"/>
    </row>
    <row r="52" spans="1:10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H52" s="140"/>
      <c r="AI52" s="140"/>
      <c r="AJ52" s="78">
        <v>7</v>
      </c>
      <c r="AK52" s="104">
        <f t="shared" si="22"/>
        <v>0</v>
      </c>
      <c r="AL52" s="97">
        <f t="shared" si="23"/>
        <v>0</v>
      </c>
      <c r="AM52" s="97">
        <f t="shared" si="24"/>
        <v>0</v>
      </c>
      <c r="AN52" s="96">
        <f t="shared" si="21"/>
        <v>0</v>
      </c>
      <c r="AO52" s="96">
        <f t="shared" si="21"/>
        <v>0</v>
      </c>
      <c r="AP52" s="97">
        <f t="shared" si="21"/>
        <v>0</v>
      </c>
      <c r="AQ52" s="105">
        <f t="shared" si="21"/>
        <v>328.125</v>
      </c>
      <c r="AR52" s="106">
        <f t="shared" si="25"/>
        <v>3.2140046849512931E-11</v>
      </c>
      <c r="AS52" s="106">
        <f t="shared" si="26"/>
        <v>-656250</v>
      </c>
      <c r="AT52" s="106">
        <f t="shared" si="21"/>
        <v>-328.125</v>
      </c>
      <c r="AU52" s="105">
        <f t="shared" si="21"/>
        <v>-3.2140046849512931E-11</v>
      </c>
      <c r="AV52" s="96">
        <f t="shared" si="21"/>
        <v>0</v>
      </c>
      <c r="AW52" s="97">
        <f t="shared" si="21"/>
        <v>0</v>
      </c>
      <c r="AX52" s="107">
        <f t="shared" si="21"/>
        <v>-656250</v>
      </c>
      <c r="AY52" s="1"/>
      <c r="AZ52" s="4">
        <v>0</v>
      </c>
      <c r="BA52" s="1"/>
      <c r="BB52" s="3">
        <f t="shared" si="27"/>
        <v>-10000</v>
      </c>
      <c r="BC52" s="144" t="s">
        <v>53</v>
      </c>
      <c r="BE52" s="154"/>
      <c r="BG52" s="155"/>
      <c r="BH52" s="154"/>
      <c r="BI52" s="155"/>
      <c r="BJ52" s="155"/>
      <c r="BK52" s="155"/>
      <c r="BL52" s="155"/>
      <c r="BO52" s="112"/>
      <c r="BP52" s="112"/>
    </row>
    <row r="53" spans="1:101" x14ac:dyDescent="0.2">
      <c r="A53" s="4"/>
      <c r="B53" s="79" t="s">
        <v>30</v>
      </c>
      <c r="C53" s="4"/>
      <c r="D53" s="4"/>
      <c r="E53" s="4"/>
      <c r="F53" s="4"/>
      <c r="G53" s="4"/>
      <c r="H53" s="4"/>
      <c r="I53" s="7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H53" s="123"/>
      <c r="AI53" s="123"/>
      <c r="AJ53" s="78">
        <v>8</v>
      </c>
      <c r="AK53" s="104">
        <f t="shared" si="22"/>
        <v>0</v>
      </c>
      <c r="AL53" s="97">
        <f t="shared" si="23"/>
        <v>0</v>
      </c>
      <c r="AM53" s="97">
        <f t="shared" si="24"/>
        <v>0</v>
      </c>
      <c r="AN53" s="97">
        <f t="shared" si="21"/>
        <v>0</v>
      </c>
      <c r="AO53" s="97">
        <f t="shared" si="21"/>
        <v>0</v>
      </c>
      <c r="AP53" s="97">
        <f t="shared" si="21"/>
        <v>0</v>
      </c>
      <c r="AQ53" s="106">
        <f t="shared" si="21"/>
        <v>3.2140046849512931E-11</v>
      </c>
      <c r="AR53" s="105">
        <f t="shared" si="25"/>
        <v>525000</v>
      </c>
      <c r="AS53" s="105">
        <f t="shared" si="26"/>
        <v>4.0200183676689094E-11</v>
      </c>
      <c r="AT53" s="105">
        <f t="shared" si="21"/>
        <v>-3.2140046849512931E-11</v>
      </c>
      <c r="AU53" s="105">
        <f t="shared" si="21"/>
        <v>-525000</v>
      </c>
      <c r="AV53" s="96">
        <f t="shared" si="21"/>
        <v>0</v>
      </c>
      <c r="AW53" s="97">
        <f t="shared" si="21"/>
        <v>0</v>
      </c>
      <c r="AX53" s="107">
        <f t="shared" si="21"/>
        <v>4.0200183676689094E-11</v>
      </c>
      <c r="AY53" s="1"/>
      <c r="AZ53" s="4">
        <v>0</v>
      </c>
      <c r="BA53" s="1"/>
      <c r="BB53" s="3">
        <f t="shared" si="27"/>
        <v>6.1257422745431001E-13</v>
      </c>
      <c r="BC53" s="144" t="s">
        <v>54</v>
      </c>
      <c r="BE53" s="155"/>
      <c r="BG53" s="155"/>
      <c r="BH53" s="155"/>
      <c r="BI53" s="155"/>
      <c r="BJ53" s="155"/>
      <c r="BK53" s="155"/>
      <c r="BL53" s="155"/>
      <c r="BM53" s="155"/>
      <c r="BN53" s="155"/>
      <c r="BO53" s="112"/>
      <c r="BP53" s="112"/>
    </row>
    <row r="54" spans="1:101" x14ac:dyDescent="0.2">
      <c r="A54" s="4"/>
      <c r="B54" s="41">
        <f>$C$5</f>
        <v>6.1257422745431001E-17</v>
      </c>
      <c r="C54" s="41">
        <f>-$E$5</f>
        <v>-1</v>
      </c>
      <c r="D54" s="41">
        <v>0</v>
      </c>
      <c r="E54" s="41">
        <v>0</v>
      </c>
      <c r="F54" s="41">
        <v>0</v>
      </c>
      <c r="G54" s="41">
        <v>0</v>
      </c>
      <c r="H54" s="4"/>
      <c r="I54" s="4"/>
      <c r="J54" s="4"/>
      <c r="K54" s="4"/>
      <c r="L54" s="79" t="s">
        <v>30</v>
      </c>
      <c r="M54" s="4"/>
      <c r="N54" s="4"/>
      <c r="O54" s="4"/>
      <c r="P54" s="4"/>
      <c r="Q54" s="4"/>
      <c r="R54" s="4"/>
      <c r="S54" s="4"/>
      <c r="T54" s="4"/>
      <c r="U54" s="4"/>
      <c r="V54" s="79" t="s">
        <v>30</v>
      </c>
      <c r="W54" s="4"/>
      <c r="X54" s="4"/>
      <c r="Y54" s="4"/>
      <c r="Z54" s="4"/>
      <c r="AA54" s="4"/>
      <c r="AB54" s="4"/>
      <c r="AC54" s="4"/>
      <c r="AH54" s="123"/>
      <c r="AI54" s="123"/>
      <c r="AJ54" s="78">
        <v>9</v>
      </c>
      <c r="AK54" s="104">
        <f t="shared" si="22"/>
        <v>0</v>
      </c>
      <c r="AL54" s="97">
        <f t="shared" si="23"/>
        <v>0</v>
      </c>
      <c r="AM54" s="97">
        <f t="shared" si="24"/>
        <v>0</v>
      </c>
      <c r="AN54" s="97">
        <f t="shared" si="21"/>
        <v>0</v>
      </c>
      <c r="AO54" s="97">
        <f t="shared" si="21"/>
        <v>0</v>
      </c>
      <c r="AP54" s="97">
        <f t="shared" si="21"/>
        <v>0</v>
      </c>
      <c r="AQ54" s="106">
        <f t="shared" si="21"/>
        <v>-656250</v>
      </c>
      <c r="AR54" s="105">
        <f t="shared" si="25"/>
        <v>4.0200183676689094E-11</v>
      </c>
      <c r="AS54" s="105">
        <f>AS14+BI14+AS33+AS42</f>
        <v>2750000000</v>
      </c>
      <c r="AT54" s="105">
        <f t="shared" si="21"/>
        <v>656250</v>
      </c>
      <c r="AU54" s="105">
        <f t="shared" si="21"/>
        <v>-4.0200183676689094E-11</v>
      </c>
      <c r="AV54" s="96">
        <f t="shared" si="21"/>
        <v>0</v>
      </c>
      <c r="AW54" s="97">
        <f t="shared" si="21"/>
        <v>0</v>
      </c>
      <c r="AX54" s="107">
        <f t="shared" si="21"/>
        <v>875000000</v>
      </c>
      <c r="AY54" s="1"/>
      <c r="AZ54" s="4" t="s">
        <v>96</v>
      </c>
      <c r="BA54" s="1"/>
      <c r="BB54" s="3">
        <f t="shared" si="27"/>
        <v>6666666.666666667</v>
      </c>
      <c r="BC54" s="144" t="s">
        <v>86</v>
      </c>
      <c r="BE54" s="154"/>
      <c r="BG54" s="155"/>
      <c r="BH54" s="154"/>
      <c r="BI54" s="155"/>
      <c r="BJ54" s="155"/>
      <c r="BK54" s="155"/>
      <c r="BL54" s="155"/>
      <c r="BM54" s="155"/>
      <c r="BN54" s="155"/>
      <c r="BO54" s="112"/>
      <c r="BP54" s="112"/>
      <c r="BR54" s="113"/>
    </row>
    <row r="55" spans="1:101" x14ac:dyDescent="0.2">
      <c r="A55" s="4"/>
      <c r="B55" s="41">
        <f>$E$5</f>
        <v>1</v>
      </c>
      <c r="C55" s="41">
        <f>$C$5</f>
        <v>6.1257422745431001E-17</v>
      </c>
      <c r="D55" s="41">
        <v>0</v>
      </c>
      <c r="E55" s="41">
        <v>0</v>
      </c>
      <c r="F55" s="41">
        <v>0</v>
      </c>
      <c r="G55" s="41">
        <v>0</v>
      </c>
      <c r="H55" s="4"/>
      <c r="I55" s="4"/>
      <c r="J55" s="4"/>
      <c r="K55" s="4"/>
      <c r="L55" s="41">
        <f>$M$5</f>
        <v>1</v>
      </c>
      <c r="M55" s="41">
        <f>-$O$5</f>
        <v>0</v>
      </c>
      <c r="N55" s="41">
        <v>0</v>
      </c>
      <c r="O55" s="41">
        <v>0</v>
      </c>
      <c r="P55" s="41">
        <v>0</v>
      </c>
      <c r="Q55" s="41">
        <v>0</v>
      </c>
      <c r="R55" s="4"/>
      <c r="S55" s="4"/>
      <c r="T55" s="4"/>
      <c r="U55" s="4"/>
      <c r="V55" s="41">
        <f>$C$5</f>
        <v>6.1257422745431001E-17</v>
      </c>
      <c r="W55" s="41">
        <f>-$E$5</f>
        <v>-1</v>
      </c>
      <c r="X55" s="41">
        <v>0</v>
      </c>
      <c r="Y55" s="41">
        <v>0</v>
      </c>
      <c r="Z55" s="41">
        <v>0</v>
      </c>
      <c r="AA55" s="41">
        <v>0</v>
      </c>
      <c r="AB55" s="4"/>
      <c r="AC55" s="4"/>
      <c r="AH55" s="140"/>
      <c r="AI55" s="140"/>
      <c r="AJ55" s="78">
        <v>10</v>
      </c>
      <c r="AK55" s="104">
        <f t="shared" si="22"/>
        <v>0</v>
      </c>
      <c r="AL55" s="97">
        <f t="shared" si="23"/>
        <v>0</v>
      </c>
      <c r="AM55" s="97">
        <f t="shared" si="24"/>
        <v>0</v>
      </c>
      <c r="AN55" s="102">
        <f t="shared" si="21"/>
        <v>-700000</v>
      </c>
      <c r="AO55" s="102">
        <f t="shared" si="21"/>
        <v>0</v>
      </c>
      <c r="AP55" s="102">
        <f t="shared" si="21"/>
        <v>0</v>
      </c>
      <c r="AQ55" s="106">
        <f t="shared" si="21"/>
        <v>-328.125</v>
      </c>
      <c r="AR55" s="105">
        <f t="shared" si="25"/>
        <v>-3.2140046849512931E-11</v>
      </c>
      <c r="AS55" s="105">
        <f t="shared" si="26"/>
        <v>656250</v>
      </c>
      <c r="AT55" s="100">
        <f t="shared" si="21"/>
        <v>700328.125</v>
      </c>
      <c r="AU55" s="100">
        <f t="shared" si="21"/>
        <v>3.2140046849512931E-11</v>
      </c>
      <c r="AV55" s="101">
        <f t="shared" si="21"/>
        <v>0</v>
      </c>
      <c r="AW55" s="97">
        <f t="shared" si="21"/>
        <v>0</v>
      </c>
      <c r="AX55" s="107">
        <f t="shared" si="21"/>
        <v>656250</v>
      </c>
      <c r="AY55" s="1"/>
      <c r="AZ55" s="4" t="s">
        <v>45</v>
      </c>
      <c r="BA55" s="1"/>
      <c r="BB55" s="3">
        <f t="shared" si="27"/>
        <v>-10000</v>
      </c>
      <c r="BC55" s="1"/>
      <c r="BE55" s="155"/>
      <c r="BG55" s="155"/>
      <c r="BH55" s="155"/>
      <c r="BI55" s="155"/>
      <c r="BJ55" s="155"/>
      <c r="BK55" s="155"/>
      <c r="BL55" s="155"/>
      <c r="BM55" s="155"/>
      <c r="BN55" s="155"/>
      <c r="BO55" s="112"/>
      <c r="BP55" s="112"/>
      <c r="BR55" s="113"/>
    </row>
    <row r="56" spans="1:101" x14ac:dyDescent="0.2">
      <c r="A56" s="4"/>
      <c r="B56" s="41">
        <v>0</v>
      </c>
      <c r="C56" s="41">
        <v>0</v>
      </c>
      <c r="D56" s="41">
        <f>D47</f>
        <v>1</v>
      </c>
      <c r="E56" s="41">
        <v>0</v>
      </c>
      <c r="F56" s="41">
        <v>0</v>
      </c>
      <c r="G56" s="41">
        <v>0</v>
      </c>
      <c r="H56" s="4"/>
      <c r="I56" s="4"/>
      <c r="J56" s="4"/>
      <c r="K56" s="4"/>
      <c r="L56" s="41">
        <f>$O$5</f>
        <v>0</v>
      </c>
      <c r="M56" s="41">
        <f>$M$5</f>
        <v>1</v>
      </c>
      <c r="N56" s="41">
        <v>0</v>
      </c>
      <c r="O56" s="41">
        <v>0</v>
      </c>
      <c r="P56" s="41">
        <v>0</v>
      </c>
      <c r="Q56" s="41">
        <v>0</v>
      </c>
      <c r="R56" s="4"/>
      <c r="S56" s="4"/>
      <c r="T56" s="4"/>
      <c r="U56" s="4"/>
      <c r="V56" s="41">
        <f>$E$5</f>
        <v>1</v>
      </c>
      <c r="W56" s="41">
        <f>$C$5</f>
        <v>6.1257422745431001E-17</v>
      </c>
      <c r="X56" s="41">
        <v>0</v>
      </c>
      <c r="Y56" s="41">
        <v>0</v>
      </c>
      <c r="Z56" s="41">
        <v>0</v>
      </c>
      <c r="AA56" s="41">
        <v>0</v>
      </c>
      <c r="AB56" s="4"/>
      <c r="AC56" s="4"/>
      <c r="AH56" s="123"/>
      <c r="AI56" s="123"/>
      <c r="AJ56" s="78">
        <v>11</v>
      </c>
      <c r="AK56" s="104">
        <f t="shared" si="22"/>
        <v>0</v>
      </c>
      <c r="AL56" s="97">
        <f t="shared" si="23"/>
        <v>0</v>
      </c>
      <c r="AM56" s="97">
        <f t="shared" si="24"/>
        <v>0</v>
      </c>
      <c r="AN56" s="101">
        <f t="shared" si="21"/>
        <v>0</v>
      </c>
      <c r="AO56" s="101">
        <f t="shared" si="21"/>
        <v>-777.77777777777783</v>
      </c>
      <c r="AP56" s="102">
        <f t="shared" si="21"/>
        <v>-2333333.3333333335</v>
      </c>
      <c r="AQ56" s="105">
        <f t="shared" si="21"/>
        <v>-3.2140046849512931E-11</v>
      </c>
      <c r="AR56" s="105">
        <f t="shared" si="25"/>
        <v>-525000</v>
      </c>
      <c r="AS56" s="105">
        <f t="shared" si="26"/>
        <v>-4.0200183676689094E-11</v>
      </c>
      <c r="AT56" s="100">
        <f t="shared" si="21"/>
        <v>3.2140046849512931E-11</v>
      </c>
      <c r="AU56" s="100">
        <f t="shared" si="21"/>
        <v>525777.77777777775</v>
      </c>
      <c r="AV56" s="101">
        <f t="shared" si="21"/>
        <v>-2333333.3333333335</v>
      </c>
      <c r="AW56" s="97">
        <f t="shared" si="21"/>
        <v>0</v>
      </c>
      <c r="AX56" s="107">
        <f t="shared" si="21"/>
        <v>-4.0200183676689094E-11</v>
      </c>
      <c r="AY56" s="1"/>
      <c r="AZ56" s="4" t="s">
        <v>46</v>
      </c>
      <c r="BA56" s="1"/>
      <c r="BB56" s="3">
        <f t="shared" si="27"/>
        <v>-30000</v>
      </c>
      <c r="BC56" s="1"/>
      <c r="BE56" s="155"/>
      <c r="BG56" s="155"/>
      <c r="BH56" s="155"/>
      <c r="BI56" s="155"/>
      <c r="BJ56" s="155"/>
      <c r="BK56" s="155"/>
      <c r="BL56" s="155"/>
      <c r="BM56" s="155"/>
      <c r="BN56" s="155"/>
      <c r="BO56" s="112"/>
      <c r="BP56" s="112"/>
      <c r="BR56" s="113"/>
    </row>
    <row r="57" spans="1:101" x14ac:dyDescent="0.2">
      <c r="A57" s="4"/>
      <c r="B57" s="41">
        <v>0</v>
      </c>
      <c r="C57" s="41">
        <v>0</v>
      </c>
      <c r="D57" s="41">
        <v>0</v>
      </c>
      <c r="E57" s="41">
        <f>$C$5</f>
        <v>6.1257422745431001E-17</v>
      </c>
      <c r="F57" s="41">
        <f>-$E$5</f>
        <v>-1</v>
      </c>
      <c r="G57" s="41">
        <v>0</v>
      </c>
      <c r="H57" s="4"/>
      <c r="I57" s="4"/>
      <c r="J57" s="4"/>
      <c r="K57" s="4"/>
      <c r="L57" s="41">
        <v>0</v>
      </c>
      <c r="M57" s="41">
        <v>0</v>
      </c>
      <c r="N57" s="41">
        <f>N48</f>
        <v>1</v>
      </c>
      <c r="O57" s="41">
        <v>0</v>
      </c>
      <c r="P57" s="41">
        <v>0</v>
      </c>
      <c r="Q57" s="41">
        <v>0</v>
      </c>
      <c r="R57" s="4"/>
      <c r="S57" s="4"/>
      <c r="T57" s="4"/>
      <c r="U57" s="4"/>
      <c r="V57" s="41">
        <v>0</v>
      </c>
      <c r="W57" s="41">
        <v>0</v>
      </c>
      <c r="X57" s="41">
        <f>X48</f>
        <v>1</v>
      </c>
      <c r="Y57" s="41">
        <v>0</v>
      </c>
      <c r="Z57" s="41">
        <v>0</v>
      </c>
      <c r="AA57" s="41">
        <v>0</v>
      </c>
      <c r="AB57" s="4"/>
      <c r="AC57" s="4"/>
      <c r="AJ57" s="78">
        <v>12</v>
      </c>
      <c r="AK57" s="104">
        <f t="shared" si="22"/>
        <v>0</v>
      </c>
      <c r="AL57" s="97">
        <f t="shared" si="23"/>
        <v>0</v>
      </c>
      <c r="AM57" s="97">
        <f t="shared" si="24"/>
        <v>0</v>
      </c>
      <c r="AN57" s="101">
        <f t="shared" si="21"/>
        <v>0</v>
      </c>
      <c r="AO57" s="101">
        <f t="shared" si="21"/>
        <v>2333333.3333333335</v>
      </c>
      <c r="AP57" s="102">
        <f t="shared" si="21"/>
        <v>4666666666.666667</v>
      </c>
      <c r="AQ57" s="96">
        <f t="shared" si="21"/>
        <v>0</v>
      </c>
      <c r="AR57" s="96">
        <f t="shared" si="25"/>
        <v>0</v>
      </c>
      <c r="AS57" s="96">
        <f t="shared" si="26"/>
        <v>0</v>
      </c>
      <c r="AT57" s="101">
        <f t="shared" si="21"/>
        <v>0</v>
      </c>
      <c r="AU57" s="101">
        <f t="shared" si="21"/>
        <v>-2333333.3333333335</v>
      </c>
      <c r="AV57" s="101">
        <f t="shared" si="21"/>
        <v>9333333333.333334</v>
      </c>
      <c r="AW57" s="97">
        <f t="shared" si="21"/>
        <v>0</v>
      </c>
      <c r="AX57" s="99">
        <f t="shared" si="21"/>
        <v>0</v>
      </c>
      <c r="AY57" s="1"/>
      <c r="AZ57" s="4" t="s">
        <v>47</v>
      </c>
      <c r="BA57" s="1"/>
      <c r="BB57" s="3">
        <f t="shared" si="27"/>
        <v>30000000</v>
      </c>
      <c r="BC57" s="1"/>
      <c r="BE57" s="155"/>
      <c r="BG57" s="155"/>
      <c r="BH57" s="155"/>
      <c r="BI57" s="155"/>
      <c r="BJ57" s="155"/>
      <c r="BK57" s="155"/>
      <c r="BL57" s="155"/>
      <c r="BM57" s="155"/>
      <c r="BN57" s="155"/>
    </row>
    <row r="58" spans="1:101" x14ac:dyDescent="0.2">
      <c r="A58" s="4"/>
      <c r="B58" s="41">
        <v>0</v>
      </c>
      <c r="C58" s="41">
        <v>0</v>
      </c>
      <c r="D58" s="41">
        <v>0</v>
      </c>
      <c r="E58" s="41">
        <f>$E$5</f>
        <v>1</v>
      </c>
      <c r="F58" s="41">
        <f>$C$5</f>
        <v>6.1257422745431001E-17</v>
      </c>
      <c r="G58" s="41">
        <v>0</v>
      </c>
      <c r="H58" s="4"/>
      <c r="I58" s="4"/>
      <c r="J58" s="4"/>
      <c r="K58" s="4"/>
      <c r="L58" s="41">
        <v>0</v>
      </c>
      <c r="M58" s="41">
        <v>0</v>
      </c>
      <c r="N58" s="41">
        <v>0</v>
      </c>
      <c r="O58" s="41">
        <f>$M$5</f>
        <v>1</v>
      </c>
      <c r="P58" s="41">
        <f>-$O$5</f>
        <v>0</v>
      </c>
      <c r="Q58" s="41">
        <v>0</v>
      </c>
      <c r="R58" s="4"/>
      <c r="S58" s="4"/>
      <c r="T58" s="4"/>
      <c r="U58" s="4"/>
      <c r="V58" s="41">
        <v>0</v>
      </c>
      <c r="W58" s="41">
        <v>0</v>
      </c>
      <c r="X58" s="41">
        <v>0</v>
      </c>
      <c r="Y58" s="41">
        <f>$C$5</f>
        <v>6.1257422745431001E-17</v>
      </c>
      <c r="Z58" s="41">
        <f>-$E$5</f>
        <v>-1</v>
      </c>
      <c r="AA58" s="41">
        <v>0</v>
      </c>
      <c r="AB58" s="4"/>
      <c r="AC58" s="4"/>
      <c r="AJ58" s="78">
        <v>13</v>
      </c>
      <c r="AK58" s="108">
        <f t="shared" si="22"/>
        <v>-656250</v>
      </c>
      <c r="AL58" s="98">
        <f t="shared" si="23"/>
        <v>4.0200183676689094E-11</v>
      </c>
      <c r="AM58" s="98">
        <f t="shared" si="24"/>
        <v>875000000</v>
      </c>
      <c r="AN58" s="98">
        <f t="shared" si="21"/>
        <v>656250</v>
      </c>
      <c r="AO58" s="98">
        <f t="shared" si="21"/>
        <v>-4.0200183676689094E-11</v>
      </c>
      <c r="AP58" s="97">
        <f t="shared" si="21"/>
        <v>0</v>
      </c>
      <c r="AQ58" s="97">
        <f t="shared" si="21"/>
        <v>0</v>
      </c>
      <c r="AR58" s="97">
        <f t="shared" si="25"/>
        <v>0</v>
      </c>
      <c r="AS58" s="97">
        <f t="shared" si="26"/>
        <v>0</v>
      </c>
      <c r="AT58" s="97">
        <f t="shared" si="21"/>
        <v>0</v>
      </c>
      <c r="AU58" s="97">
        <f t="shared" si="21"/>
        <v>0</v>
      </c>
      <c r="AV58" s="97">
        <f t="shared" si="21"/>
        <v>0</v>
      </c>
      <c r="AW58" s="98">
        <f t="shared" si="21"/>
        <v>1750000000</v>
      </c>
      <c r="AX58" s="99">
        <f t="shared" si="21"/>
        <v>0</v>
      </c>
      <c r="AY58" s="4"/>
      <c r="AZ58" s="4" t="s">
        <v>84</v>
      </c>
      <c r="BA58" s="155"/>
      <c r="BB58" s="3">
        <f t="shared" si="27"/>
        <v>13333333.333333334</v>
      </c>
      <c r="BC58" s="155"/>
      <c r="BE58" s="155"/>
      <c r="BG58" s="155"/>
      <c r="BH58" s="155"/>
      <c r="BI58" s="155"/>
      <c r="BJ58" s="155"/>
      <c r="BK58" s="155"/>
      <c r="BL58" s="155"/>
      <c r="BM58" s="155"/>
      <c r="BN58" s="155"/>
    </row>
    <row r="59" spans="1:101" x14ac:dyDescent="0.2">
      <c r="A59" s="4"/>
      <c r="B59" s="41">
        <v>0</v>
      </c>
      <c r="C59" s="41">
        <v>0</v>
      </c>
      <c r="D59" s="41">
        <v>0</v>
      </c>
      <c r="E59" s="41">
        <v>0</v>
      </c>
      <c r="F59" s="41">
        <v>0</v>
      </c>
      <c r="G59" s="41">
        <f>D47</f>
        <v>1</v>
      </c>
      <c r="H59" s="4"/>
      <c r="I59" s="4"/>
      <c r="J59" s="4"/>
      <c r="K59" s="4"/>
      <c r="L59" s="41">
        <v>0</v>
      </c>
      <c r="M59" s="41">
        <v>0</v>
      </c>
      <c r="N59" s="41">
        <v>0</v>
      </c>
      <c r="O59" s="41">
        <f>$O$5</f>
        <v>0</v>
      </c>
      <c r="P59" s="41">
        <f>$M$5</f>
        <v>1</v>
      </c>
      <c r="Q59" s="41">
        <v>0</v>
      </c>
      <c r="R59" s="4"/>
      <c r="S59" s="4"/>
      <c r="T59" s="4"/>
      <c r="U59" s="4"/>
      <c r="V59" s="41">
        <v>0</v>
      </c>
      <c r="W59" s="41">
        <v>0</v>
      </c>
      <c r="X59" s="41">
        <v>0</v>
      </c>
      <c r="Y59" s="41">
        <f>$E$5</f>
        <v>1</v>
      </c>
      <c r="Z59" s="41">
        <f>$C$5</f>
        <v>6.1257422745431001E-17</v>
      </c>
      <c r="AA59" s="41">
        <v>0</v>
      </c>
      <c r="AB59" s="4"/>
      <c r="AC59" s="4"/>
      <c r="AJ59" s="78">
        <v>14</v>
      </c>
      <c r="AK59" s="104">
        <f t="shared" si="22"/>
        <v>0</v>
      </c>
      <c r="AL59" s="97">
        <f t="shared" si="23"/>
        <v>0</v>
      </c>
      <c r="AM59" s="97">
        <f t="shared" si="24"/>
        <v>0</v>
      </c>
      <c r="AN59" s="97">
        <f t="shared" si="21"/>
        <v>0</v>
      </c>
      <c r="AO59" s="97">
        <f t="shared" si="21"/>
        <v>0</v>
      </c>
      <c r="AP59" s="97">
        <f t="shared" si="21"/>
        <v>0</v>
      </c>
      <c r="AQ59" s="106">
        <f t="shared" si="21"/>
        <v>-656250</v>
      </c>
      <c r="AR59" s="106">
        <f t="shared" si="25"/>
        <v>4.0200183676689094E-11</v>
      </c>
      <c r="AS59" s="106">
        <f t="shared" si="26"/>
        <v>875000000</v>
      </c>
      <c r="AT59" s="106">
        <f t="shared" si="21"/>
        <v>656250</v>
      </c>
      <c r="AU59" s="106">
        <f t="shared" si="21"/>
        <v>-4.0200183676689094E-11</v>
      </c>
      <c r="AV59" s="97">
        <f t="shared" si="21"/>
        <v>0</v>
      </c>
      <c r="AW59" s="97">
        <f t="shared" si="21"/>
        <v>0</v>
      </c>
      <c r="AX59" s="107">
        <f t="shared" si="21"/>
        <v>1750000000</v>
      </c>
      <c r="AY59" s="4"/>
      <c r="AZ59" s="4" t="s">
        <v>85</v>
      </c>
      <c r="BA59" s="155"/>
      <c r="BB59" s="3">
        <f t="shared" si="27"/>
        <v>-6666666.666666667</v>
      </c>
      <c r="BG59" s="155"/>
      <c r="BH59" s="155"/>
      <c r="BI59" s="155"/>
      <c r="BJ59" s="155"/>
      <c r="BK59" s="155"/>
      <c r="BL59" s="155"/>
      <c r="BT59" s="112"/>
      <c r="BY59" s="117"/>
      <c r="CA59" s="118"/>
    </row>
    <row r="60" spans="1:10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1">
        <v>0</v>
      </c>
      <c r="M60" s="41">
        <v>0</v>
      </c>
      <c r="N60" s="41">
        <v>0</v>
      </c>
      <c r="O60" s="41">
        <v>0</v>
      </c>
      <c r="P60" s="41">
        <v>0</v>
      </c>
      <c r="Q60" s="41">
        <f>N48</f>
        <v>1</v>
      </c>
      <c r="R60" s="4"/>
      <c r="S60" s="4"/>
      <c r="T60" s="4"/>
      <c r="U60" s="4"/>
      <c r="V60" s="41">
        <v>0</v>
      </c>
      <c r="W60" s="41">
        <v>0</v>
      </c>
      <c r="X60" s="41">
        <v>0</v>
      </c>
      <c r="Y60" s="41">
        <v>0</v>
      </c>
      <c r="Z60" s="41">
        <v>0</v>
      </c>
      <c r="AA60" s="41">
        <f>X48</f>
        <v>1</v>
      </c>
      <c r="AB60" s="4"/>
      <c r="AC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155"/>
      <c r="BB60" s="155"/>
      <c r="BG60" s="155"/>
      <c r="BH60" s="155"/>
      <c r="BI60" s="155"/>
      <c r="BJ60" s="155"/>
      <c r="BK60" s="155"/>
      <c r="BL60" s="155"/>
      <c r="BT60" s="112"/>
      <c r="BY60" s="117"/>
      <c r="CA60" s="118"/>
    </row>
    <row r="61" spans="1:10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111"/>
      <c r="BB61" s="111"/>
      <c r="BE61" s="111"/>
      <c r="BK61" s="116"/>
      <c r="BT61" s="112"/>
      <c r="BY61" s="117"/>
      <c r="CA61" s="118"/>
    </row>
    <row r="62" spans="1:101" ht="15" x14ac:dyDescent="0.25">
      <c r="AJ62" s="4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 s="111"/>
      <c r="BB62" s="111"/>
      <c r="BE62" s="111"/>
      <c r="BK62" s="116"/>
      <c r="BT62" s="112"/>
      <c r="BY62" s="117"/>
      <c r="CA62" s="118"/>
    </row>
    <row r="63" spans="1:101" ht="15" x14ac:dyDescent="0.25"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 s="111"/>
      <c r="BB63" s="111" t="s">
        <v>95</v>
      </c>
      <c r="BC63" s="80" t="s">
        <v>94</v>
      </c>
      <c r="BE63" s="111"/>
      <c r="BK63" s="116"/>
      <c r="BT63" s="112"/>
      <c r="BY63" s="117"/>
      <c r="CA63" s="118"/>
    </row>
    <row r="64" spans="1:101" ht="15" x14ac:dyDescent="0.25">
      <c r="AJ64" s="2" t="s">
        <v>48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/>
      <c r="BB64" s="111" cm="1">
        <f t="array" ref="BB64:BB68">BB93:BB97</f>
        <v>-26621.960592212021</v>
      </c>
      <c r="BC64" s="80" cm="1">
        <f t="array" ref="BC64:BC69">MMULT(B45:G50,BB64:BB69)</f>
        <v>29999.999999999996</v>
      </c>
      <c r="BE64" s="111"/>
      <c r="BK64" s="116"/>
      <c r="BT64" s="112"/>
      <c r="BY64" s="117"/>
      <c r="CA64" s="118"/>
    </row>
    <row r="65" spans="5:74" x14ac:dyDescent="0.2">
      <c r="AJ65" s="9"/>
      <c r="AK65" s="9">
        <v>3</v>
      </c>
      <c r="AL65" s="9">
        <v>4</v>
      </c>
      <c r="AM65" s="9">
        <v>5</v>
      </c>
      <c r="AN65" s="9">
        <v>6</v>
      </c>
      <c r="AO65" s="9">
        <v>9</v>
      </c>
      <c r="AP65" s="9">
        <v>10</v>
      </c>
      <c r="AQ65" s="9">
        <v>11</v>
      </c>
      <c r="AR65" s="9">
        <v>12</v>
      </c>
      <c r="AS65" s="9">
        <v>13</v>
      </c>
      <c r="AT65" s="9">
        <v>14</v>
      </c>
      <c r="AU65" s="4" t="s">
        <v>1</v>
      </c>
      <c r="AV65" s="9" t="s">
        <v>39</v>
      </c>
      <c r="AW65" s="4" t="s">
        <v>49</v>
      </c>
      <c r="AX65" s="141" t="s">
        <v>50</v>
      </c>
      <c r="AY65" s="1"/>
      <c r="AZ65" s="1"/>
      <c r="BB65" s="111">
        <v>29999.999999999996</v>
      </c>
      <c r="BC65" s="80">
        <v>26621.960592212024</v>
      </c>
      <c r="BE65" s="111"/>
    </row>
    <row r="66" spans="5:74" x14ac:dyDescent="0.2">
      <c r="AJ66" s="78">
        <v>3</v>
      </c>
      <c r="AK66" s="116" cm="1">
        <f t="array" ref="AK66:AN69">AM48:AP51</f>
        <v>2750000000</v>
      </c>
      <c r="AL66" s="80">
        <v>656250</v>
      </c>
      <c r="AM66" s="80">
        <v>-4.0200183676689094E-11</v>
      </c>
      <c r="AN66" s="80">
        <v>0</v>
      </c>
      <c r="AO66" s="116" cm="1">
        <f t="array" ref="AO66:AT69">AS48:AX51</f>
        <v>0</v>
      </c>
      <c r="AP66" s="80">
        <v>0</v>
      </c>
      <c r="AQ66" s="80">
        <v>0</v>
      </c>
      <c r="AR66" s="80">
        <v>0</v>
      </c>
      <c r="AS66" s="80">
        <v>875000000</v>
      </c>
      <c r="AT66" s="80">
        <v>0</v>
      </c>
      <c r="AX66" s="116" cm="1">
        <f t="array" ref="AX66:AX69">BB48:BB51</f>
        <v>-13333333.333333334</v>
      </c>
      <c r="BB66" s="80">
        <v>26487842.36884813</v>
      </c>
      <c r="BC66" s="80">
        <v>26487842.36884813</v>
      </c>
    </row>
    <row r="67" spans="5:74" x14ac:dyDescent="0.2">
      <c r="AJ67" s="78">
        <v>4</v>
      </c>
      <c r="AK67" s="80">
        <v>656250</v>
      </c>
      <c r="AL67" s="3">
        <v>700328.125</v>
      </c>
      <c r="AM67" s="3">
        <v>3.2140046849512931E-11</v>
      </c>
      <c r="AN67" s="3">
        <v>0</v>
      </c>
      <c r="AO67" s="80">
        <v>0</v>
      </c>
      <c r="AP67" s="3">
        <v>-700000</v>
      </c>
      <c r="AQ67" s="3">
        <v>0</v>
      </c>
      <c r="AR67" s="3">
        <v>0</v>
      </c>
      <c r="AS67" s="3">
        <v>656250</v>
      </c>
      <c r="AT67" s="3">
        <v>0</v>
      </c>
      <c r="AU67" s="3"/>
      <c r="AV67" s="7" t="str" cm="1">
        <f t="array" ref="AV67:AV69">AZ49:AZ51</f>
        <v>r21</v>
      </c>
      <c r="AW67" s="1"/>
      <c r="AX67" s="145">
        <v>20000</v>
      </c>
      <c r="AY67" s="1"/>
      <c r="AZ67" s="1"/>
      <c r="BB67" s="80">
        <v>-2.35741026699543E-9</v>
      </c>
      <c r="BC67" s="80">
        <v>-1.4440887730975842E-25</v>
      </c>
    </row>
    <row r="68" spans="5:74" x14ac:dyDescent="0.2">
      <c r="AJ68" s="78">
        <v>5</v>
      </c>
      <c r="AK68" s="80">
        <v>-4.0200183676689094E-11</v>
      </c>
      <c r="AL68" s="3">
        <v>3.2140046849512931E-11</v>
      </c>
      <c r="AM68" s="3">
        <v>525777.77777777775</v>
      </c>
      <c r="AN68" s="3">
        <v>2333333.3333333335</v>
      </c>
      <c r="AO68" s="80">
        <v>0</v>
      </c>
      <c r="AP68" s="3">
        <v>0</v>
      </c>
      <c r="AQ68" s="3">
        <v>-777.77777777777783</v>
      </c>
      <c r="AR68" s="3">
        <v>2333333.3333333335</v>
      </c>
      <c r="AS68" s="3">
        <v>-4.0200183676689094E-11</v>
      </c>
      <c r="AT68" s="3">
        <v>0</v>
      </c>
      <c r="AU68" s="3"/>
      <c r="AV68" s="7" t="str">
        <v>r22</v>
      </c>
      <c r="AW68" s="1"/>
      <c r="AX68" s="142">
        <v>-30000</v>
      </c>
      <c r="AY68" s="1"/>
      <c r="AZ68" s="1"/>
      <c r="BB68" s="80">
        <v>0</v>
      </c>
      <c r="BC68" s="80">
        <v>2.35741026699543E-9</v>
      </c>
      <c r="BO68" s="115"/>
      <c r="BR68" s="139"/>
    </row>
    <row r="69" spans="5:74" x14ac:dyDescent="0.2">
      <c r="AJ69" s="78">
        <v>6</v>
      </c>
      <c r="AK69" s="80">
        <v>0</v>
      </c>
      <c r="AL69" s="3">
        <v>0</v>
      </c>
      <c r="AM69" s="3">
        <v>2333333.3333333335</v>
      </c>
      <c r="AN69" s="3">
        <v>9333333333.333334</v>
      </c>
      <c r="AO69" s="80">
        <v>0</v>
      </c>
      <c r="AP69" s="3">
        <v>0</v>
      </c>
      <c r="AQ69" s="3">
        <v>-2333333.3333333335</v>
      </c>
      <c r="AR69" s="3">
        <v>4666666666.666667</v>
      </c>
      <c r="AS69" s="3">
        <v>0</v>
      </c>
      <c r="AT69" s="3">
        <v>0</v>
      </c>
      <c r="AU69" s="3"/>
      <c r="AV69" s="7" t="str">
        <v>r23</v>
      </c>
      <c r="AW69" s="1"/>
      <c r="AX69" s="142">
        <v>-30000000</v>
      </c>
      <c r="AY69" s="1"/>
      <c r="AZ69" s="1"/>
      <c r="BB69" s="80">
        <f>BB106</f>
        <v>-3.4458935260772705E-8</v>
      </c>
      <c r="BC69" s="80">
        <v>-3.4458935260772705E-8</v>
      </c>
      <c r="BR69" s="139"/>
    </row>
    <row r="70" spans="5:74" x14ac:dyDescent="0.2">
      <c r="AJ70" s="78">
        <v>9</v>
      </c>
      <c r="AK70" s="116" cm="1">
        <f t="array" ref="AK70:AN75">AM54:AP59</f>
        <v>0</v>
      </c>
      <c r="AL70" s="80">
        <v>0</v>
      </c>
      <c r="AM70" s="80">
        <v>0</v>
      </c>
      <c r="AN70" s="80">
        <v>0</v>
      </c>
      <c r="AO70" s="116" cm="1">
        <f t="array" ref="AO70:AT75">AS54:AX59</f>
        <v>2750000000</v>
      </c>
      <c r="AP70" s="80">
        <v>656250</v>
      </c>
      <c r="AQ70" s="80">
        <v>-4.0200183676689094E-11</v>
      </c>
      <c r="AR70" s="80">
        <v>0</v>
      </c>
      <c r="AS70" s="80">
        <v>0</v>
      </c>
      <c r="AT70" s="80">
        <v>875000000</v>
      </c>
      <c r="AX70" s="116" cm="1">
        <f t="array" ref="AX70:AX75">BB54:BB59</f>
        <v>6666666.666666667</v>
      </c>
      <c r="BR70" s="139"/>
    </row>
    <row r="71" spans="5:74" x14ac:dyDescent="0.2">
      <c r="AJ71" s="78">
        <v>10</v>
      </c>
      <c r="AK71" s="80">
        <v>0</v>
      </c>
      <c r="AL71" s="3">
        <v>-700000</v>
      </c>
      <c r="AM71" s="3">
        <v>0</v>
      </c>
      <c r="AN71" s="3">
        <v>0</v>
      </c>
      <c r="AO71" s="80">
        <v>656250</v>
      </c>
      <c r="AP71" s="3">
        <v>700328.125</v>
      </c>
      <c r="AQ71" s="3">
        <v>3.2140046849512931E-11</v>
      </c>
      <c r="AR71" s="3">
        <v>0</v>
      </c>
      <c r="AS71" s="3">
        <v>0</v>
      </c>
      <c r="AT71" s="3">
        <v>656250</v>
      </c>
      <c r="AU71" s="3"/>
      <c r="AV71" s="7" t="str" cm="1">
        <f t="array" ref="AV71:AV75">AZ55:AZ59</f>
        <v>r41</v>
      </c>
      <c r="AW71" s="1"/>
      <c r="AX71" s="145">
        <v>-10000</v>
      </c>
      <c r="AY71" s="1"/>
      <c r="AZ71" s="1"/>
      <c r="BR71" s="139"/>
    </row>
    <row r="72" spans="5:74" x14ac:dyDescent="0.2">
      <c r="AJ72" s="78">
        <v>11</v>
      </c>
      <c r="AK72" s="80">
        <v>0</v>
      </c>
      <c r="AL72" s="3">
        <v>0</v>
      </c>
      <c r="AM72" s="1">
        <v>-777.77777777777783</v>
      </c>
      <c r="AN72" s="1">
        <v>-2333333.3333333335</v>
      </c>
      <c r="AO72" s="80">
        <v>-4.0200183676689094E-11</v>
      </c>
      <c r="AP72" s="1">
        <v>3.2140046849512931E-11</v>
      </c>
      <c r="AQ72" s="3">
        <v>525777.77777777775</v>
      </c>
      <c r="AR72" s="1">
        <v>-2333333.3333333335</v>
      </c>
      <c r="AS72" s="1">
        <v>0</v>
      </c>
      <c r="AT72" s="1">
        <v>-4.0200183676689094E-11</v>
      </c>
      <c r="AU72" s="1" t="s">
        <v>1</v>
      </c>
      <c r="AV72" s="4" t="str">
        <v>r42</v>
      </c>
      <c r="AW72" s="1"/>
      <c r="AX72" s="3">
        <v>-30000</v>
      </c>
      <c r="AY72" s="1"/>
      <c r="AZ72" s="1"/>
      <c r="BC72" s="112"/>
      <c r="BD72" s="112"/>
      <c r="BR72" s="139"/>
    </row>
    <row r="73" spans="5:74" x14ac:dyDescent="0.2">
      <c r="AJ73" s="78">
        <v>12</v>
      </c>
      <c r="AK73" s="80">
        <v>0</v>
      </c>
      <c r="AL73" s="1">
        <v>0</v>
      </c>
      <c r="AM73" s="1">
        <v>2333333.3333333335</v>
      </c>
      <c r="AN73" s="1">
        <v>4666666666.666667</v>
      </c>
      <c r="AO73" s="80">
        <v>0</v>
      </c>
      <c r="AP73" s="1">
        <v>0</v>
      </c>
      <c r="AQ73" s="1">
        <v>-2333333.3333333335</v>
      </c>
      <c r="AR73" s="1">
        <v>9333333333.333334</v>
      </c>
      <c r="AS73" s="1">
        <v>0</v>
      </c>
      <c r="AT73" s="1">
        <v>0</v>
      </c>
      <c r="AU73" s="1"/>
      <c r="AV73" s="4" t="str">
        <v>r43</v>
      </c>
      <c r="AW73" s="1"/>
      <c r="AX73" s="1">
        <v>30000000</v>
      </c>
      <c r="AY73" s="1"/>
      <c r="AZ73" s="1"/>
      <c r="BR73" s="139"/>
    </row>
    <row r="74" spans="5:74" x14ac:dyDescent="0.2">
      <c r="AJ74" s="78">
        <v>13</v>
      </c>
      <c r="AK74" s="80">
        <v>875000000</v>
      </c>
      <c r="AL74" s="1">
        <v>656250</v>
      </c>
      <c r="AM74" s="1">
        <v>-4.0200183676689094E-11</v>
      </c>
      <c r="AN74" s="1">
        <v>0</v>
      </c>
      <c r="AO74" s="80">
        <v>0</v>
      </c>
      <c r="AP74" s="1">
        <v>0</v>
      </c>
      <c r="AQ74" s="1">
        <v>0</v>
      </c>
      <c r="AR74" s="1">
        <v>0</v>
      </c>
      <c r="AS74" s="1">
        <v>1750000000</v>
      </c>
      <c r="AT74" s="1">
        <v>0</v>
      </c>
      <c r="AU74" s="1"/>
      <c r="AV74" s="4" t="str">
        <v>r24</v>
      </c>
      <c r="AW74" s="1"/>
      <c r="AX74" s="1">
        <v>13333333.333333334</v>
      </c>
      <c r="AY74" s="1"/>
      <c r="AZ74" s="1"/>
      <c r="BR74" s="139"/>
    </row>
    <row r="75" spans="5:74" x14ac:dyDescent="0.2">
      <c r="AJ75" s="78">
        <v>14</v>
      </c>
      <c r="AK75" s="80">
        <v>0</v>
      </c>
      <c r="AL75" s="1">
        <v>0</v>
      </c>
      <c r="AM75" s="1">
        <v>0</v>
      </c>
      <c r="AN75" s="1">
        <v>0</v>
      </c>
      <c r="AO75" s="80">
        <v>875000000</v>
      </c>
      <c r="AP75" s="1">
        <v>656250</v>
      </c>
      <c r="AQ75" s="1">
        <v>-4.0200183676689094E-11</v>
      </c>
      <c r="AR75" s="1">
        <v>0</v>
      </c>
      <c r="AS75" s="1">
        <v>0</v>
      </c>
      <c r="AT75" s="1">
        <v>1750000000</v>
      </c>
      <c r="AU75" s="1"/>
      <c r="AV75" s="4" t="str">
        <v>r44</v>
      </c>
      <c r="AW75" s="1"/>
      <c r="AX75" s="1">
        <v>-6666666.666666667</v>
      </c>
      <c r="AY75" s="1"/>
      <c r="AZ75" s="1"/>
      <c r="BR75" s="139"/>
    </row>
    <row r="76" spans="5:74" x14ac:dyDescent="0.2">
      <c r="E76" s="120"/>
      <c r="F76" s="121"/>
      <c r="AG76" s="115"/>
      <c r="AH76" s="115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1"/>
      <c r="AV76" s="1"/>
      <c r="AW76" s="1"/>
      <c r="AX76" s="1"/>
      <c r="AY76" s="1"/>
      <c r="AZ76" s="1"/>
    </row>
    <row r="77" spans="5:74" x14ac:dyDescent="0.2">
      <c r="AG77" s="115"/>
      <c r="AH77" s="115"/>
      <c r="AI77" s="115"/>
      <c r="AJ77" s="1"/>
      <c r="AL77" s="1"/>
      <c r="AM77" s="1"/>
      <c r="AN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5:74" x14ac:dyDescent="0.2">
      <c r="AJ78" s="9"/>
      <c r="AK78" s="9">
        <v>3</v>
      </c>
      <c r="AL78" s="9">
        <v>4</v>
      </c>
      <c r="AM78" s="9">
        <v>5</v>
      </c>
      <c r="AN78" s="9">
        <v>6</v>
      </c>
      <c r="AO78" s="9">
        <v>9</v>
      </c>
      <c r="AP78" s="9">
        <v>10</v>
      </c>
      <c r="AQ78" s="9">
        <v>11</v>
      </c>
      <c r="AR78" s="9">
        <v>12</v>
      </c>
      <c r="AS78" s="9">
        <v>13</v>
      </c>
      <c r="AT78" s="9">
        <v>14</v>
      </c>
      <c r="AU78" s="4" t="s">
        <v>1</v>
      </c>
      <c r="AV78" s="141" t="s">
        <v>50</v>
      </c>
      <c r="AW78" s="146" t="s">
        <v>49</v>
      </c>
      <c r="AX78" s="9" t="s">
        <v>39</v>
      </c>
      <c r="AY78" s="1"/>
      <c r="AZ78" s="1"/>
    </row>
    <row r="79" spans="5:74" x14ac:dyDescent="0.2">
      <c r="AJ79" s="78">
        <v>3</v>
      </c>
      <c r="AK79" s="80">
        <f t="array" ref="AK79:AT88">MINVERSE(AK66:AT75)</f>
        <v>7.1622340650135318E-10</v>
      </c>
      <c r="AL79" s="1">
        <v>-2.0000506743904883E-6</v>
      </c>
      <c r="AM79" s="1">
        <v>1.2252622749378122E-22</v>
      </c>
      <c r="AN79" s="1">
        <v>-3.7940010021390362E-30</v>
      </c>
      <c r="AO79" s="80">
        <v>2.8377659349830427E-10</v>
      </c>
      <c r="AP79" s="1">
        <v>-1.9999493256070958E-6</v>
      </c>
      <c r="AQ79" s="1">
        <v>1.2250346348779486E-22</v>
      </c>
      <c r="AR79" s="1">
        <v>-3.7940009867235347E-30</v>
      </c>
      <c r="AS79" s="1">
        <v>3.9190729964575671E-10</v>
      </c>
      <c r="AT79" s="1">
        <v>6.0809270035350902E-10</v>
      </c>
      <c r="AU79" s="1"/>
      <c r="AV79" s="3" cm="1">
        <f t="array" ref="AV79:AV88">AX66:AX75</f>
        <v>-13333333.333333334</v>
      </c>
      <c r="AW79" s="1"/>
      <c r="AX79" s="153" cm="1">
        <f t="array" ref="AX79:AX88">MMULT(AK79:AT88,_xlfn.ANCHORARRAY(AV79))</f>
        <v>-2.6487842368848134E-2</v>
      </c>
      <c r="AY79" s="1" t="s">
        <v>57</v>
      </c>
      <c r="AZ79" s="1">
        <f>1000*AX79</f>
        <v>-26.487842368848135</v>
      </c>
      <c r="BK79" s="115"/>
    </row>
    <row r="80" spans="5:74" x14ac:dyDescent="0.2">
      <c r="AJ80" s="78">
        <v>4</v>
      </c>
      <c r="AK80" s="80">
        <v>-2.0000506743904891E-6</v>
      </c>
      <c r="AL80" s="1">
        <v>1.409559522903773E-2</v>
      </c>
      <c r="AM80" s="3">
        <v>-8.6340149391284776E-19</v>
      </c>
      <c r="AN80" s="3">
        <v>7.2918728578043125E-27</v>
      </c>
      <c r="AO80" s="80">
        <v>-1.9999493256070967E-6</v>
      </c>
      <c r="AP80" s="1">
        <v>1.409488096142144E-2</v>
      </c>
      <c r="AQ80" s="1">
        <v>-8.6335774267588764E-19</v>
      </c>
      <c r="AR80" s="1">
        <v>7.2918727491288568E-27</v>
      </c>
      <c r="AS80" s="1">
        <v>-4.2858228736939046E-6</v>
      </c>
      <c r="AT80" s="1">
        <v>-4.2856056977294918E-6</v>
      </c>
      <c r="AU80" s="1"/>
      <c r="AV80" s="80">
        <v>20000</v>
      </c>
      <c r="AW80" s="1"/>
      <c r="AX80" s="153">
        <v>125.72384145664401</v>
      </c>
      <c r="AY80" s="1" t="s">
        <v>3</v>
      </c>
      <c r="AZ80" s="1"/>
      <c r="BB80" s="111"/>
      <c r="BE80" s="111"/>
      <c r="BK80" s="112"/>
      <c r="BL80" s="112"/>
      <c r="BM80" s="112"/>
      <c r="BN80" s="112"/>
      <c r="BO80" s="112"/>
      <c r="BP80" s="112"/>
      <c r="BR80" s="113"/>
      <c r="BV80" s="114"/>
    </row>
    <row r="81" spans="1:79" x14ac:dyDescent="0.2">
      <c r="AJ81" s="78">
        <v>5</v>
      </c>
      <c r="AK81" s="80">
        <v>1.2252622749378124E-22</v>
      </c>
      <c r="AL81" s="1">
        <v>-8.6340149391284785E-19</v>
      </c>
      <c r="AM81" s="3">
        <v>1.9047619047619047E-6</v>
      </c>
      <c r="AN81" s="3">
        <v>-3.1746031746030363E-10</v>
      </c>
      <c r="AO81" s="80">
        <v>1.2250346348779489E-22</v>
      </c>
      <c r="AP81" s="1">
        <v>-8.6335774267588793E-19</v>
      </c>
      <c r="AQ81" s="1">
        <v>-9.5161973539299131E-23</v>
      </c>
      <c r="AR81" s="1">
        <v>-3.1746031746030363E-10</v>
      </c>
      <c r="AS81" s="1">
        <v>2.6255620177238831E-22</v>
      </c>
      <c r="AT81" s="1">
        <v>2.6250742175956048E-22</v>
      </c>
      <c r="AU81" s="1"/>
      <c r="AV81" s="1">
        <v>-30000</v>
      </c>
      <c r="AW81" s="1"/>
      <c r="AX81" s="153">
        <v>-5.7142857142864836E-2</v>
      </c>
      <c r="AY81" s="1" t="s">
        <v>3</v>
      </c>
      <c r="AZ81" s="1"/>
      <c r="BB81" s="111"/>
      <c r="BE81" s="111"/>
      <c r="BK81" s="112"/>
      <c r="BL81" s="112"/>
      <c r="BM81" s="112"/>
      <c r="BN81" s="112"/>
      <c r="BO81" s="112"/>
      <c r="BP81" s="112"/>
      <c r="BR81" s="113"/>
      <c r="BV81" s="114"/>
    </row>
    <row r="82" spans="1:79" x14ac:dyDescent="0.2">
      <c r="AJ82" s="78">
        <v>6</v>
      </c>
      <c r="AK82" s="80">
        <v>-3.7940009977236085E-30</v>
      </c>
      <c r="AL82" s="1">
        <v>7.291872826677192E-27</v>
      </c>
      <c r="AM82" s="1">
        <v>-3.1746031746031748E-10</v>
      </c>
      <c r="AN82" s="1">
        <v>1.4296296296296294E-10</v>
      </c>
      <c r="AO82" s="80">
        <v>3.7940009977188602E-30</v>
      </c>
      <c r="AP82" s="1">
        <v>-7.2918728266405353E-27</v>
      </c>
      <c r="AQ82" s="1">
        <v>3.1746031746031748E-10</v>
      </c>
      <c r="AR82" s="1">
        <v>-7.1322751322751319E-11</v>
      </c>
      <c r="AS82" s="1">
        <v>-8.1300021379791663E-30</v>
      </c>
      <c r="AT82" s="1">
        <v>8.1300021379671712E-30</v>
      </c>
      <c r="AU82" s="1"/>
      <c r="AV82" s="1">
        <v>-30000000</v>
      </c>
      <c r="AW82" s="1"/>
      <c r="AX82" s="153">
        <v>-6.4285714285714276E-3</v>
      </c>
      <c r="AY82" s="1" t="s">
        <v>57</v>
      </c>
      <c r="AZ82" s="1">
        <f>1000*AX82</f>
        <v>-6.4285714285714279</v>
      </c>
      <c r="BB82" s="111"/>
      <c r="BE82" s="111"/>
      <c r="BK82" s="112"/>
      <c r="BL82" s="112"/>
      <c r="BM82" s="112"/>
      <c r="BN82" s="112"/>
      <c r="BO82" s="112"/>
      <c r="BP82" s="112"/>
      <c r="BR82" s="113"/>
      <c r="BV82" s="114"/>
    </row>
    <row r="83" spans="1:79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78">
        <v>9</v>
      </c>
      <c r="AK83" s="80">
        <v>2.8377659349830427E-10</v>
      </c>
      <c r="AL83" s="1">
        <v>-1.9999493256070963E-6</v>
      </c>
      <c r="AM83" s="1">
        <v>1.2250346348779486E-22</v>
      </c>
      <c r="AN83" s="1">
        <v>3.7940009933014076E-30</v>
      </c>
      <c r="AO83" s="80">
        <v>7.1622340650135318E-10</v>
      </c>
      <c r="AP83" s="1">
        <v>-2.0000506743904887E-6</v>
      </c>
      <c r="AQ83" s="1">
        <v>1.2252622749378117E-22</v>
      </c>
      <c r="AR83" s="1">
        <v>3.7940010087223539E-30</v>
      </c>
      <c r="AS83" s="1">
        <v>6.0809270035350913E-10</v>
      </c>
      <c r="AT83" s="1">
        <v>3.9190729964575655E-10</v>
      </c>
      <c r="AU83" s="1"/>
      <c r="AV83" s="3">
        <v>6666666.666666667</v>
      </c>
      <c r="AW83" s="1"/>
      <c r="AX83" s="153">
        <v>-1.3512157631130343E-2</v>
      </c>
      <c r="AY83" s="1" t="s">
        <v>57</v>
      </c>
      <c r="AZ83" s="1">
        <f>1000*AX83</f>
        <v>-13.512157631130343</v>
      </c>
      <c r="BK83" s="112"/>
      <c r="BL83" s="112"/>
      <c r="BM83" s="112"/>
      <c r="BN83" s="112"/>
      <c r="BO83" s="112"/>
      <c r="BP83" s="112"/>
      <c r="BR83" s="113"/>
      <c r="BV83" s="114"/>
    </row>
    <row r="84" spans="1:79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78">
        <v>10</v>
      </c>
      <c r="AK84" s="80">
        <v>-1.9999493256070967E-6</v>
      </c>
      <c r="AL84" s="1">
        <v>1.4094880961421441E-2</v>
      </c>
      <c r="AM84" s="1">
        <v>-8.6335774267588774E-19</v>
      </c>
      <c r="AN84" s="1">
        <v>-7.2918727955111963E-27</v>
      </c>
      <c r="AO84" s="80">
        <v>-2.0000506743904887E-6</v>
      </c>
      <c r="AP84" s="1">
        <v>1.4095595229037729E-2</v>
      </c>
      <c r="AQ84" s="3">
        <v>-8.6340149391284747E-19</v>
      </c>
      <c r="AR84" s="1">
        <v>-7.2918729041921493E-27</v>
      </c>
      <c r="AS84" s="1">
        <v>-4.2856056977294926E-6</v>
      </c>
      <c r="AT84" s="1">
        <v>-4.2858228736939038E-6</v>
      </c>
      <c r="AU84" s="1"/>
      <c r="AV84" s="1">
        <v>-10000</v>
      </c>
      <c r="AW84" s="1"/>
      <c r="AX84" s="153">
        <v>125.70472997177573</v>
      </c>
      <c r="AY84" s="1" t="s">
        <v>3</v>
      </c>
      <c r="AZ84" s="1">
        <f>1000*AX84</f>
        <v>125704.72997177573</v>
      </c>
      <c r="BA84" s="4"/>
      <c r="BB84" s="4"/>
      <c r="BC84" s="4"/>
      <c r="BD84" s="4"/>
      <c r="BE84" s="12"/>
      <c r="BF84" s="4"/>
      <c r="BG84" s="4"/>
      <c r="BH84" s="4"/>
      <c r="BI84" s="4"/>
      <c r="BJ84" s="4"/>
      <c r="BK84" s="6"/>
      <c r="BL84" s="6"/>
      <c r="BM84" s="6"/>
      <c r="BN84" s="6"/>
      <c r="BO84" s="112"/>
      <c r="BP84" s="112"/>
      <c r="BR84" s="113"/>
      <c r="BV84" s="114"/>
    </row>
    <row r="85" spans="1:79" x14ac:dyDescent="0.2">
      <c r="AJ85" s="78">
        <v>11</v>
      </c>
      <c r="AK85" s="80">
        <v>1.2250346348779489E-22</v>
      </c>
      <c r="AL85" s="1">
        <v>-8.6335774267588774E-19</v>
      </c>
      <c r="AM85" s="1">
        <v>-2.8157900965701176E-25</v>
      </c>
      <c r="AN85" s="1">
        <v>3.1746031746031748E-10</v>
      </c>
      <c r="AO85" s="80">
        <v>1.225262274937812E-22</v>
      </c>
      <c r="AP85" s="1">
        <v>-8.6340149391284766E-19</v>
      </c>
      <c r="AQ85" s="3">
        <v>1.9047619047619047E-6</v>
      </c>
      <c r="AR85" s="1">
        <v>3.1746031746031743E-10</v>
      </c>
      <c r="AS85" s="1">
        <v>2.6250742175956048E-22</v>
      </c>
      <c r="AT85" s="1">
        <v>2.6255620177238831E-22</v>
      </c>
      <c r="AU85" s="1"/>
      <c r="AV85" s="1">
        <v>-30000</v>
      </c>
      <c r="AW85" s="1"/>
      <c r="AX85" s="153">
        <v>-5.7142857142864843E-2</v>
      </c>
      <c r="AY85" s="1" t="s">
        <v>3</v>
      </c>
      <c r="AZ85" s="1">
        <f>1000*AX85</f>
        <v>-57.142857142864841</v>
      </c>
      <c r="BC85" s="110"/>
      <c r="BD85" s="110"/>
      <c r="BE85" s="111"/>
      <c r="BK85" s="112"/>
      <c r="BL85" s="112"/>
      <c r="BM85" s="112"/>
      <c r="BN85" s="112"/>
      <c r="BO85" s="112"/>
      <c r="BP85" s="112"/>
      <c r="BR85" s="113"/>
      <c r="BV85" s="114"/>
    </row>
    <row r="86" spans="1:79" x14ac:dyDescent="0.2">
      <c r="AJ86" s="78">
        <v>12</v>
      </c>
      <c r="AK86" s="80">
        <v>-3.7940009977236085E-30</v>
      </c>
      <c r="AL86" s="1">
        <v>7.291872826677192E-27</v>
      </c>
      <c r="AM86" s="1">
        <v>-3.1746031746031748E-10</v>
      </c>
      <c r="AN86" s="1">
        <v>-7.1322751322751306E-11</v>
      </c>
      <c r="AO86" s="80">
        <v>3.7940009977188602E-30</v>
      </c>
      <c r="AP86" s="1">
        <v>-7.2918728266405353E-27</v>
      </c>
      <c r="AQ86" s="1">
        <v>3.1746031746031748E-10</v>
      </c>
      <c r="AR86" s="1">
        <v>1.4296296296296294E-10</v>
      </c>
      <c r="AS86" s="1">
        <v>-8.1300021379791663E-30</v>
      </c>
      <c r="AT86" s="1">
        <v>8.1300021379671712E-30</v>
      </c>
      <c r="AU86" s="1"/>
      <c r="AV86" s="1">
        <v>30000000</v>
      </c>
      <c r="AW86" s="1"/>
      <c r="AX86" s="153">
        <v>6.4285714285714276E-3</v>
      </c>
      <c r="AY86" s="1" t="s">
        <v>57</v>
      </c>
      <c r="AZ86" s="1">
        <f>1000*AX86</f>
        <v>6.4285714285714279</v>
      </c>
      <c r="BC86" s="110"/>
      <c r="BD86" s="110"/>
      <c r="BE86" s="111"/>
    </row>
    <row r="87" spans="1:79" x14ac:dyDescent="0.2">
      <c r="AJ87" s="78">
        <v>13</v>
      </c>
      <c r="AK87" s="80">
        <v>3.9190729964575676E-10</v>
      </c>
      <c r="AL87" s="80">
        <v>-4.2858228736939055E-6</v>
      </c>
      <c r="AM87" s="80">
        <v>2.6255620177238831E-22</v>
      </c>
      <c r="AN87" s="80">
        <v>-8.130002147446818E-30</v>
      </c>
      <c r="AO87" s="80">
        <v>6.0809270035350913E-10</v>
      </c>
      <c r="AP87" s="80">
        <v>-4.2856056977294926E-6</v>
      </c>
      <c r="AQ87" s="80">
        <v>2.6250742175956043E-22</v>
      </c>
      <c r="AR87" s="80">
        <v>-8.1300021143889485E-30</v>
      </c>
      <c r="AS87" s="80">
        <v>1.9826584992409073E-9</v>
      </c>
      <c r="AT87" s="80">
        <v>1.3030557864718051E-9</v>
      </c>
      <c r="AU87" s="1"/>
      <c r="AV87" s="1">
        <v>13333333.333333334</v>
      </c>
      <c r="AW87" s="1"/>
      <c r="AX87" s="1">
        <v>-2.6283471742769834E-2</v>
      </c>
      <c r="AY87" s="1" t="s">
        <v>57</v>
      </c>
      <c r="AZ87" s="1"/>
      <c r="BB87" s="111"/>
      <c r="BE87" s="111"/>
      <c r="BK87" s="115"/>
    </row>
    <row r="88" spans="1:79" x14ac:dyDescent="0.2">
      <c r="AJ88" s="78">
        <v>14</v>
      </c>
      <c r="AK88" s="80">
        <v>6.0809270035350913E-10</v>
      </c>
      <c r="AL88" s="80">
        <v>-4.2856056977294926E-6</v>
      </c>
      <c r="AM88" s="80">
        <v>2.6250742175956048E-22</v>
      </c>
      <c r="AN88" s="80">
        <v>8.13000212850302E-30</v>
      </c>
      <c r="AO88" s="80">
        <v>3.9190729964575671E-10</v>
      </c>
      <c r="AP88" s="80">
        <v>-4.2858228736939046E-6</v>
      </c>
      <c r="AQ88" s="80">
        <v>2.6255620177238826E-22</v>
      </c>
      <c r="AR88" s="80">
        <v>8.1300021615479037E-30</v>
      </c>
      <c r="AS88" s="80">
        <v>1.3030557864718051E-9</v>
      </c>
      <c r="AT88" s="80">
        <v>1.9826584992409073E-9</v>
      </c>
      <c r="AV88" s="80">
        <v>-6666666.666666667</v>
      </c>
      <c r="AX88" s="80">
        <v>-4.4192718733374561E-2</v>
      </c>
      <c r="AY88" s="80" t="s">
        <v>57</v>
      </c>
      <c r="BB88" s="111"/>
      <c r="BE88" s="111"/>
      <c r="BK88" s="116"/>
      <c r="BL88" s="116"/>
      <c r="BM88" s="116"/>
      <c r="BN88" s="116"/>
      <c r="BO88" s="116"/>
      <c r="BP88" s="116"/>
      <c r="BR88" s="113"/>
      <c r="BT88" s="112"/>
      <c r="BY88" s="117"/>
      <c r="CA88" s="118"/>
    </row>
    <row r="89" spans="1:79" x14ac:dyDescent="0.2"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Z89" s="111"/>
      <c r="BB89" s="111"/>
      <c r="BE89" s="111"/>
      <c r="BK89" s="116"/>
      <c r="BL89" s="116"/>
      <c r="BM89" s="116"/>
      <c r="BN89" s="116"/>
      <c r="BO89" s="116"/>
      <c r="BP89" s="116"/>
      <c r="BR89" s="113"/>
      <c r="BT89" s="116"/>
      <c r="BY89" s="117"/>
      <c r="CA89" s="118"/>
    </row>
    <row r="90" spans="1:79" x14ac:dyDescent="0.2">
      <c r="AK90" s="16"/>
      <c r="AL90" s="16"/>
      <c r="AM90" s="16"/>
      <c r="AN90" s="16"/>
      <c r="AO90" s="16"/>
      <c r="AP90" s="16"/>
      <c r="AQ90" s="7"/>
      <c r="AR90" s="7"/>
      <c r="AS90" s="7"/>
      <c r="AT90" s="7"/>
      <c r="AU90" s="7"/>
      <c r="AV90" s="7"/>
      <c r="AW90" s="7"/>
      <c r="AX90" s="7"/>
      <c r="AZ90" s="111"/>
      <c r="BB90" s="111"/>
      <c r="BE90" s="111"/>
      <c r="BK90" s="116"/>
      <c r="BL90" s="116"/>
      <c r="BM90" s="116"/>
      <c r="BN90" s="116"/>
      <c r="BO90" s="116"/>
      <c r="BP90" s="116"/>
      <c r="BR90" s="113"/>
      <c r="BT90" s="116"/>
      <c r="BY90" s="117"/>
      <c r="CA90" s="118"/>
    </row>
    <row r="91" spans="1:79" x14ac:dyDescent="0.2">
      <c r="AJ91" s="79" t="s">
        <v>100</v>
      </c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BE91" s="111"/>
      <c r="BK91" s="116"/>
      <c r="BL91" s="116"/>
      <c r="BM91" s="116"/>
      <c r="BN91" s="116"/>
      <c r="BO91" s="116"/>
      <c r="BP91" s="116"/>
      <c r="BR91" s="113"/>
      <c r="BT91" s="112"/>
      <c r="BY91" s="117"/>
      <c r="CA91" s="118"/>
    </row>
    <row r="92" spans="1:79" x14ac:dyDescent="0.2">
      <c r="AJ92" s="78"/>
      <c r="AK92" s="78">
        <v>1</v>
      </c>
      <c r="AL92" s="78">
        <v>2</v>
      </c>
      <c r="AM92" s="78">
        <v>3</v>
      </c>
      <c r="AN92" s="78">
        <v>4</v>
      </c>
      <c r="AO92" s="78">
        <v>5</v>
      </c>
      <c r="AP92" s="78">
        <v>6</v>
      </c>
      <c r="AQ92" s="78">
        <v>7</v>
      </c>
      <c r="AR92" s="78">
        <v>8</v>
      </c>
      <c r="AS92" s="78">
        <v>9</v>
      </c>
      <c r="AT92" s="78">
        <v>10</v>
      </c>
      <c r="AU92" s="78">
        <v>11</v>
      </c>
      <c r="AV92" s="78">
        <v>12</v>
      </c>
      <c r="AW92" s="78">
        <v>13</v>
      </c>
      <c r="AX92" s="78">
        <v>14</v>
      </c>
      <c r="AZ92" s="9" t="s">
        <v>39</v>
      </c>
      <c r="BB92" s="9" t="s">
        <v>88</v>
      </c>
      <c r="BE92" s="111"/>
      <c r="BK92" s="116"/>
      <c r="BL92" s="116"/>
      <c r="BM92" s="116"/>
      <c r="BN92" s="116"/>
      <c r="BO92" s="116"/>
      <c r="BP92" s="116"/>
      <c r="BR92" s="113"/>
      <c r="BT92" s="116"/>
      <c r="BY92" s="117"/>
      <c r="CA92" s="118"/>
    </row>
    <row r="93" spans="1:79" x14ac:dyDescent="0.2">
      <c r="AJ93" s="78">
        <v>1</v>
      </c>
      <c r="AK93" s="16">
        <f>AK6+BA6+AK25</f>
        <v>328.125</v>
      </c>
      <c r="AL93" s="16">
        <f t="shared" ref="AL93:AX93" si="28">AL6+BB6+AL25</f>
        <v>3.2140046849512931E-11</v>
      </c>
      <c r="AM93" s="16">
        <f t="shared" si="28"/>
        <v>-656250</v>
      </c>
      <c r="AN93" s="16">
        <f t="shared" si="28"/>
        <v>-328.125</v>
      </c>
      <c r="AO93" s="16">
        <f t="shared" si="28"/>
        <v>-3.2140046849512931E-11</v>
      </c>
      <c r="AP93" s="16">
        <f t="shared" si="28"/>
        <v>0</v>
      </c>
      <c r="AQ93" s="16">
        <f t="shared" si="28"/>
        <v>0</v>
      </c>
      <c r="AR93" s="16">
        <f t="shared" si="28"/>
        <v>0</v>
      </c>
      <c r="AS93" s="16">
        <f t="shared" si="28"/>
        <v>0</v>
      </c>
      <c r="AT93" s="16">
        <f t="shared" si="28"/>
        <v>0</v>
      </c>
      <c r="AU93" s="16">
        <f t="shared" si="28"/>
        <v>0</v>
      </c>
      <c r="AV93" s="16">
        <f t="shared" si="28"/>
        <v>0</v>
      </c>
      <c r="AW93" s="16">
        <f t="shared" si="28"/>
        <v>-656250</v>
      </c>
      <c r="AX93" s="16">
        <f t="shared" si="28"/>
        <v>0</v>
      </c>
      <c r="AZ93" s="157">
        <v>0</v>
      </c>
      <c r="BB93" s="4">
        <f t="array" ref="BB93:BB106">MMULT(AK93:AX106,AZ93:AZ106)-BB46:BB59</f>
        <v>-26621.960592212021</v>
      </c>
      <c r="BE93" s="111"/>
      <c r="BK93" s="116"/>
      <c r="BL93" s="116"/>
      <c r="BM93" s="116"/>
      <c r="BN93" s="116"/>
      <c r="BO93" s="116"/>
      <c r="BP93" s="116"/>
      <c r="BR93" s="113"/>
      <c r="BT93" s="116"/>
      <c r="BY93" s="117"/>
      <c r="CA93" s="118"/>
    </row>
    <row r="94" spans="1:79" x14ac:dyDescent="0.2">
      <c r="AJ94" s="78">
        <v>2</v>
      </c>
      <c r="AK94" s="16">
        <f t="shared" ref="AK94:AK106" si="29">AK7+BA7+AK26</f>
        <v>3.2140046849512931E-11</v>
      </c>
      <c r="AL94" s="16">
        <f t="shared" ref="AL94:AL106" si="30">AL7+BB7+AL26</f>
        <v>525000</v>
      </c>
      <c r="AM94" s="16">
        <f t="shared" ref="AM94:AM106" si="31">AM7+BC7+AM26</f>
        <v>4.0200183676689094E-11</v>
      </c>
      <c r="AN94" s="16">
        <f t="shared" ref="AN94:AN106" si="32">AN7+BD7+AN26</f>
        <v>-3.2140046849512931E-11</v>
      </c>
      <c r="AO94" s="16">
        <f t="shared" ref="AO94:AO106" si="33">AO7+BE7+AO26</f>
        <v>-525000</v>
      </c>
      <c r="AP94" s="16">
        <f t="shared" ref="AP94:AP106" si="34">AP7+BF7+AP26</f>
        <v>0</v>
      </c>
      <c r="AQ94" s="16">
        <f t="shared" ref="AQ94:AQ106" si="35">AQ7+BG7+AQ26</f>
        <v>0</v>
      </c>
      <c r="AR94" s="16">
        <f t="shared" ref="AR94:AR106" si="36">AR7+BH7+AR26</f>
        <v>0</v>
      </c>
      <c r="AS94" s="16">
        <f t="shared" ref="AS94:AS106" si="37">AS7+BI7+AS26</f>
        <v>0</v>
      </c>
      <c r="AT94" s="16">
        <f t="shared" ref="AT94:AT106" si="38">AT7+BJ7+AT26</f>
        <v>0</v>
      </c>
      <c r="AU94" s="16">
        <f t="shared" ref="AU94:AU106" si="39">AU7+BK7+AU26</f>
        <v>0</v>
      </c>
      <c r="AV94" s="16">
        <f t="shared" ref="AV94:AV106" si="40">AV7+BL7+AV26</f>
        <v>0</v>
      </c>
      <c r="AW94" s="16">
        <f t="shared" ref="AW94:AW106" si="41">AW7+BM7+AW26</f>
        <v>4.0200183676689094E-11</v>
      </c>
      <c r="AX94" s="16">
        <f t="shared" ref="AX94:AX106" si="42">AX7+BN7+AX26</f>
        <v>0</v>
      </c>
      <c r="AZ94" s="157">
        <v>0</v>
      </c>
      <c r="BB94" s="154">
        <v>29999.999999999996</v>
      </c>
    </row>
    <row r="95" spans="1:79" x14ac:dyDescent="0.2">
      <c r="AJ95" s="78">
        <v>3</v>
      </c>
      <c r="AK95" s="16">
        <f t="shared" si="29"/>
        <v>-656250</v>
      </c>
      <c r="AL95" s="16">
        <f t="shared" si="30"/>
        <v>4.0200183676689094E-11</v>
      </c>
      <c r="AM95" s="16">
        <f t="shared" si="31"/>
        <v>1750000000</v>
      </c>
      <c r="AN95" s="16">
        <f t="shared" si="32"/>
        <v>656250</v>
      </c>
      <c r="AO95" s="16">
        <f t="shared" si="33"/>
        <v>-4.0200183676689094E-11</v>
      </c>
      <c r="AP95" s="16">
        <f t="shared" si="34"/>
        <v>0</v>
      </c>
      <c r="AQ95" s="16">
        <f t="shared" si="35"/>
        <v>0</v>
      </c>
      <c r="AR95" s="16">
        <f t="shared" si="36"/>
        <v>0</v>
      </c>
      <c r="AS95" s="16">
        <f t="shared" si="37"/>
        <v>0</v>
      </c>
      <c r="AT95" s="16">
        <f t="shared" si="38"/>
        <v>0</v>
      </c>
      <c r="AU95" s="16">
        <f t="shared" si="39"/>
        <v>0</v>
      </c>
      <c r="AV95" s="16">
        <f t="shared" si="40"/>
        <v>0</v>
      </c>
      <c r="AW95" s="16">
        <f t="shared" si="41"/>
        <v>875000000</v>
      </c>
      <c r="AX95" s="16">
        <f t="shared" si="42"/>
        <v>0</v>
      </c>
      <c r="AZ95" s="157" cm="1">
        <f t="array" ref="AZ95:AZ98">AX79:AX82</f>
        <v>-2.6487842368848134E-2</v>
      </c>
      <c r="BB95" s="154">
        <v>26487842.36884813</v>
      </c>
    </row>
    <row r="96" spans="1:79" x14ac:dyDescent="0.2">
      <c r="AJ96" s="78">
        <v>4</v>
      </c>
      <c r="AK96" s="16">
        <f t="shared" si="29"/>
        <v>-328.125</v>
      </c>
      <c r="AL96" s="16">
        <f t="shared" si="30"/>
        <v>-3.2140046849512931E-11</v>
      </c>
      <c r="AM96" s="16">
        <f t="shared" si="31"/>
        <v>656250</v>
      </c>
      <c r="AN96" s="16">
        <f t="shared" si="32"/>
        <v>700328.125</v>
      </c>
      <c r="AO96" s="16">
        <f t="shared" si="33"/>
        <v>3.2140046849512931E-11</v>
      </c>
      <c r="AP96" s="16">
        <f t="shared" si="34"/>
        <v>0</v>
      </c>
      <c r="AQ96" s="16">
        <f t="shared" si="35"/>
        <v>0</v>
      </c>
      <c r="AR96" s="16">
        <f t="shared" si="36"/>
        <v>0</v>
      </c>
      <c r="AS96" s="16">
        <f t="shared" si="37"/>
        <v>0</v>
      </c>
      <c r="AT96" s="16">
        <f t="shared" si="38"/>
        <v>-700000</v>
      </c>
      <c r="AU96" s="16">
        <f t="shared" si="39"/>
        <v>0</v>
      </c>
      <c r="AV96" s="16">
        <f t="shared" si="40"/>
        <v>0</v>
      </c>
      <c r="AW96" s="16">
        <f t="shared" si="41"/>
        <v>656250</v>
      </c>
      <c r="AX96" s="16">
        <f t="shared" si="42"/>
        <v>0</v>
      </c>
      <c r="AZ96" s="157">
        <v>125.72384145664401</v>
      </c>
      <c r="BB96" s="154">
        <v>-2.35741026699543E-9</v>
      </c>
    </row>
    <row r="97" spans="23:70" x14ac:dyDescent="0.2">
      <c r="AJ97" s="78">
        <v>5</v>
      </c>
      <c r="AK97" s="16">
        <f t="shared" si="29"/>
        <v>-3.2140046849512931E-11</v>
      </c>
      <c r="AL97" s="16">
        <f t="shared" si="30"/>
        <v>-525000</v>
      </c>
      <c r="AM97" s="16">
        <f t="shared" si="31"/>
        <v>-4.0200183676689094E-11</v>
      </c>
      <c r="AN97" s="16">
        <f t="shared" si="32"/>
        <v>3.2140046849512931E-11</v>
      </c>
      <c r="AO97" s="16">
        <f t="shared" si="33"/>
        <v>525777.77777777775</v>
      </c>
      <c r="AP97" s="16">
        <f t="shared" si="34"/>
        <v>2333333.3333333335</v>
      </c>
      <c r="AQ97" s="16">
        <f t="shared" si="35"/>
        <v>0</v>
      </c>
      <c r="AR97" s="16">
        <f t="shared" si="36"/>
        <v>0</v>
      </c>
      <c r="AS97" s="16">
        <f t="shared" si="37"/>
        <v>0</v>
      </c>
      <c r="AT97" s="16">
        <f t="shared" si="38"/>
        <v>0</v>
      </c>
      <c r="AU97" s="16">
        <f t="shared" si="39"/>
        <v>-777.77777777777783</v>
      </c>
      <c r="AV97" s="16">
        <f t="shared" si="40"/>
        <v>2333333.3333333335</v>
      </c>
      <c r="AW97" s="16">
        <f t="shared" si="41"/>
        <v>-4.0200183676689094E-11</v>
      </c>
      <c r="AX97" s="16">
        <f t="shared" si="42"/>
        <v>0</v>
      </c>
      <c r="AZ97" s="157">
        <v>-5.7142857142864836E-2</v>
      </c>
      <c r="BB97" s="80">
        <v>0</v>
      </c>
    </row>
    <row r="98" spans="23:70" x14ac:dyDescent="0.2">
      <c r="AJ98" s="78">
        <v>6</v>
      </c>
      <c r="AK98" s="16">
        <f t="shared" si="29"/>
        <v>0</v>
      </c>
      <c r="AL98" s="16">
        <f t="shared" si="30"/>
        <v>0</v>
      </c>
      <c r="AM98" s="16">
        <f t="shared" si="31"/>
        <v>0</v>
      </c>
      <c r="AN98" s="16">
        <f t="shared" si="32"/>
        <v>0</v>
      </c>
      <c r="AO98" s="16">
        <f t="shared" si="33"/>
        <v>2333333.3333333335</v>
      </c>
      <c r="AP98" s="16">
        <f t="shared" si="34"/>
        <v>9333333333.333334</v>
      </c>
      <c r="AQ98" s="16">
        <f t="shared" si="35"/>
        <v>0</v>
      </c>
      <c r="AR98" s="16">
        <f t="shared" si="36"/>
        <v>0</v>
      </c>
      <c r="AS98" s="16">
        <f t="shared" si="37"/>
        <v>0</v>
      </c>
      <c r="AT98" s="16">
        <f t="shared" si="38"/>
        <v>0</v>
      </c>
      <c r="AU98" s="16">
        <f t="shared" si="39"/>
        <v>-2333333.3333333335</v>
      </c>
      <c r="AV98" s="16">
        <f t="shared" si="40"/>
        <v>4666666666.666667</v>
      </c>
      <c r="AW98" s="16">
        <f t="shared" si="41"/>
        <v>0</v>
      </c>
      <c r="AX98" s="16">
        <f t="shared" si="42"/>
        <v>0</v>
      </c>
      <c r="AZ98" s="157">
        <v>-6.4285714285714276E-3</v>
      </c>
      <c r="BB98" s="154">
        <v>0</v>
      </c>
    </row>
    <row r="99" spans="23:70" x14ac:dyDescent="0.2">
      <c r="AJ99" s="78">
        <v>7</v>
      </c>
      <c r="AK99" s="16">
        <f t="shared" si="29"/>
        <v>0</v>
      </c>
      <c r="AL99" s="16">
        <f t="shared" si="30"/>
        <v>0</v>
      </c>
      <c r="AM99" s="16">
        <f t="shared" si="31"/>
        <v>0</v>
      </c>
      <c r="AN99" s="16">
        <f t="shared" si="32"/>
        <v>0</v>
      </c>
      <c r="AO99" s="16">
        <f t="shared" si="33"/>
        <v>0</v>
      </c>
      <c r="AP99" s="16">
        <f t="shared" si="34"/>
        <v>0</v>
      </c>
      <c r="AQ99" s="16">
        <f t="shared" si="35"/>
        <v>328.125</v>
      </c>
      <c r="AR99" s="16">
        <f t="shared" si="36"/>
        <v>3.2140046849512931E-11</v>
      </c>
      <c r="AS99" s="16">
        <f t="shared" si="37"/>
        <v>-656250</v>
      </c>
      <c r="AT99" s="16">
        <f t="shared" si="38"/>
        <v>-328.125</v>
      </c>
      <c r="AU99" s="16">
        <f t="shared" si="39"/>
        <v>-3.2140046849512931E-11</v>
      </c>
      <c r="AV99" s="16">
        <f t="shared" si="40"/>
        <v>0</v>
      </c>
      <c r="AW99" s="16">
        <f t="shared" si="41"/>
        <v>0</v>
      </c>
      <c r="AX99" s="16">
        <f t="shared" si="42"/>
        <v>-656250</v>
      </c>
      <c r="AZ99" s="157">
        <v>0</v>
      </c>
      <c r="BB99" s="154">
        <v>6621.9605922174342</v>
      </c>
    </row>
    <row r="100" spans="23:70" x14ac:dyDescent="0.2">
      <c r="AJ100" s="78">
        <v>8</v>
      </c>
      <c r="AK100" s="16">
        <f t="shared" si="29"/>
        <v>0</v>
      </c>
      <c r="AL100" s="16">
        <f t="shared" si="30"/>
        <v>0</v>
      </c>
      <c r="AM100" s="16">
        <f t="shared" si="31"/>
        <v>0</v>
      </c>
      <c r="AN100" s="16">
        <f t="shared" si="32"/>
        <v>0</v>
      </c>
      <c r="AO100" s="16">
        <f t="shared" si="33"/>
        <v>0</v>
      </c>
      <c r="AP100" s="16">
        <f t="shared" si="34"/>
        <v>0</v>
      </c>
      <c r="AQ100" s="16">
        <f t="shared" si="35"/>
        <v>3.2140046849512931E-11</v>
      </c>
      <c r="AR100" s="16">
        <f t="shared" si="36"/>
        <v>525000</v>
      </c>
      <c r="AS100" s="16">
        <f t="shared" si="37"/>
        <v>4.0200183676689094E-11</v>
      </c>
      <c r="AT100" s="16">
        <f t="shared" si="38"/>
        <v>-3.2140046849512931E-11</v>
      </c>
      <c r="AU100" s="16">
        <f t="shared" si="39"/>
        <v>-525000</v>
      </c>
      <c r="AV100" s="16">
        <f t="shared" si="40"/>
        <v>0</v>
      </c>
      <c r="AW100" s="16">
        <f t="shared" si="41"/>
        <v>0</v>
      </c>
      <c r="AX100" s="16">
        <f t="shared" si="42"/>
        <v>4.0200183676689094E-11</v>
      </c>
      <c r="AZ100" s="157">
        <v>0</v>
      </c>
      <c r="BB100" s="155">
        <v>30000</v>
      </c>
      <c r="BC100" s="112"/>
      <c r="BD100" s="112"/>
    </row>
    <row r="101" spans="23:70" x14ac:dyDescent="0.2">
      <c r="AJ101" s="78">
        <v>9</v>
      </c>
      <c r="AK101" s="16">
        <f t="shared" si="29"/>
        <v>0</v>
      </c>
      <c r="AL101" s="16">
        <f t="shared" si="30"/>
        <v>0</v>
      </c>
      <c r="AM101" s="16">
        <f t="shared" si="31"/>
        <v>0</v>
      </c>
      <c r="AN101" s="16">
        <f t="shared" si="32"/>
        <v>0</v>
      </c>
      <c r="AO101" s="16">
        <f t="shared" si="33"/>
        <v>0</v>
      </c>
      <c r="AP101" s="16">
        <f t="shared" si="34"/>
        <v>0</v>
      </c>
      <c r="AQ101" s="16">
        <f t="shared" si="35"/>
        <v>-656250</v>
      </c>
      <c r="AR101" s="16">
        <f t="shared" si="36"/>
        <v>4.0200183676689094E-11</v>
      </c>
      <c r="AS101" s="16">
        <f t="shared" si="37"/>
        <v>1750000000</v>
      </c>
      <c r="AT101" s="16">
        <f t="shared" si="38"/>
        <v>656250</v>
      </c>
      <c r="AU101" s="16">
        <f t="shared" si="39"/>
        <v>-4.0200183676689094E-11</v>
      </c>
      <c r="AV101" s="16">
        <f t="shared" si="40"/>
        <v>0</v>
      </c>
      <c r="AW101" s="16">
        <f t="shared" si="41"/>
        <v>0</v>
      </c>
      <c r="AX101" s="16">
        <f t="shared" si="42"/>
        <v>875000000</v>
      </c>
      <c r="AZ101" s="157" cm="1">
        <f t="array" ref="AZ101:AZ106">AX83:AX88</f>
        <v>-1.3512157631130343E-2</v>
      </c>
      <c r="BB101" s="154">
        <v>13512157.631130319</v>
      </c>
    </row>
    <row r="102" spans="23:70" x14ac:dyDescent="0.2">
      <c r="AJ102" s="78">
        <v>10</v>
      </c>
      <c r="AK102" s="16">
        <f t="shared" si="29"/>
        <v>0</v>
      </c>
      <c r="AL102" s="16">
        <f t="shared" si="30"/>
        <v>0</v>
      </c>
      <c r="AM102" s="16">
        <f t="shared" si="31"/>
        <v>0</v>
      </c>
      <c r="AN102" s="16">
        <f t="shared" si="32"/>
        <v>-700000</v>
      </c>
      <c r="AO102" s="16">
        <f t="shared" si="33"/>
        <v>0</v>
      </c>
      <c r="AP102" s="16">
        <f t="shared" si="34"/>
        <v>0</v>
      </c>
      <c r="AQ102" s="16">
        <f t="shared" si="35"/>
        <v>-328.125</v>
      </c>
      <c r="AR102" s="16">
        <f t="shared" si="36"/>
        <v>-3.2140046849512931E-11</v>
      </c>
      <c r="AS102" s="16">
        <f t="shared" si="37"/>
        <v>656250</v>
      </c>
      <c r="AT102" s="16">
        <f t="shared" si="38"/>
        <v>700328.125</v>
      </c>
      <c r="AU102" s="16">
        <f t="shared" si="39"/>
        <v>3.2140046849512931E-11</v>
      </c>
      <c r="AV102" s="16">
        <f t="shared" si="40"/>
        <v>0</v>
      </c>
      <c r="AW102" s="16">
        <f t="shared" si="41"/>
        <v>0</v>
      </c>
      <c r="AX102" s="16">
        <f t="shared" si="42"/>
        <v>656250</v>
      </c>
      <c r="AZ102" s="157">
        <v>125.70472997177573</v>
      </c>
      <c r="BB102" s="155">
        <v>2.7903297450393438E-9</v>
      </c>
    </row>
    <row r="103" spans="23:70" x14ac:dyDescent="0.2">
      <c r="AJ103" s="78">
        <v>11</v>
      </c>
      <c r="AK103" s="16">
        <f t="shared" si="29"/>
        <v>0</v>
      </c>
      <c r="AL103" s="16">
        <f t="shared" si="30"/>
        <v>0</v>
      </c>
      <c r="AM103" s="16">
        <f t="shared" si="31"/>
        <v>0</v>
      </c>
      <c r="AN103" s="16">
        <f t="shared" si="32"/>
        <v>0</v>
      </c>
      <c r="AO103" s="16">
        <f t="shared" si="33"/>
        <v>-777.77777777777783</v>
      </c>
      <c r="AP103" s="16">
        <f t="shared" si="34"/>
        <v>-2333333.3333333335</v>
      </c>
      <c r="AQ103" s="16">
        <f t="shared" si="35"/>
        <v>-3.2140046849512931E-11</v>
      </c>
      <c r="AR103" s="16">
        <f t="shared" si="36"/>
        <v>-525000</v>
      </c>
      <c r="AS103" s="16">
        <f t="shared" si="37"/>
        <v>-4.0200183676689094E-11</v>
      </c>
      <c r="AT103" s="16">
        <f t="shared" si="38"/>
        <v>3.2140046849512931E-11</v>
      </c>
      <c r="AU103" s="16">
        <f t="shared" si="39"/>
        <v>525777.77777777775</v>
      </c>
      <c r="AV103" s="16">
        <f t="shared" si="40"/>
        <v>-2333333.3333333335</v>
      </c>
      <c r="AW103" s="16">
        <f t="shared" si="41"/>
        <v>0</v>
      </c>
      <c r="AX103" s="16">
        <f t="shared" si="42"/>
        <v>-4.0200183676689094E-11</v>
      </c>
      <c r="AZ103" s="157">
        <v>-5.7142857142864843E-2</v>
      </c>
      <c r="BB103" s="155">
        <v>0</v>
      </c>
    </row>
    <row r="104" spans="23:70" x14ac:dyDescent="0.2">
      <c r="AJ104" s="78">
        <v>12</v>
      </c>
      <c r="AK104" s="16">
        <f t="shared" si="29"/>
        <v>0</v>
      </c>
      <c r="AL104" s="16">
        <f t="shared" si="30"/>
        <v>0</v>
      </c>
      <c r="AM104" s="16">
        <f t="shared" si="31"/>
        <v>0</v>
      </c>
      <c r="AN104" s="16">
        <f t="shared" si="32"/>
        <v>0</v>
      </c>
      <c r="AO104" s="16">
        <f t="shared" si="33"/>
        <v>2333333.3333333335</v>
      </c>
      <c r="AP104" s="16">
        <f t="shared" si="34"/>
        <v>4666666666.666667</v>
      </c>
      <c r="AQ104" s="16">
        <f t="shared" si="35"/>
        <v>0</v>
      </c>
      <c r="AR104" s="16">
        <f t="shared" si="36"/>
        <v>0</v>
      </c>
      <c r="AS104" s="16">
        <f t="shared" si="37"/>
        <v>0</v>
      </c>
      <c r="AT104" s="16">
        <f t="shared" si="38"/>
        <v>0</v>
      </c>
      <c r="AU104" s="16">
        <f t="shared" si="39"/>
        <v>-2333333.3333333335</v>
      </c>
      <c r="AV104" s="16">
        <f t="shared" si="40"/>
        <v>9333333333.333334</v>
      </c>
      <c r="AW104" s="16">
        <f t="shared" si="41"/>
        <v>0</v>
      </c>
      <c r="AX104" s="16">
        <f t="shared" si="42"/>
        <v>0</v>
      </c>
      <c r="AZ104" s="157">
        <v>6.4285714285714276E-3</v>
      </c>
      <c r="BB104" s="155">
        <v>0</v>
      </c>
    </row>
    <row r="105" spans="23:70" x14ac:dyDescent="0.2">
      <c r="AJ105" s="78">
        <v>13</v>
      </c>
      <c r="AK105" s="16">
        <f t="shared" si="29"/>
        <v>-656250</v>
      </c>
      <c r="AL105" s="16">
        <f t="shared" si="30"/>
        <v>4.0200183676689094E-11</v>
      </c>
      <c r="AM105" s="16">
        <f t="shared" si="31"/>
        <v>875000000</v>
      </c>
      <c r="AN105" s="16">
        <f t="shared" si="32"/>
        <v>656250</v>
      </c>
      <c r="AO105" s="16">
        <f t="shared" si="33"/>
        <v>-4.0200183676689094E-11</v>
      </c>
      <c r="AP105" s="16">
        <f t="shared" si="34"/>
        <v>0</v>
      </c>
      <c r="AQ105" s="16">
        <f t="shared" si="35"/>
        <v>0</v>
      </c>
      <c r="AR105" s="16">
        <f t="shared" si="36"/>
        <v>0</v>
      </c>
      <c r="AS105" s="16">
        <f t="shared" si="37"/>
        <v>0</v>
      </c>
      <c r="AT105" s="16">
        <f t="shared" si="38"/>
        <v>0</v>
      </c>
      <c r="AU105" s="16">
        <f t="shared" si="39"/>
        <v>0</v>
      </c>
      <c r="AV105" s="16">
        <f t="shared" si="40"/>
        <v>0</v>
      </c>
      <c r="AW105" s="16">
        <f t="shared" si="41"/>
        <v>1750000000</v>
      </c>
      <c r="AX105" s="16">
        <f t="shared" si="42"/>
        <v>0</v>
      </c>
      <c r="AZ105" s="157">
        <v>-2.6283471742769834E-2</v>
      </c>
      <c r="BB105" s="155">
        <v>-2.7939677238464355E-8</v>
      </c>
    </row>
    <row r="106" spans="23:70" x14ac:dyDescent="0.2">
      <c r="AJ106" s="78">
        <v>14</v>
      </c>
      <c r="AK106" s="16">
        <f t="shared" si="29"/>
        <v>0</v>
      </c>
      <c r="AL106" s="16">
        <f t="shared" si="30"/>
        <v>0</v>
      </c>
      <c r="AM106" s="16">
        <f t="shared" si="31"/>
        <v>0</v>
      </c>
      <c r="AN106" s="16">
        <f t="shared" si="32"/>
        <v>0</v>
      </c>
      <c r="AO106" s="16">
        <f t="shared" si="33"/>
        <v>0</v>
      </c>
      <c r="AP106" s="16">
        <f t="shared" si="34"/>
        <v>0</v>
      </c>
      <c r="AQ106" s="16">
        <f t="shared" si="35"/>
        <v>-656250</v>
      </c>
      <c r="AR106" s="16">
        <f t="shared" si="36"/>
        <v>4.0200183676689094E-11</v>
      </c>
      <c r="AS106" s="16">
        <f t="shared" si="37"/>
        <v>875000000</v>
      </c>
      <c r="AT106" s="16">
        <f t="shared" si="38"/>
        <v>656250</v>
      </c>
      <c r="AU106" s="16">
        <f t="shared" si="39"/>
        <v>-4.0200183676689094E-11</v>
      </c>
      <c r="AV106" s="16">
        <f t="shared" si="40"/>
        <v>0</v>
      </c>
      <c r="AW106" s="16">
        <f t="shared" si="41"/>
        <v>0</v>
      </c>
      <c r="AX106" s="16">
        <f t="shared" si="42"/>
        <v>1750000000</v>
      </c>
      <c r="AZ106" s="157">
        <v>-4.4192718733374561E-2</v>
      </c>
      <c r="BB106" s="80">
        <v>-3.4458935260772705E-8</v>
      </c>
    </row>
    <row r="108" spans="23:70" x14ac:dyDescent="0.25">
      <c r="AZ108" s="111"/>
      <c r="BB108" s="111"/>
      <c r="BE108" s="111"/>
      <c r="BK108" s="115"/>
    </row>
    <row r="109" spans="23:70" x14ac:dyDescent="0.25">
      <c r="AZ109" s="111"/>
      <c r="BB109" s="111"/>
      <c r="BE109" s="111"/>
      <c r="BK109" s="112"/>
      <c r="BL109" s="112"/>
      <c r="BM109" s="112"/>
      <c r="BN109" s="112"/>
      <c r="BO109" s="112"/>
      <c r="BP109" s="112"/>
    </row>
    <row r="110" spans="23:70" x14ac:dyDescent="0.25">
      <c r="W110" s="116"/>
      <c r="AZ110" s="111"/>
      <c r="BB110" s="111"/>
      <c r="BE110" s="111"/>
      <c r="BK110" s="112"/>
      <c r="BL110" s="112"/>
      <c r="BM110" s="112"/>
      <c r="BN110" s="112"/>
      <c r="BO110" s="112"/>
      <c r="BP110" s="112"/>
    </row>
    <row r="111" spans="23:70" x14ac:dyDescent="0.25">
      <c r="X111" s="116"/>
      <c r="AE111" s="116"/>
      <c r="AZ111" s="109"/>
      <c r="BK111" s="112"/>
      <c r="BL111" s="112"/>
      <c r="BM111" s="112"/>
      <c r="BN111" s="112"/>
      <c r="BO111" s="112"/>
      <c r="BP111" s="112"/>
    </row>
    <row r="112" spans="23:70" x14ac:dyDescent="0.25">
      <c r="Y112" s="116"/>
      <c r="AA112" s="116"/>
      <c r="AF112" s="116"/>
      <c r="BK112" s="112"/>
      <c r="BL112" s="112"/>
      <c r="BM112" s="112"/>
      <c r="BN112" s="112"/>
      <c r="BO112" s="112"/>
      <c r="BP112" s="112"/>
      <c r="BR112" s="113"/>
    </row>
    <row r="113" spans="2:79" x14ac:dyDescent="0.25">
      <c r="AZ113" s="111"/>
      <c r="BB113" s="111"/>
      <c r="BE113" s="111"/>
      <c r="BK113" s="112"/>
      <c r="BL113" s="112"/>
      <c r="BM113" s="112"/>
      <c r="BN113" s="112"/>
      <c r="BO113" s="112"/>
      <c r="BP113" s="112"/>
      <c r="BR113" s="113"/>
    </row>
    <row r="114" spans="2:79" x14ac:dyDescent="0.25">
      <c r="Y114" s="116"/>
      <c r="AA114" s="116"/>
      <c r="AF114" s="116"/>
      <c r="BB114" s="111"/>
      <c r="BE114" s="119"/>
      <c r="BK114" s="112"/>
      <c r="BL114" s="112"/>
      <c r="BM114" s="112"/>
      <c r="BN114" s="112"/>
      <c r="BO114" s="112"/>
      <c r="BP114" s="112"/>
      <c r="BR114" s="113"/>
    </row>
    <row r="115" spans="2:79" x14ac:dyDescent="0.25">
      <c r="BB115" s="111"/>
      <c r="BE115" s="119"/>
    </row>
    <row r="116" spans="2:79" x14ac:dyDescent="0.25">
      <c r="AZ116" s="111"/>
      <c r="BB116" s="111"/>
      <c r="BE116" s="119"/>
      <c r="BK116" s="115"/>
    </row>
    <row r="117" spans="2:79" x14ac:dyDescent="0.25">
      <c r="AZ117" s="111"/>
      <c r="BB117" s="116"/>
      <c r="BE117" s="119"/>
      <c r="BK117" s="116"/>
      <c r="BL117" s="116"/>
      <c r="BM117" s="116"/>
      <c r="BN117" s="116"/>
      <c r="BO117" s="116"/>
      <c r="BP117" s="116"/>
      <c r="BT117" s="112"/>
      <c r="BY117" s="117"/>
      <c r="CA117" s="118"/>
    </row>
    <row r="118" spans="2:79" x14ac:dyDescent="0.25">
      <c r="X118" s="116"/>
      <c r="AE118" s="116"/>
      <c r="AZ118" s="111"/>
      <c r="BB118" s="116"/>
      <c r="BE118" s="119"/>
      <c r="BK118" s="116"/>
      <c r="BL118" s="116"/>
      <c r="BM118" s="116"/>
      <c r="BN118" s="116"/>
      <c r="BO118" s="116"/>
      <c r="BP118" s="116"/>
      <c r="BT118" s="112"/>
      <c r="BY118" s="117"/>
      <c r="CA118" s="118"/>
    </row>
    <row r="119" spans="2:79" x14ac:dyDescent="0.25">
      <c r="Y119" s="116"/>
      <c r="AA119" s="116"/>
      <c r="AF119" s="116"/>
      <c r="BE119" s="119"/>
      <c r="BK119" s="116"/>
      <c r="BL119" s="116"/>
      <c r="BM119" s="116"/>
      <c r="BN119" s="116"/>
      <c r="BO119" s="116"/>
      <c r="BP119" s="116"/>
      <c r="BT119" s="112"/>
      <c r="BY119" s="117"/>
      <c r="CA119" s="118"/>
    </row>
    <row r="120" spans="2:79" x14ac:dyDescent="0.25">
      <c r="BE120" s="119"/>
      <c r="BK120" s="116"/>
      <c r="BL120" s="116"/>
      <c r="BM120" s="116"/>
      <c r="BN120" s="116"/>
      <c r="BO120" s="116"/>
      <c r="BP120" s="116"/>
      <c r="BT120" s="112"/>
      <c r="BY120" s="117"/>
      <c r="CA120" s="118"/>
    </row>
    <row r="121" spans="2:79" x14ac:dyDescent="0.25">
      <c r="Y121" s="116"/>
      <c r="AA121" s="116"/>
      <c r="AF121" s="116"/>
      <c r="BK121" s="116"/>
      <c r="BL121" s="116"/>
      <c r="BM121" s="116"/>
      <c r="BN121" s="116"/>
      <c r="BO121" s="116"/>
      <c r="BP121" s="116"/>
      <c r="BT121" s="112"/>
      <c r="BY121" s="117"/>
      <c r="CA121" s="118"/>
    </row>
    <row r="122" spans="2:79" x14ac:dyDescent="0.25">
      <c r="BK122" s="116"/>
      <c r="BL122" s="116"/>
      <c r="BM122" s="116"/>
      <c r="BN122" s="116"/>
      <c r="BO122" s="116"/>
      <c r="BP122" s="116"/>
      <c r="BT122" s="112"/>
      <c r="BY122" s="117"/>
      <c r="CA122" s="118"/>
    </row>
    <row r="124" spans="2:79" x14ac:dyDescent="0.25">
      <c r="B124" s="115"/>
      <c r="AF124" s="115"/>
    </row>
    <row r="125" spans="2:79" x14ac:dyDescent="0.25">
      <c r="E125" s="120"/>
      <c r="F125" s="121"/>
    </row>
    <row r="126" spans="2:79" x14ac:dyDescent="0.25">
      <c r="E126" s="120"/>
      <c r="F126" s="121"/>
    </row>
    <row r="127" spans="2:79" x14ac:dyDescent="0.25">
      <c r="E127" s="120"/>
      <c r="F127" s="121"/>
      <c r="AW127" s="116"/>
      <c r="AX127" s="116"/>
      <c r="AZ127" s="111"/>
      <c r="BB127" s="111"/>
      <c r="BE127" s="119"/>
    </row>
    <row r="128" spans="2:79" x14ac:dyDescent="0.25">
      <c r="AW128" s="116"/>
      <c r="AX128" s="116"/>
      <c r="AZ128" s="111"/>
      <c r="BB128" s="111"/>
      <c r="BE128" s="119"/>
    </row>
    <row r="129" spans="37:76" x14ac:dyDescent="0.25">
      <c r="AW129" s="116"/>
      <c r="AX129" s="116"/>
      <c r="AZ129" s="111"/>
      <c r="BB129" s="111"/>
      <c r="BE129" s="119"/>
    </row>
    <row r="130" spans="37:76" x14ac:dyDescent="0.25">
      <c r="AW130" s="116"/>
      <c r="AX130" s="122"/>
      <c r="AZ130" s="109"/>
      <c r="BB130" s="116"/>
      <c r="BE130" s="119"/>
    </row>
    <row r="131" spans="37:76" x14ac:dyDescent="0.25">
      <c r="AW131" s="116"/>
      <c r="AX131" s="122"/>
      <c r="AZ131" s="109"/>
      <c r="BB131" s="116"/>
      <c r="BE131" s="119"/>
    </row>
    <row r="132" spans="37:76" x14ac:dyDescent="0.25">
      <c r="AW132" s="116"/>
      <c r="AX132" s="116"/>
      <c r="AZ132" s="109"/>
      <c r="BB132" s="111"/>
      <c r="BE132" s="119"/>
    </row>
    <row r="133" spans="37:76" x14ac:dyDescent="0.25">
      <c r="AW133" s="116"/>
      <c r="AX133" s="122"/>
      <c r="AZ133" s="109"/>
      <c r="BB133" s="111"/>
      <c r="BC133" s="110"/>
      <c r="BD133" s="110"/>
      <c r="BE133" s="119"/>
    </row>
    <row r="134" spans="37:76" x14ac:dyDescent="0.25">
      <c r="AW134" s="122"/>
      <c r="AX134" s="116"/>
      <c r="AZ134" s="109"/>
      <c r="BB134" s="111"/>
      <c r="BE134" s="119"/>
    </row>
    <row r="135" spans="37:76" x14ac:dyDescent="0.25">
      <c r="AW135" s="122"/>
      <c r="AX135" s="116"/>
      <c r="AY135" s="116"/>
      <c r="AZ135" s="109"/>
      <c r="BB135" s="111"/>
      <c r="BE135" s="119"/>
    </row>
    <row r="136" spans="37:76" x14ac:dyDescent="0.25">
      <c r="AW136" s="122"/>
      <c r="AX136" s="116"/>
      <c r="AZ136" s="109"/>
      <c r="BB136" s="111"/>
      <c r="BE136" s="119"/>
    </row>
    <row r="137" spans="37:76" x14ac:dyDescent="0.25">
      <c r="AW137" s="122"/>
      <c r="AX137" s="122"/>
      <c r="AZ137" s="109"/>
      <c r="BB137" s="116"/>
      <c r="BE137" s="119"/>
    </row>
    <row r="138" spans="37:76" x14ac:dyDescent="0.25">
      <c r="AW138" s="122"/>
      <c r="AX138" s="122"/>
      <c r="AZ138" s="109"/>
      <c r="BB138" s="116"/>
      <c r="BE138" s="119"/>
    </row>
    <row r="139" spans="37:76" x14ac:dyDescent="0.25">
      <c r="AK139" s="116"/>
      <c r="AL139" s="116"/>
      <c r="AM139" s="116"/>
      <c r="AN139" s="116"/>
      <c r="AO139" s="116"/>
      <c r="AP139" s="116"/>
      <c r="AQ139" s="116"/>
      <c r="AR139" s="122"/>
      <c r="AS139" s="122"/>
      <c r="AT139" s="122"/>
      <c r="AU139" s="122"/>
      <c r="AV139" s="122"/>
      <c r="AW139" s="122"/>
      <c r="AX139" s="116"/>
      <c r="AZ139" s="109"/>
      <c r="BB139" s="111"/>
      <c r="BE139" s="119"/>
    </row>
    <row r="140" spans="37:76" x14ac:dyDescent="0.25">
      <c r="AK140" s="116"/>
      <c r="AL140" s="116"/>
      <c r="AM140" s="116"/>
      <c r="AN140" s="122"/>
      <c r="AO140" s="122"/>
      <c r="AP140" s="116"/>
      <c r="AQ140" s="122"/>
      <c r="AR140" s="123"/>
      <c r="AS140" s="123"/>
      <c r="AT140" s="123"/>
      <c r="AU140" s="122"/>
      <c r="AV140" s="122"/>
      <c r="AW140" s="116"/>
      <c r="AX140" s="122"/>
      <c r="AZ140" s="109"/>
      <c r="BB140" s="111"/>
      <c r="BE140" s="119"/>
    </row>
    <row r="141" spans="37:76" x14ac:dyDescent="0.25">
      <c r="AK141" s="124"/>
      <c r="AL141" s="124"/>
      <c r="AM141" s="124"/>
    </row>
    <row r="143" spans="37:76" x14ac:dyDescent="0.25">
      <c r="BX143" s="81"/>
    </row>
    <row r="144" spans="37:76" x14ac:dyDescent="0.25">
      <c r="BX144" s="81"/>
    </row>
    <row r="145" spans="39:90" x14ac:dyDescent="0.25">
      <c r="BX145" s="81"/>
    </row>
    <row r="147" spans="39:90" x14ac:dyDescent="0.25">
      <c r="BX147" s="81"/>
      <c r="CL147" s="112"/>
    </row>
    <row r="148" spans="39:90" x14ac:dyDescent="0.25">
      <c r="BX148" s="81"/>
    </row>
    <row r="149" spans="39:90" x14ac:dyDescent="0.25">
      <c r="BX149" s="81"/>
    </row>
    <row r="150" spans="39:90" x14ac:dyDescent="0.25">
      <c r="BT150" s="115"/>
    </row>
    <row r="151" spans="39:90" x14ac:dyDescent="0.25">
      <c r="BT151" s="112"/>
    </row>
    <row r="152" spans="39:90" x14ac:dyDescent="0.25">
      <c r="BU152" s="112"/>
    </row>
    <row r="154" spans="39:90" x14ac:dyDescent="0.25">
      <c r="BW154" s="112"/>
      <c r="BX154" s="112"/>
      <c r="CB154" s="116"/>
      <c r="CF154" s="116"/>
    </row>
    <row r="155" spans="39:90" x14ac:dyDescent="0.25">
      <c r="AM155" s="115"/>
      <c r="BY155" s="112"/>
      <c r="CB155" s="116"/>
      <c r="CF155" s="116"/>
    </row>
    <row r="156" spans="39:90" x14ac:dyDescent="0.25">
      <c r="CB156" s="116"/>
      <c r="CF156" s="116"/>
    </row>
    <row r="157" spans="39:90" x14ac:dyDescent="0.25">
      <c r="AN157" s="116"/>
      <c r="AO157" s="116"/>
      <c r="AP157" s="116"/>
      <c r="AQ157" s="116"/>
      <c r="AR157" s="116"/>
      <c r="AS157" s="116"/>
      <c r="AT157" s="116"/>
      <c r="AU157" s="116"/>
      <c r="AW157" s="111"/>
      <c r="AY157" s="116"/>
      <c r="BQ157" s="110"/>
    </row>
    <row r="158" spans="39:90" x14ac:dyDescent="0.25">
      <c r="AN158" s="116"/>
      <c r="AO158" s="116"/>
      <c r="AP158" s="116"/>
      <c r="AQ158" s="116"/>
      <c r="AR158" s="116"/>
      <c r="AS158" s="116"/>
      <c r="AT158" s="116"/>
      <c r="AU158" s="116"/>
      <c r="AW158" s="111"/>
      <c r="AY158" s="116"/>
      <c r="BL158" s="112"/>
      <c r="BN158" s="111"/>
      <c r="BP158" s="120"/>
      <c r="BR158" s="122"/>
      <c r="BT158" s="115"/>
    </row>
    <row r="159" spans="39:90" x14ac:dyDescent="0.25">
      <c r="AN159" s="116"/>
      <c r="AO159" s="116"/>
      <c r="AP159" s="116"/>
      <c r="AQ159" s="116"/>
      <c r="AR159" s="116"/>
      <c r="AS159" s="116"/>
      <c r="AT159" s="116"/>
      <c r="AU159" s="116"/>
      <c r="AW159" s="111"/>
      <c r="AY159" s="116"/>
      <c r="BL159" s="112"/>
      <c r="BN159" s="111"/>
      <c r="BP159" s="120"/>
      <c r="BR159" s="125"/>
      <c r="BT159" s="116"/>
      <c r="BV159" s="112"/>
      <c r="BW159" s="116"/>
      <c r="BX159" s="116"/>
      <c r="BZ159" s="112"/>
      <c r="CH159" s="126"/>
    </row>
    <row r="160" spans="39:90" x14ac:dyDescent="0.25">
      <c r="AN160" s="116"/>
      <c r="AO160" s="116"/>
      <c r="AP160" s="116"/>
      <c r="AQ160" s="116"/>
      <c r="AR160" s="116"/>
      <c r="AS160" s="116"/>
      <c r="AT160" s="116"/>
      <c r="AU160" s="116"/>
      <c r="AW160" s="111"/>
      <c r="AY160" s="116"/>
      <c r="BL160" s="112"/>
      <c r="BN160" s="111"/>
      <c r="BP160" s="120"/>
      <c r="BR160" s="122"/>
      <c r="BU160" s="116"/>
      <c r="BV160" s="116"/>
      <c r="BY160" s="116"/>
      <c r="BZ160" s="116"/>
      <c r="CD160" s="116"/>
      <c r="CH160" s="126"/>
    </row>
    <row r="161" spans="39:86" x14ac:dyDescent="0.25">
      <c r="AN161" s="116"/>
      <c r="AO161" s="116"/>
      <c r="AP161" s="116"/>
      <c r="AQ161" s="116"/>
      <c r="AR161" s="116"/>
      <c r="AS161" s="116"/>
      <c r="AT161" s="116"/>
      <c r="AU161" s="116"/>
      <c r="AW161" s="111"/>
      <c r="AY161" s="116"/>
      <c r="BL161" s="112"/>
      <c r="BN161" s="111"/>
      <c r="BP161" s="116"/>
      <c r="BR161" s="122"/>
      <c r="BT161" s="112"/>
      <c r="BU161" s="116"/>
      <c r="BV161" s="116"/>
      <c r="BW161" s="116"/>
      <c r="BX161" s="116"/>
      <c r="BY161" s="116"/>
      <c r="BZ161" s="116"/>
      <c r="CD161" s="116"/>
      <c r="CH161" s="126"/>
    </row>
    <row r="162" spans="39:86" x14ac:dyDescent="0.25">
      <c r="AN162" s="116"/>
      <c r="AO162" s="116"/>
      <c r="AP162" s="116"/>
      <c r="AQ162" s="116"/>
      <c r="AR162" s="116"/>
      <c r="AS162" s="116"/>
      <c r="AT162" s="116"/>
      <c r="AU162" s="116"/>
      <c r="AW162" s="111"/>
      <c r="AY162" s="116"/>
      <c r="BL162" s="112"/>
      <c r="BN162" s="111"/>
      <c r="BP162" s="116"/>
      <c r="BR162" s="125"/>
      <c r="BT162" s="116"/>
      <c r="BV162" s="112"/>
      <c r="BW162" s="124"/>
      <c r="BX162" s="124"/>
      <c r="BZ162" s="112"/>
      <c r="CB162" s="116"/>
      <c r="CH162" s="126"/>
    </row>
    <row r="163" spans="39:86" x14ac:dyDescent="0.25">
      <c r="AN163" s="116"/>
      <c r="AO163" s="116"/>
      <c r="AP163" s="116"/>
      <c r="AQ163" s="116"/>
      <c r="AR163" s="116"/>
      <c r="AS163" s="116"/>
      <c r="AT163" s="116"/>
      <c r="AU163" s="116"/>
      <c r="AW163" s="111"/>
      <c r="AY163" s="116"/>
      <c r="BD163" s="127"/>
      <c r="BL163" s="112"/>
      <c r="BN163" s="111"/>
      <c r="BO163" s="124"/>
      <c r="BR163" s="122"/>
      <c r="BU163" s="116"/>
      <c r="BV163" s="116"/>
      <c r="BY163" s="116"/>
      <c r="BZ163" s="116"/>
      <c r="CB163" s="116"/>
      <c r="CD163" s="116"/>
      <c r="CH163" s="126"/>
    </row>
    <row r="164" spans="39:86" x14ac:dyDescent="0.25">
      <c r="AN164" s="116"/>
      <c r="AO164" s="116"/>
      <c r="AP164" s="116"/>
      <c r="AQ164" s="116"/>
      <c r="AR164" s="116"/>
      <c r="AS164" s="116"/>
      <c r="AT164" s="116"/>
      <c r="AU164" s="116"/>
      <c r="AW164" s="111"/>
      <c r="AY164" s="116"/>
      <c r="BD164" s="127"/>
      <c r="BL164" s="112"/>
      <c r="BT164" s="112"/>
      <c r="BU164" s="116"/>
      <c r="BV164" s="116"/>
      <c r="BW164" s="112"/>
      <c r="BX164" s="112"/>
      <c r="BY164" s="116"/>
      <c r="BZ164" s="116"/>
      <c r="CB164" s="116"/>
      <c r="CD164" s="116"/>
      <c r="CH164" s="128"/>
    </row>
    <row r="165" spans="39:86" x14ac:dyDescent="0.25">
      <c r="BD165" s="127"/>
      <c r="BR165" s="124"/>
    </row>
    <row r="166" spans="39:86" x14ac:dyDescent="0.25">
      <c r="AS166" s="112"/>
      <c r="BD166" s="127"/>
      <c r="BK166" s="115"/>
      <c r="BP166" s="124"/>
    </row>
    <row r="167" spans="39:86" x14ac:dyDescent="0.25">
      <c r="BD167" s="127"/>
      <c r="BW167" s="81"/>
      <c r="BX167" s="81"/>
      <c r="CC167" s="112"/>
    </row>
    <row r="168" spans="39:86" x14ac:dyDescent="0.25">
      <c r="AM168" s="115"/>
      <c r="AZ168" s="109"/>
      <c r="BA168" s="109"/>
      <c r="BB168" s="109"/>
      <c r="BC168" s="109"/>
      <c r="BD168" s="127"/>
      <c r="BK168" s="81"/>
      <c r="BL168" s="81"/>
      <c r="BN168" s="124"/>
      <c r="BT168" s="115"/>
      <c r="CA168" s="81"/>
      <c r="CB168" s="81"/>
      <c r="CC168" s="124"/>
    </row>
    <row r="169" spans="39:86" x14ac:dyDescent="0.25">
      <c r="AZ169" s="109"/>
      <c r="BA169" s="109"/>
      <c r="BB169" s="109"/>
      <c r="BC169" s="109"/>
      <c r="BD169" s="109"/>
      <c r="BE169" s="109"/>
    </row>
    <row r="170" spans="39:86" x14ac:dyDescent="0.25">
      <c r="AN170" s="116"/>
      <c r="AO170" s="116"/>
      <c r="AP170" s="116"/>
      <c r="AQ170" s="116"/>
      <c r="AR170" s="116"/>
      <c r="AS170" s="116"/>
      <c r="AT170" s="116"/>
      <c r="AU170" s="116"/>
      <c r="AW170" s="116"/>
      <c r="AY170" s="111"/>
      <c r="AZ170" s="109"/>
      <c r="BA170" s="129"/>
      <c r="BB170" s="109"/>
      <c r="BC170" s="109"/>
      <c r="BD170" s="127"/>
      <c r="BE170" s="109"/>
      <c r="BQ170" s="81"/>
    </row>
    <row r="171" spans="39:86" x14ac:dyDescent="0.25">
      <c r="AN171" s="116"/>
      <c r="AO171" s="116"/>
      <c r="AP171" s="116"/>
      <c r="AQ171" s="116"/>
      <c r="AR171" s="116"/>
      <c r="AS171" s="116"/>
      <c r="AT171" s="116"/>
      <c r="AU171" s="116"/>
      <c r="AW171" s="116"/>
      <c r="AY171" s="111"/>
      <c r="AZ171" s="109"/>
      <c r="BA171" s="129"/>
      <c r="BB171" s="109"/>
      <c r="BC171" s="109"/>
      <c r="BD171" s="127"/>
      <c r="BE171" s="109"/>
      <c r="BK171" s="115"/>
      <c r="BT171" s="115"/>
      <c r="BY171" s="115"/>
    </row>
    <row r="172" spans="39:86" x14ac:dyDescent="0.25">
      <c r="AN172" s="116"/>
      <c r="AO172" s="116"/>
      <c r="AP172" s="116"/>
      <c r="AQ172" s="116"/>
      <c r="AR172" s="116"/>
      <c r="AS172" s="116"/>
      <c r="AT172" s="116"/>
      <c r="AU172" s="116"/>
      <c r="AW172" s="116"/>
      <c r="AY172" s="111"/>
      <c r="AZ172" s="109"/>
      <c r="BA172" s="129"/>
      <c r="BB172" s="130"/>
      <c r="BC172" s="109"/>
      <c r="BD172" s="131"/>
      <c r="BE172" s="109"/>
      <c r="BP172" s="132"/>
      <c r="BQ172" s="133"/>
      <c r="BR172" s="134"/>
      <c r="BT172" s="111"/>
      <c r="BU172" s="135"/>
      <c r="BV172" s="115"/>
      <c r="BY172" s="111"/>
      <c r="BZ172" s="133"/>
      <c r="CA172" s="115"/>
    </row>
    <row r="173" spans="39:86" x14ac:dyDescent="0.25">
      <c r="AN173" s="116"/>
      <c r="AO173" s="116"/>
      <c r="AP173" s="116"/>
      <c r="AQ173" s="116"/>
      <c r="AR173" s="116"/>
      <c r="AS173" s="116"/>
      <c r="AT173" s="116"/>
      <c r="AU173" s="116"/>
      <c r="AW173" s="116"/>
      <c r="AY173" s="111"/>
      <c r="BA173" s="129"/>
      <c r="BB173" s="130"/>
      <c r="BC173" s="109"/>
      <c r="BD173" s="127"/>
      <c r="BE173" s="109"/>
      <c r="BP173" s="132"/>
      <c r="BQ173" s="133"/>
      <c r="BR173" s="134"/>
      <c r="BT173" s="111"/>
      <c r="BU173" s="135"/>
      <c r="BV173" s="115"/>
      <c r="BY173" s="111"/>
      <c r="BZ173" s="133"/>
      <c r="CA173" s="115"/>
    </row>
    <row r="174" spans="39:86" x14ac:dyDescent="0.25">
      <c r="AN174" s="116"/>
      <c r="AO174" s="116"/>
      <c r="AP174" s="116"/>
      <c r="AQ174" s="116"/>
      <c r="AR174" s="116"/>
      <c r="AS174" s="116"/>
      <c r="AT174" s="116"/>
      <c r="AU174" s="116"/>
      <c r="AW174" s="116"/>
      <c r="AY174" s="111"/>
      <c r="AZ174" s="109"/>
      <c r="BA174" s="129"/>
      <c r="BB174" s="109"/>
      <c r="BC174" s="109"/>
      <c r="BD174" s="127"/>
      <c r="BE174" s="109"/>
      <c r="BP174" s="132"/>
      <c r="BQ174" s="133"/>
      <c r="BR174" s="134"/>
      <c r="BT174" s="111"/>
      <c r="BU174" s="135"/>
      <c r="BV174" s="115"/>
      <c r="BW174" s="120"/>
      <c r="BX174" s="120"/>
      <c r="BY174" s="111"/>
      <c r="BZ174" s="133"/>
      <c r="CA174" s="115"/>
    </row>
    <row r="175" spans="39:86" x14ac:dyDescent="0.25">
      <c r="AN175" s="116"/>
      <c r="AO175" s="116"/>
      <c r="AP175" s="116"/>
      <c r="AQ175" s="116"/>
      <c r="AR175" s="116"/>
      <c r="AS175" s="116"/>
      <c r="AT175" s="116"/>
      <c r="AU175" s="116"/>
      <c r="AW175" s="116"/>
      <c r="AY175" s="111"/>
      <c r="AZ175" s="109"/>
      <c r="BA175" s="129"/>
      <c r="BB175" s="109"/>
      <c r="BC175" s="109"/>
      <c r="BD175" s="127"/>
      <c r="BE175" s="109"/>
      <c r="BL175" s="136"/>
      <c r="BM175" s="137"/>
      <c r="BN175" s="137"/>
      <c r="BP175" s="132"/>
      <c r="BQ175" s="133"/>
      <c r="BT175" s="111"/>
      <c r="BU175" s="135"/>
      <c r="BV175" s="115"/>
      <c r="BW175" s="120"/>
      <c r="BX175" s="120"/>
      <c r="BY175" s="111"/>
      <c r="BZ175" s="133"/>
      <c r="CA175" s="115"/>
    </row>
    <row r="176" spans="39:86" x14ac:dyDescent="0.25">
      <c r="AN176" s="116"/>
      <c r="AO176" s="116"/>
      <c r="AP176" s="116"/>
      <c r="AQ176" s="116"/>
      <c r="AR176" s="116"/>
      <c r="AS176" s="116"/>
      <c r="AT176" s="116"/>
      <c r="AU176" s="116"/>
      <c r="AW176" s="116"/>
      <c r="AY176" s="111"/>
      <c r="AZ176" s="109"/>
      <c r="BA176" s="129"/>
      <c r="BB176" s="130"/>
      <c r="BC176" s="109"/>
      <c r="BD176" s="127"/>
      <c r="BE176" s="109"/>
      <c r="BP176" s="132"/>
      <c r="BQ176" s="127"/>
      <c r="BT176" s="111"/>
      <c r="BU176" s="135"/>
      <c r="BV176" s="115"/>
      <c r="BY176" s="111"/>
      <c r="BZ176" s="133"/>
      <c r="CA176" s="115"/>
    </row>
    <row r="177" spans="39:93" x14ac:dyDescent="0.25">
      <c r="AN177" s="116"/>
      <c r="AO177" s="116"/>
      <c r="AP177" s="116"/>
      <c r="AQ177" s="116"/>
      <c r="AR177" s="116"/>
      <c r="AS177" s="116"/>
      <c r="AT177" s="116"/>
      <c r="AU177" s="116"/>
      <c r="AW177" s="116"/>
      <c r="AY177" s="111"/>
      <c r="AZ177" s="109"/>
      <c r="BA177" s="129"/>
      <c r="BB177" s="130"/>
      <c r="BC177" s="109"/>
      <c r="BD177" s="127"/>
      <c r="BE177" s="109"/>
      <c r="BP177" s="132"/>
      <c r="BQ177" s="127"/>
      <c r="BT177" s="111"/>
      <c r="BU177" s="135"/>
      <c r="BV177" s="115"/>
      <c r="BY177" s="111"/>
      <c r="BZ177" s="133"/>
      <c r="CA177" s="115"/>
      <c r="CF177" s="115"/>
    </row>
    <row r="178" spans="39:93" x14ac:dyDescent="0.25">
      <c r="BB178" s="109"/>
      <c r="BC178" s="109"/>
      <c r="BD178" s="109"/>
      <c r="BE178" s="109"/>
      <c r="BW178" s="120"/>
      <c r="BX178" s="120"/>
      <c r="BY178" s="111"/>
      <c r="BZ178" s="133"/>
      <c r="CA178" s="115"/>
    </row>
    <row r="179" spans="39:93" x14ac:dyDescent="0.25">
      <c r="AZ179" s="109"/>
      <c r="BA179" s="109"/>
      <c r="BB179" s="123"/>
      <c r="BC179" s="109"/>
      <c r="BD179" s="109"/>
      <c r="BE179" s="109"/>
      <c r="BF179" s="109"/>
      <c r="BW179" s="120"/>
      <c r="BX179" s="120"/>
      <c r="BY179" s="111"/>
      <c r="BZ179" s="133"/>
      <c r="CA179" s="115"/>
    </row>
    <row r="180" spans="39:93" x14ac:dyDescent="0.25">
      <c r="AZ180" s="109"/>
      <c r="BA180" s="109"/>
      <c r="BB180" s="109"/>
      <c r="BC180" s="109"/>
      <c r="BD180" s="109"/>
      <c r="BE180" s="109"/>
      <c r="BF180" s="109"/>
    </row>
    <row r="181" spans="39:93" x14ac:dyDescent="0.25">
      <c r="AM181" s="115"/>
      <c r="AZ181" s="109"/>
      <c r="BA181" s="109"/>
      <c r="BB181" s="109"/>
      <c r="BC181" s="109"/>
      <c r="BD181" s="109"/>
      <c r="BE181" s="109"/>
      <c r="BF181" s="109"/>
    </row>
    <row r="182" spans="39:93" x14ac:dyDescent="0.25">
      <c r="AW182" s="116"/>
      <c r="AZ182" s="109"/>
      <c r="BA182" s="109"/>
      <c r="BB182" s="109"/>
      <c r="BC182" s="109"/>
      <c r="BD182" s="109"/>
      <c r="BE182" s="109"/>
      <c r="BF182" s="109"/>
      <c r="BK182" s="115"/>
      <c r="BP182" s="115"/>
      <c r="BT182" s="115"/>
      <c r="BY182" s="115"/>
      <c r="CD182" s="115"/>
      <c r="CI182" s="115"/>
      <c r="CM182" s="115"/>
    </row>
    <row r="183" spans="39:93" x14ac:dyDescent="0.25">
      <c r="AN183" s="116"/>
      <c r="AO183" s="116"/>
      <c r="AP183" s="116"/>
      <c r="AQ183" s="116"/>
      <c r="AR183" s="112"/>
      <c r="AS183" s="112"/>
      <c r="AT183" s="112"/>
      <c r="AU183" s="112"/>
      <c r="AW183" s="116"/>
      <c r="AY183" s="116"/>
      <c r="AZ183" s="109"/>
      <c r="BA183" s="120"/>
      <c r="BB183" s="109"/>
      <c r="BC183" s="128"/>
      <c r="BD183" s="128"/>
      <c r="BE183" s="109"/>
      <c r="BF183" s="118"/>
      <c r="BK183" s="120"/>
      <c r="BL183" s="127"/>
      <c r="BM183" s="115"/>
      <c r="BQ183" s="127"/>
      <c r="BR183" s="115"/>
      <c r="BU183" s="127"/>
      <c r="BV183" s="115"/>
      <c r="BZ183" s="127"/>
      <c r="CA183" s="115"/>
      <c r="CE183" s="127"/>
      <c r="CF183" s="115"/>
      <c r="CJ183" s="127"/>
      <c r="CK183" s="115"/>
      <c r="CN183" s="127"/>
      <c r="CO183" s="115"/>
    </row>
    <row r="184" spans="39:93" x14ac:dyDescent="0.25">
      <c r="AN184" s="116"/>
      <c r="AO184" s="116"/>
      <c r="AP184" s="116"/>
      <c r="AQ184" s="116"/>
      <c r="AR184" s="112"/>
      <c r="AS184" s="112"/>
      <c r="AT184" s="112"/>
      <c r="AU184" s="112"/>
      <c r="AW184" s="116"/>
      <c r="AY184" s="116"/>
      <c r="AZ184" s="109"/>
      <c r="BA184" s="120"/>
      <c r="BB184" s="109"/>
      <c r="BC184" s="128"/>
      <c r="BD184" s="128"/>
      <c r="BE184" s="109"/>
      <c r="BF184" s="118"/>
      <c r="BK184" s="120"/>
      <c r="BL184" s="127"/>
      <c r="BM184" s="115"/>
      <c r="BQ184" s="127"/>
      <c r="BR184" s="115"/>
      <c r="BU184" s="127"/>
      <c r="BV184" s="115"/>
      <c r="BZ184" s="127"/>
      <c r="CA184" s="115"/>
      <c r="CE184" s="127"/>
      <c r="CF184" s="115"/>
      <c r="CJ184" s="127"/>
      <c r="CK184" s="115"/>
      <c r="CN184" s="127"/>
      <c r="CO184" s="115"/>
    </row>
    <row r="185" spans="39:93" x14ac:dyDescent="0.25">
      <c r="AN185" s="116"/>
      <c r="AO185" s="116"/>
      <c r="AP185" s="116"/>
      <c r="AQ185" s="116"/>
      <c r="AR185" s="112"/>
      <c r="AS185" s="112"/>
      <c r="AT185" s="112"/>
      <c r="AU185" s="112"/>
      <c r="AW185" s="116"/>
      <c r="AY185" s="116"/>
      <c r="AZ185" s="109"/>
      <c r="BA185" s="120"/>
      <c r="BB185" s="109"/>
      <c r="BC185" s="128"/>
      <c r="BD185" s="128"/>
      <c r="BE185" s="109"/>
      <c r="BF185" s="118"/>
      <c r="BK185" s="120"/>
      <c r="BL185" s="127"/>
      <c r="BM185" s="115"/>
      <c r="BQ185" s="127"/>
      <c r="BR185" s="115"/>
      <c r="BU185" s="127"/>
      <c r="BV185" s="115"/>
      <c r="BZ185" s="127"/>
      <c r="CA185" s="115"/>
      <c r="CE185" s="127"/>
      <c r="CF185" s="115"/>
      <c r="CJ185" s="127"/>
      <c r="CK185" s="115"/>
      <c r="CN185" s="127"/>
      <c r="CO185" s="115"/>
    </row>
    <row r="186" spans="39:93" x14ac:dyDescent="0.25">
      <c r="AR186" s="116"/>
      <c r="AS186" s="116"/>
      <c r="AT186" s="116"/>
      <c r="AU186" s="116"/>
      <c r="AW186" s="116"/>
      <c r="AY186" s="116"/>
      <c r="AZ186" s="109"/>
      <c r="BA186" s="120"/>
      <c r="BB186" s="109"/>
      <c r="BC186" s="128"/>
      <c r="BD186" s="128"/>
      <c r="BE186" s="109"/>
      <c r="BF186" s="118"/>
      <c r="BK186" s="120"/>
      <c r="BL186" s="127"/>
      <c r="BM186" s="115"/>
      <c r="BQ186" s="127"/>
      <c r="BR186" s="115"/>
      <c r="BU186" s="127"/>
      <c r="BV186" s="115"/>
      <c r="BZ186" s="127"/>
      <c r="CA186" s="115"/>
      <c r="CE186" s="127"/>
      <c r="CF186" s="115"/>
      <c r="CJ186" s="127"/>
      <c r="CK186" s="115"/>
      <c r="CN186" s="127"/>
      <c r="CO186" s="115"/>
    </row>
    <row r="187" spans="39:93" x14ac:dyDescent="0.25">
      <c r="AR187" s="116"/>
      <c r="AS187" s="116"/>
      <c r="AT187" s="116"/>
      <c r="AU187" s="116"/>
      <c r="AW187" s="116"/>
      <c r="AY187" s="116"/>
      <c r="AZ187" s="109"/>
      <c r="BA187" s="120"/>
      <c r="BB187" s="109"/>
      <c r="BC187" s="128"/>
      <c r="BD187" s="128"/>
      <c r="BE187" s="109"/>
      <c r="BF187" s="118"/>
      <c r="BK187" s="120"/>
      <c r="BL187" s="127"/>
      <c r="BM187" s="115"/>
      <c r="BQ187" s="127"/>
      <c r="BR187" s="115"/>
      <c r="BU187" s="127"/>
      <c r="BV187" s="115"/>
      <c r="BZ187" s="127"/>
      <c r="CA187" s="115"/>
      <c r="CE187" s="127"/>
      <c r="CF187" s="115"/>
      <c r="CJ187" s="127"/>
      <c r="CK187" s="115"/>
      <c r="CN187" s="127"/>
      <c r="CO187" s="115"/>
    </row>
    <row r="188" spans="39:93" x14ac:dyDescent="0.25">
      <c r="AR188" s="116"/>
      <c r="AS188" s="116"/>
      <c r="AT188" s="116"/>
      <c r="AU188" s="116"/>
      <c r="AW188" s="116"/>
      <c r="AY188" s="116"/>
      <c r="AZ188" s="109"/>
      <c r="BA188" s="120"/>
      <c r="BB188" s="109"/>
      <c r="BC188" s="128"/>
      <c r="BD188" s="128"/>
      <c r="BE188" s="109"/>
      <c r="BF188" s="118"/>
      <c r="BK188" s="120"/>
      <c r="BL188" s="127"/>
      <c r="BM188" s="115"/>
      <c r="BQ188" s="127"/>
      <c r="BR188" s="115"/>
      <c r="BU188" s="127"/>
      <c r="BV188" s="115"/>
      <c r="BZ188" s="127"/>
      <c r="CA188" s="115"/>
      <c r="CE188" s="127"/>
      <c r="CF188" s="115"/>
      <c r="CJ188" s="127"/>
      <c r="CK188" s="115"/>
      <c r="CN188" s="127"/>
      <c r="CO188" s="115"/>
    </row>
    <row r="189" spans="39:93" x14ac:dyDescent="0.25">
      <c r="AW189" s="116"/>
      <c r="AZ189" s="109"/>
      <c r="BA189" s="109"/>
      <c r="BB189" s="109"/>
      <c r="BC189" s="109"/>
      <c r="BD189" s="109"/>
      <c r="BE189" s="109"/>
      <c r="BF189" s="109"/>
      <c r="BT189" s="127"/>
    </row>
    <row r="190" spans="39:93" x14ac:dyDescent="0.25">
      <c r="AW190" s="116"/>
      <c r="BE190" s="109"/>
      <c r="BF190" s="109"/>
    </row>
    <row r="191" spans="39:93" x14ac:dyDescent="0.25">
      <c r="AW191" s="116"/>
      <c r="AZ191" s="109"/>
      <c r="BA191" s="109"/>
      <c r="BB191" s="109"/>
      <c r="BC191" s="109"/>
      <c r="BD191" s="109"/>
      <c r="BE191" s="109"/>
      <c r="BF191" s="109"/>
      <c r="BK191" s="115"/>
      <c r="BR191" s="138"/>
    </row>
    <row r="192" spans="39:93" x14ac:dyDescent="0.25">
      <c r="AW192" s="116"/>
      <c r="BL192" s="133"/>
      <c r="BM192" s="115"/>
    </row>
    <row r="193" spans="64:65" x14ac:dyDescent="0.25">
      <c r="BL193" s="133"/>
      <c r="BM193" s="115"/>
    </row>
    <row r="196" spans="64:65" x14ac:dyDescent="0.25">
      <c r="BL196" s="133"/>
      <c r="BM196" s="115"/>
    </row>
    <row r="197" spans="64:65" x14ac:dyDescent="0.25">
      <c r="BL197" s="133"/>
      <c r="BM197" s="115"/>
    </row>
    <row r="198" spans="64:65" x14ac:dyDescent="0.25">
      <c r="BL198" s="133"/>
      <c r="BM198" s="115"/>
    </row>
    <row r="199" spans="64:65" x14ac:dyDescent="0.25">
      <c r="BL199" s="133"/>
      <c r="BM199" s="115"/>
    </row>
    <row r="201" spans="64:65" x14ac:dyDescent="0.25">
      <c r="BL201" s="133"/>
      <c r="BM201" s="115"/>
    </row>
    <row r="204" spans="64:65" x14ac:dyDescent="0.25">
      <c r="BL204" s="133"/>
      <c r="BM204" s="115"/>
    </row>
    <row r="205" spans="64:65" x14ac:dyDescent="0.25">
      <c r="BL205" s="133"/>
      <c r="BM205" s="115"/>
    </row>
    <row r="206" spans="64:65" x14ac:dyDescent="0.25">
      <c r="BL206" s="133"/>
      <c r="BM206" s="115"/>
    </row>
    <row r="207" spans="64:65" x14ac:dyDescent="0.25">
      <c r="BL207" s="133"/>
      <c r="BM207" s="115"/>
    </row>
    <row r="209" spans="64:65" x14ac:dyDescent="0.25">
      <c r="BL209" s="133"/>
      <c r="BM209" s="115"/>
    </row>
    <row r="212" spans="64:65" x14ac:dyDescent="0.25">
      <c r="BL212" s="133"/>
      <c r="BM212" s="115"/>
    </row>
    <row r="213" spans="64:65" x14ac:dyDescent="0.25">
      <c r="BL213" s="133"/>
      <c r="BM213" s="115"/>
    </row>
    <row r="214" spans="64:65" x14ac:dyDescent="0.25">
      <c r="BL214" s="133"/>
      <c r="BM214" s="115"/>
    </row>
    <row r="215" spans="64:65" x14ac:dyDescent="0.25">
      <c r="BL215" s="133"/>
      <c r="BM215" s="115"/>
    </row>
    <row r="225" spans="58:58" x14ac:dyDescent="0.25">
      <c r="BF225" s="109"/>
    </row>
    <row r="226" spans="58:58" x14ac:dyDescent="0.25">
      <c r="BF226" s="109"/>
    </row>
    <row r="227" spans="58:58" x14ac:dyDescent="0.25">
      <c r="BF227" s="109"/>
    </row>
    <row r="228" spans="58:58" x14ac:dyDescent="0.25">
      <c r="BF228" s="109"/>
    </row>
    <row r="229" spans="58:58" x14ac:dyDescent="0.25">
      <c r="BF229" s="109"/>
    </row>
    <row r="230" spans="58:58" x14ac:dyDescent="0.25">
      <c r="BF230" s="109"/>
    </row>
    <row r="231" spans="58:58" x14ac:dyDescent="0.25">
      <c r="BF231" s="109"/>
    </row>
    <row r="232" spans="58:58" x14ac:dyDescent="0.25">
      <c r="BF232" s="109"/>
    </row>
    <row r="233" spans="58:58" x14ac:dyDescent="0.25">
      <c r="BF233" s="109"/>
    </row>
  </sheetData>
  <conditionalFormatting sqref="AK6:AX39 AK40:AN40 AP40:AW40 AK41:AX60 AL67:AN69 AP67:AX69 AL71:AN75 AP71:AX75">
    <cfRule type="expression" dxfId="20" priority="2">
      <formula>ABS(AK6)&lt;0.1</formula>
    </cfRule>
  </conditionalFormatting>
  <conditionalFormatting sqref="AK90:AX106">
    <cfRule type="expression" dxfId="19" priority="1">
      <formula>ABS(AK90)&lt;0.1</formula>
    </cfRule>
  </conditionalFormatting>
  <conditionalFormatting sqref="BB46:BB59">
    <cfRule type="expression" dxfId="18" priority="5">
      <formula>ABS(BB46)&lt;0.1</formula>
    </cfRule>
  </conditionalFormatting>
  <conditionalFormatting sqref="BR172:BR174">
    <cfRule type="cellIs" dxfId="17" priority="6" operator="equal">
      <formula>"VIRHE!"</formula>
    </cfRule>
    <cfRule type="cellIs" dxfId="16" priority="7" operator="equal">
      <formula>"OK!"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1214F-D315-442C-9106-A983B611689D}">
  <sheetPr codeName="Taul4"/>
  <dimension ref="L14:R34"/>
  <sheetViews>
    <sheetView zoomScaleNormal="100" workbookViewId="0">
      <selection activeCell="N16" sqref="N16"/>
    </sheetView>
  </sheetViews>
  <sheetFormatPr defaultRowHeight="15" x14ac:dyDescent="0.25"/>
  <sheetData>
    <row r="14" spans="12:14" x14ac:dyDescent="0.25">
      <c r="L14" t="s">
        <v>93</v>
      </c>
    </row>
    <row r="15" spans="12:14" x14ac:dyDescent="0.25">
      <c r="L15" s="159">
        <v>10000000</v>
      </c>
      <c r="M15">
        <f>6*N31*O31/M31^3*L15</f>
        <v>3750</v>
      </c>
      <c r="N15">
        <f>O31*(2*N31-O31)/M31^2*L15</f>
        <v>2500000</v>
      </c>
    </row>
    <row r="30" spans="13:18" x14ac:dyDescent="0.25">
      <c r="M30" t="s">
        <v>89</v>
      </c>
      <c r="N30" t="s">
        <v>90</v>
      </c>
      <c r="O30" t="s">
        <v>76</v>
      </c>
      <c r="P30" t="s">
        <v>91</v>
      </c>
      <c r="Q30" t="s">
        <v>92</v>
      </c>
      <c r="R30" t="s">
        <v>93</v>
      </c>
    </row>
    <row r="31" spans="13:18" x14ac:dyDescent="0.25">
      <c r="M31">
        <v>4000</v>
      </c>
      <c r="N31">
        <v>2000</v>
      </c>
      <c r="O31">
        <f>M31-N31</f>
        <v>2000</v>
      </c>
      <c r="P31">
        <v>2500</v>
      </c>
      <c r="Q31">
        <v>1250</v>
      </c>
      <c r="R31">
        <v>10</v>
      </c>
    </row>
    <row r="33" spans="13:13" x14ac:dyDescent="0.25">
      <c r="M33">
        <f>P31/M31^3*((2*N31+M31)*O31^2+1/4*(N31-O31)*P31^2)*R31</f>
        <v>12500</v>
      </c>
    </row>
    <row r="34" spans="13:13" x14ac:dyDescent="0.25">
      <c r="M34">
        <f>P31/M31^2*(N31*O31^2+1/12*(N31-2*O31)*P31^2)*R31</f>
        <v>10872395.833333332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AE663-530D-4242-9D4C-B5539EB744E8}">
  <sheetPr codeName="Taul5"/>
  <dimension ref="B1:CW227"/>
  <sheetViews>
    <sheetView topLeftCell="A15" zoomScaleNormal="100" workbookViewId="0">
      <selection activeCell="U66" sqref="U66"/>
    </sheetView>
  </sheetViews>
  <sheetFormatPr defaultColWidth="9.140625" defaultRowHeight="12" x14ac:dyDescent="0.2"/>
  <cols>
    <col min="1" max="1" width="9.140625" style="1"/>
    <col min="2" max="4" width="9.28515625" style="1" bestFit="1" customWidth="1"/>
    <col min="5" max="5" width="9.42578125" style="1" bestFit="1" customWidth="1"/>
    <col min="6" max="7" width="9.28515625" style="1" bestFit="1" customWidth="1"/>
    <col min="8" max="8" width="9.140625" style="1"/>
    <col min="9" max="9" width="9.5703125" style="1" bestFit="1" customWidth="1"/>
    <col min="10" max="11" width="9.140625" style="1"/>
    <col min="12" max="12" width="9.7109375" style="1" bestFit="1" customWidth="1"/>
    <col min="13" max="13" width="12.42578125" style="1" bestFit="1" customWidth="1"/>
    <col min="14" max="14" width="9.28515625" style="1" bestFit="1" customWidth="1"/>
    <col min="15" max="15" width="9.42578125" style="1" bestFit="1" customWidth="1"/>
    <col min="16" max="16" width="10.42578125" style="1" bestFit="1" customWidth="1"/>
    <col min="17" max="17" width="9.28515625" style="1" bestFit="1" customWidth="1"/>
    <col min="18" max="18" width="9.140625" style="1"/>
    <col min="19" max="19" width="9.28515625" style="1" bestFit="1" customWidth="1"/>
    <col min="20" max="20" width="9.140625" style="1"/>
    <col min="21" max="21" width="10.42578125" style="1" bestFit="1" customWidth="1"/>
    <col min="22" max="22" width="11" style="1" bestFit="1" customWidth="1"/>
    <col min="23" max="23" width="9.28515625" style="1" bestFit="1" customWidth="1"/>
    <col min="24" max="24" width="12.42578125" style="1" bestFit="1" customWidth="1"/>
    <col min="25" max="25" width="9.42578125" style="1" bestFit="1" customWidth="1"/>
    <col min="26" max="27" width="9.28515625" style="1" bestFit="1" customWidth="1"/>
    <col min="28" max="28" width="9.140625" style="1"/>
    <col min="29" max="29" width="9.28515625" style="1" bestFit="1" customWidth="1"/>
    <col min="30" max="35" width="9.140625" style="1"/>
    <col min="36" max="36" width="9.28515625" style="1" bestFit="1" customWidth="1"/>
    <col min="37" max="37" width="11" style="1" bestFit="1" customWidth="1"/>
    <col min="38" max="38" width="11.140625" style="1" bestFit="1" customWidth="1"/>
    <col min="39" max="39" width="10.42578125" style="1" bestFit="1" customWidth="1"/>
    <col min="40" max="40" width="9.5703125" style="1" bestFit="1" customWidth="1"/>
    <col min="41" max="43" width="11" style="1" bestFit="1" customWidth="1"/>
    <col min="44" max="44" width="9.5703125" style="1" bestFit="1" customWidth="1"/>
    <col min="45" max="48" width="9.28515625" style="1" bestFit="1" customWidth="1"/>
    <col min="49" max="49" width="9.140625" style="1"/>
    <col min="50" max="53" width="9.28515625" style="1" bestFit="1" customWidth="1"/>
    <col min="54" max="54" width="12.42578125" style="1" bestFit="1" customWidth="1"/>
    <col min="55" max="55" width="9.28515625" style="1" bestFit="1" customWidth="1"/>
    <col min="56" max="56" width="11" style="1" bestFit="1" customWidth="1"/>
    <col min="57" max="62" width="9.28515625" style="1" bestFit="1" customWidth="1"/>
    <col min="63" max="16384" width="9.140625" style="1"/>
  </cols>
  <sheetData>
    <row r="1" spans="2:66" x14ac:dyDescent="0.2">
      <c r="B1" s="1" t="s">
        <v>34</v>
      </c>
    </row>
    <row r="3" spans="2:66" x14ac:dyDescent="0.2">
      <c r="B3" s="2" t="s">
        <v>13</v>
      </c>
      <c r="E3" s="23"/>
      <c r="F3" s="24"/>
      <c r="L3" s="2" t="s">
        <v>35</v>
      </c>
      <c r="Y3" s="24"/>
    </row>
    <row r="4" spans="2:66" x14ac:dyDescent="0.2">
      <c r="B4" s="1" t="s">
        <v>17</v>
      </c>
      <c r="E4" s="35">
        <v>45</v>
      </c>
      <c r="F4" s="1" t="s">
        <v>0</v>
      </c>
      <c r="L4" s="9"/>
      <c r="M4" s="78">
        <v>1</v>
      </c>
      <c r="N4" s="78">
        <v>2</v>
      </c>
      <c r="O4" s="78">
        <v>3</v>
      </c>
      <c r="P4" s="78">
        <v>4</v>
      </c>
      <c r="Q4" s="78">
        <v>5</v>
      </c>
      <c r="R4" s="78">
        <v>6</v>
      </c>
      <c r="S4" s="4"/>
      <c r="T4" s="4"/>
      <c r="U4" s="4"/>
      <c r="V4" s="4"/>
      <c r="W4" s="4"/>
      <c r="X4" s="4"/>
      <c r="Y4" s="25"/>
      <c r="AZ4" s="2"/>
    </row>
    <row r="5" spans="2:66" x14ac:dyDescent="0.2">
      <c r="B5" s="34" t="s">
        <v>19</v>
      </c>
      <c r="C5" s="25">
        <f>COS(RADIANS(E4))</f>
        <v>0.70710678118654757</v>
      </c>
      <c r="D5" s="34" t="s">
        <v>20</v>
      </c>
      <c r="E5" s="5">
        <f>SIN(RADIANS(E4))</f>
        <v>0.70710678118654746</v>
      </c>
      <c r="L5" s="78">
        <v>1</v>
      </c>
      <c r="M5" s="11">
        <f t="shared" ref="M5:R10" si="0">B20</f>
        <v>262664.06250000006</v>
      </c>
      <c r="N5" s="11">
        <f t="shared" si="0"/>
        <v>262335.9375</v>
      </c>
      <c r="O5" s="11">
        <f t="shared" si="0"/>
        <v>-464038.82515367179</v>
      </c>
      <c r="P5" s="11">
        <f t="shared" si="0"/>
        <v>-262664.06250000006</v>
      </c>
      <c r="Q5" s="11">
        <f t="shared" si="0"/>
        <v>-262335.9375</v>
      </c>
      <c r="R5" s="11">
        <f t="shared" si="0"/>
        <v>-464038.82515367179</v>
      </c>
      <c r="S5" s="7">
        <f>I20</f>
        <v>-14142.135623730954</v>
      </c>
      <c r="T5" s="4"/>
      <c r="U5" s="4"/>
      <c r="V5" s="4"/>
      <c r="W5" s="4"/>
      <c r="X5" s="4"/>
      <c r="Y5" s="25"/>
      <c r="AW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</row>
    <row r="6" spans="2:66" x14ac:dyDescent="0.2">
      <c r="B6" s="1" t="s">
        <v>2</v>
      </c>
      <c r="E6" s="5">
        <v>4000</v>
      </c>
      <c r="F6" s="1" t="s">
        <v>3</v>
      </c>
      <c r="L6" s="78">
        <v>2</v>
      </c>
      <c r="M6" s="11">
        <f t="shared" si="0"/>
        <v>262335.9375</v>
      </c>
      <c r="N6" s="11">
        <f t="shared" si="0"/>
        <v>262664.06249999994</v>
      </c>
      <c r="O6" s="11">
        <f t="shared" si="0"/>
        <v>464038.82515367185</v>
      </c>
      <c r="P6" s="11">
        <f t="shared" si="0"/>
        <v>-262335.9375</v>
      </c>
      <c r="Q6" s="11">
        <f t="shared" si="0"/>
        <v>-262664.06249999994</v>
      </c>
      <c r="R6" s="11">
        <f t="shared" si="0"/>
        <v>464038.82515367185</v>
      </c>
      <c r="S6" s="7">
        <f>I21</f>
        <v>-14142.135623730948</v>
      </c>
      <c r="T6" s="4"/>
      <c r="U6" s="146"/>
      <c r="V6" s="4"/>
      <c r="W6" s="4"/>
      <c r="X6" s="4"/>
      <c r="Y6" s="25"/>
      <c r="AW6" s="4"/>
      <c r="AX6" s="3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</row>
    <row r="7" spans="2:66" ht="13.5" x14ac:dyDescent="0.2">
      <c r="B7" s="1" t="s">
        <v>21</v>
      </c>
      <c r="E7" s="13">
        <f>100*100</f>
        <v>10000</v>
      </c>
      <c r="F7" s="1" t="s">
        <v>4</v>
      </c>
      <c r="L7" s="78">
        <v>3</v>
      </c>
      <c r="M7" s="11">
        <f t="shared" si="0"/>
        <v>-464038.82515367179</v>
      </c>
      <c r="N7" s="11">
        <f t="shared" si="0"/>
        <v>464038.82515367185</v>
      </c>
      <c r="O7" s="11">
        <f t="shared" si="0"/>
        <v>1750000000</v>
      </c>
      <c r="P7" s="11">
        <f t="shared" si="0"/>
        <v>464038.82515367179</v>
      </c>
      <c r="Q7" s="11">
        <f t="shared" si="0"/>
        <v>-464038.82515367185</v>
      </c>
      <c r="R7" s="11">
        <f t="shared" si="0"/>
        <v>875000000</v>
      </c>
      <c r="S7" s="7">
        <f>I22</f>
        <v>1.6335312732114935E-9</v>
      </c>
      <c r="T7" s="4"/>
      <c r="U7" s="4"/>
      <c r="V7" s="155"/>
      <c r="W7" s="4"/>
      <c r="X7" s="4"/>
      <c r="Y7" s="27"/>
      <c r="AW7" s="4"/>
      <c r="AX7" s="3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</row>
    <row r="8" spans="2:66" ht="13.5" x14ac:dyDescent="0.2">
      <c r="B8" s="1" t="s">
        <v>5</v>
      </c>
      <c r="E8" s="13">
        <f>100*100^3/12</f>
        <v>8333333.333333333</v>
      </c>
      <c r="F8" s="1" t="s">
        <v>6</v>
      </c>
      <c r="L8" s="78">
        <v>4</v>
      </c>
      <c r="M8" s="11">
        <f t="shared" si="0"/>
        <v>-262664.06250000006</v>
      </c>
      <c r="N8" s="11">
        <f t="shared" si="0"/>
        <v>-262335.9375</v>
      </c>
      <c r="O8" s="11">
        <f t="shared" si="0"/>
        <v>464038.82515367179</v>
      </c>
      <c r="P8" s="11">
        <f t="shared" si="0"/>
        <v>262664.06250000006</v>
      </c>
      <c r="Q8" s="11">
        <f t="shared" si="0"/>
        <v>262335.9375</v>
      </c>
      <c r="R8" s="11">
        <f t="shared" si="0"/>
        <v>464038.82515367179</v>
      </c>
      <c r="S8" s="7">
        <f>I23</f>
        <v>-14142.135623730954</v>
      </c>
      <c r="T8" s="4"/>
      <c r="U8" s="4"/>
      <c r="V8" s="4"/>
      <c r="W8" s="4"/>
      <c r="X8" s="4"/>
      <c r="Y8" s="27"/>
      <c r="AW8" s="4"/>
      <c r="AX8" s="3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</row>
    <row r="9" spans="2:66" x14ac:dyDescent="0.2">
      <c r="B9" s="1" t="s">
        <v>7</v>
      </c>
      <c r="E9" s="13">
        <f>210*10^3</f>
        <v>210000</v>
      </c>
      <c r="F9" s="1" t="s">
        <v>24</v>
      </c>
      <c r="L9" s="78">
        <v>5</v>
      </c>
      <c r="M9" s="11">
        <f t="shared" si="0"/>
        <v>-262335.9375</v>
      </c>
      <c r="N9" s="11">
        <f t="shared" si="0"/>
        <v>-262664.06249999994</v>
      </c>
      <c r="O9" s="11">
        <f t="shared" si="0"/>
        <v>-464038.82515367185</v>
      </c>
      <c r="P9" s="11">
        <f t="shared" si="0"/>
        <v>262335.9375</v>
      </c>
      <c r="Q9" s="11">
        <f t="shared" si="0"/>
        <v>262664.06249999994</v>
      </c>
      <c r="R9" s="11">
        <f t="shared" si="0"/>
        <v>-464038.82515367185</v>
      </c>
      <c r="S9" s="7">
        <f>I24</f>
        <v>-14142.135623730948</v>
      </c>
      <c r="T9" s="4"/>
      <c r="U9" s="4"/>
      <c r="V9" s="4"/>
      <c r="W9" s="4"/>
      <c r="X9" s="4"/>
      <c r="Y9" s="27"/>
      <c r="AW9" s="4"/>
      <c r="AX9" s="3"/>
      <c r="AZ9" s="4"/>
      <c r="BA9" s="4"/>
      <c r="BB9" s="4"/>
      <c r="BC9" s="4"/>
      <c r="BD9" s="16"/>
      <c r="BE9" s="16"/>
      <c r="BF9" s="16"/>
      <c r="BG9" s="4"/>
      <c r="BH9" s="4"/>
      <c r="BI9" s="4"/>
      <c r="BJ9" s="16"/>
      <c r="BK9" s="16"/>
      <c r="BL9" s="16"/>
      <c r="BM9" s="16"/>
      <c r="BN9" s="3"/>
    </row>
    <row r="10" spans="2:66" x14ac:dyDescent="0.2">
      <c r="B10" s="1" t="s">
        <v>23</v>
      </c>
      <c r="E10" s="36">
        <f>E9*E7</f>
        <v>2100000000</v>
      </c>
      <c r="F10" s="1" t="s">
        <v>9</v>
      </c>
      <c r="L10" s="78">
        <v>6</v>
      </c>
      <c r="M10" s="11">
        <f t="shared" si="0"/>
        <v>-464038.82515367179</v>
      </c>
      <c r="N10" s="11">
        <f t="shared" si="0"/>
        <v>464038.82515367185</v>
      </c>
      <c r="O10" s="11">
        <f t="shared" si="0"/>
        <v>875000000</v>
      </c>
      <c r="P10" s="11">
        <f t="shared" si="0"/>
        <v>464038.82515367179</v>
      </c>
      <c r="Q10" s="11">
        <f t="shared" si="0"/>
        <v>-464038.82515367185</v>
      </c>
      <c r="R10" s="11">
        <f t="shared" si="0"/>
        <v>1750000000</v>
      </c>
      <c r="S10" s="7">
        <f>I25</f>
        <v>-1.6335312732114935E-9</v>
      </c>
      <c r="T10" s="4"/>
      <c r="U10" s="4"/>
      <c r="V10" s="4"/>
      <c r="W10" s="4"/>
      <c r="X10" s="4"/>
      <c r="Y10" s="3"/>
      <c r="AW10" s="4"/>
      <c r="AX10" s="3"/>
      <c r="AZ10" s="4"/>
      <c r="BA10" s="4"/>
      <c r="BB10" s="4"/>
      <c r="BC10" s="4"/>
      <c r="BD10" s="16"/>
      <c r="BE10" s="16"/>
      <c r="BF10" s="16"/>
      <c r="BG10" s="4"/>
      <c r="BH10" s="4"/>
      <c r="BI10" s="4"/>
      <c r="BJ10" s="16"/>
      <c r="BK10" s="16"/>
      <c r="BL10" s="16"/>
      <c r="BM10" s="16"/>
    </row>
    <row r="11" spans="2:66" x14ac:dyDescent="0.2">
      <c r="B11" s="1" t="s">
        <v>22</v>
      </c>
      <c r="E11" s="36">
        <f>E9*E8</f>
        <v>1750000000000</v>
      </c>
      <c r="F11" s="1" t="s">
        <v>25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3"/>
      <c r="AW11" s="4"/>
      <c r="AX11" s="3"/>
      <c r="AZ11" s="4"/>
      <c r="BA11" s="4"/>
      <c r="BB11" s="4"/>
      <c r="BC11" s="4"/>
      <c r="BD11" s="16"/>
      <c r="BE11" s="16"/>
      <c r="BF11" s="16"/>
      <c r="BG11" s="4"/>
      <c r="BH11" s="4"/>
      <c r="BI11" s="4"/>
      <c r="BJ11" s="16"/>
      <c r="BK11" s="16"/>
      <c r="BL11" s="16"/>
      <c r="BM11" s="16"/>
    </row>
    <row r="12" spans="2:66" x14ac:dyDescent="0.2">
      <c r="L12" s="2" t="s">
        <v>115</v>
      </c>
      <c r="M12" s="4"/>
      <c r="N12" s="4" t="s">
        <v>117</v>
      </c>
      <c r="O12" s="162">
        <v>0</v>
      </c>
      <c r="P12" s="4" t="s">
        <v>118</v>
      </c>
      <c r="Q12" s="162">
        <v>45</v>
      </c>
      <c r="R12" s="4"/>
      <c r="S12" s="4"/>
      <c r="T12" s="2" t="s">
        <v>116</v>
      </c>
      <c r="U12" s="4"/>
      <c r="V12" s="4"/>
      <c r="W12" s="4"/>
      <c r="X12" s="4"/>
      <c r="AW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16"/>
    </row>
    <row r="13" spans="2:66" x14ac:dyDescent="0.2">
      <c r="B13" s="2" t="s">
        <v>14</v>
      </c>
      <c r="L13" s="78">
        <v>1</v>
      </c>
      <c r="M13" s="11">
        <f>COS(RADIANS(O12))</f>
        <v>1</v>
      </c>
      <c r="N13" s="11">
        <f>SIN(RADIANS(O12))</f>
        <v>0</v>
      </c>
      <c r="O13" s="11">
        <v>0</v>
      </c>
      <c r="P13" s="11">
        <v>0</v>
      </c>
      <c r="Q13" s="11">
        <v>0</v>
      </c>
      <c r="R13" s="11">
        <v>0</v>
      </c>
      <c r="S13" s="4"/>
      <c r="T13" s="11" cm="1">
        <f t="array" ref="T13:Y18">TRANSPOSE(M13:R18)</f>
        <v>1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AW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</row>
    <row r="14" spans="2:66" x14ac:dyDescent="0.2">
      <c r="B14" s="1" t="s">
        <v>11</v>
      </c>
      <c r="E14" s="14">
        <v>0</v>
      </c>
      <c r="F14" s="1" t="s">
        <v>56</v>
      </c>
      <c r="L14" s="78">
        <v>2</v>
      </c>
      <c r="M14" s="11">
        <f>-SIN(RADIANS(O12))</f>
        <v>0</v>
      </c>
      <c r="N14" s="11">
        <f>COS(RADIANS(O12))</f>
        <v>1</v>
      </c>
      <c r="O14" s="11">
        <v>0</v>
      </c>
      <c r="P14" s="11">
        <v>0</v>
      </c>
      <c r="Q14" s="11">
        <v>0</v>
      </c>
      <c r="R14" s="11">
        <v>0</v>
      </c>
      <c r="S14" s="4"/>
      <c r="T14" s="11">
        <v>0</v>
      </c>
      <c r="U14" s="11">
        <v>1</v>
      </c>
      <c r="V14" s="11">
        <v>0</v>
      </c>
      <c r="W14" s="11">
        <v>0</v>
      </c>
      <c r="X14" s="11">
        <v>0</v>
      </c>
      <c r="Y14" s="11">
        <v>0</v>
      </c>
      <c r="AW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</row>
    <row r="15" spans="2:66" x14ac:dyDescent="0.2">
      <c r="B15" s="1" t="s">
        <v>18</v>
      </c>
      <c r="E15" s="14">
        <v>10</v>
      </c>
      <c r="F15" s="1" t="s">
        <v>56</v>
      </c>
      <c r="L15" s="78">
        <v>3</v>
      </c>
      <c r="M15" s="11">
        <v>0</v>
      </c>
      <c r="N15" s="11">
        <v>0</v>
      </c>
      <c r="O15" s="11">
        <v>1</v>
      </c>
      <c r="P15" s="11">
        <v>0</v>
      </c>
      <c r="Q15" s="11">
        <v>0</v>
      </c>
      <c r="R15" s="11">
        <v>0</v>
      </c>
      <c r="S15" s="4"/>
      <c r="T15" s="11">
        <v>0</v>
      </c>
      <c r="U15" s="11">
        <v>0</v>
      </c>
      <c r="V15" s="11">
        <v>1</v>
      </c>
      <c r="W15" s="11">
        <v>0</v>
      </c>
      <c r="X15" s="11">
        <v>0</v>
      </c>
      <c r="Y15" s="11">
        <v>0</v>
      </c>
      <c r="AW15" s="4"/>
      <c r="AX15" s="12"/>
      <c r="AZ15" s="4"/>
      <c r="BA15" s="4"/>
      <c r="BB15" s="4"/>
      <c r="BC15" s="4"/>
      <c r="BD15" s="16"/>
      <c r="BE15" s="16"/>
      <c r="BF15" s="16"/>
      <c r="BG15" s="4"/>
      <c r="BH15" s="4"/>
      <c r="BI15" s="4"/>
      <c r="BJ15" s="16"/>
      <c r="BK15" s="16"/>
      <c r="BL15" s="16"/>
      <c r="BM15" s="16"/>
      <c r="BN15" s="16"/>
    </row>
    <row r="16" spans="2:66" x14ac:dyDescent="0.2">
      <c r="E16" s="3"/>
      <c r="L16" s="78">
        <v>4</v>
      </c>
      <c r="M16" s="11">
        <v>0</v>
      </c>
      <c r="N16" s="11">
        <v>0</v>
      </c>
      <c r="O16" s="11">
        <v>0</v>
      </c>
      <c r="P16" s="11">
        <f>COS(RADIANS(Q12))</f>
        <v>0.70710678118654757</v>
      </c>
      <c r="Q16" s="11">
        <f>SIN(RADIANS(Q12))</f>
        <v>0.70710678118654746</v>
      </c>
      <c r="R16" s="11">
        <v>0</v>
      </c>
      <c r="T16" s="11">
        <v>0</v>
      </c>
      <c r="U16" s="11">
        <v>0</v>
      </c>
      <c r="V16" s="11">
        <v>0</v>
      </c>
      <c r="W16" s="11">
        <v>0.70710678118654757</v>
      </c>
      <c r="X16" s="11">
        <v>-0.70710678118654746</v>
      </c>
      <c r="Y16" s="11">
        <v>0</v>
      </c>
      <c r="AW16" s="4"/>
      <c r="AX16" s="12"/>
      <c r="AZ16" s="4"/>
      <c r="BA16" s="4"/>
      <c r="BB16" s="4"/>
      <c r="BC16" s="4"/>
      <c r="BD16" s="16"/>
      <c r="BE16" s="16"/>
      <c r="BF16" s="16"/>
      <c r="BG16" s="4"/>
      <c r="BH16" s="4"/>
      <c r="BI16" s="4"/>
      <c r="BJ16" s="16"/>
      <c r="BK16" s="16"/>
      <c r="BL16" s="16"/>
      <c r="BM16" s="16"/>
      <c r="BN16" s="12"/>
    </row>
    <row r="17" spans="2:66" x14ac:dyDescent="0.2">
      <c r="L17" s="78">
        <v>5</v>
      </c>
      <c r="M17" s="11">
        <v>0</v>
      </c>
      <c r="N17" s="11">
        <v>0</v>
      </c>
      <c r="O17" s="11">
        <v>0</v>
      </c>
      <c r="P17" s="11">
        <f>-SIN(RADIANS(Q12))</f>
        <v>-0.70710678118654746</v>
      </c>
      <c r="Q17" s="11">
        <f>COS(RADIANS(Q12))</f>
        <v>0.70710678118654757</v>
      </c>
      <c r="R17" s="11">
        <v>0</v>
      </c>
      <c r="T17" s="11">
        <v>0</v>
      </c>
      <c r="U17" s="11">
        <v>0</v>
      </c>
      <c r="V17" s="11">
        <v>0</v>
      </c>
      <c r="W17" s="11">
        <v>0.70710678118654746</v>
      </c>
      <c r="X17" s="11">
        <v>0.70710678118654757</v>
      </c>
      <c r="Y17" s="11">
        <v>0</v>
      </c>
      <c r="AW17" s="4"/>
      <c r="AX17" s="12"/>
      <c r="AZ17" s="4"/>
      <c r="BA17" s="4"/>
      <c r="BB17" s="4"/>
      <c r="BC17" s="4"/>
      <c r="BD17" s="16"/>
      <c r="BE17" s="16"/>
      <c r="BF17" s="16"/>
      <c r="BG17" s="4"/>
      <c r="BH17" s="4"/>
      <c r="BI17" s="4"/>
      <c r="BJ17" s="16"/>
      <c r="BK17" s="16"/>
      <c r="BL17" s="16"/>
      <c r="BM17" s="16"/>
      <c r="BN17" s="12"/>
    </row>
    <row r="18" spans="2:66" x14ac:dyDescent="0.2">
      <c r="L18" s="78">
        <v>6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1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1</v>
      </c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Z18" s="4"/>
      <c r="BA18" s="4"/>
      <c r="BB18" s="4"/>
      <c r="BC18" s="4"/>
      <c r="BD18" s="16"/>
      <c r="BE18" s="16"/>
      <c r="BF18" s="4"/>
      <c r="BG18" s="16"/>
      <c r="BH18" s="4"/>
      <c r="BI18" s="4"/>
      <c r="BJ18" s="4"/>
      <c r="BK18" s="16"/>
      <c r="BL18" s="16"/>
      <c r="BM18" s="4"/>
      <c r="BN18" s="16"/>
    </row>
    <row r="19" spans="2:66" x14ac:dyDescent="0.2">
      <c r="B19" s="2" t="s">
        <v>26</v>
      </c>
      <c r="I19" s="2" t="s">
        <v>32</v>
      </c>
      <c r="AC19" s="2"/>
      <c r="AM19" s="4"/>
      <c r="AN19" s="7"/>
      <c r="AO19" s="4"/>
      <c r="AP19" s="4"/>
      <c r="AQ19" s="4"/>
      <c r="AR19" s="4"/>
      <c r="AS19" s="4"/>
      <c r="AT19" s="4"/>
      <c r="AU19" s="7"/>
      <c r="AV19" s="4"/>
      <c r="AW19" s="4"/>
      <c r="AX19" s="4"/>
      <c r="AZ19" s="4"/>
      <c r="BA19" s="4"/>
      <c r="BB19" s="4"/>
      <c r="BC19" s="4"/>
      <c r="BD19" s="16"/>
      <c r="BE19" s="16"/>
      <c r="BF19" s="4"/>
      <c r="BG19" s="16"/>
      <c r="BH19" s="4"/>
      <c r="BI19" s="4"/>
      <c r="BJ19" s="4"/>
      <c r="BK19" s="16"/>
      <c r="BL19" s="16"/>
      <c r="BM19" s="4"/>
      <c r="BN19" s="16"/>
    </row>
    <row r="20" spans="2:66" x14ac:dyDescent="0.2">
      <c r="B20" s="37">
        <f t="shared" ref="B20:G25" si="1">$B36*B$45+$C36*B$46+$D36*B$47+$E36*B$48+$F36*B$49+$G36*B$50</f>
        <v>262664.06250000006</v>
      </c>
      <c r="C20" s="37">
        <f t="shared" si="1"/>
        <v>262335.9375</v>
      </c>
      <c r="D20" s="37">
        <f t="shared" si="1"/>
        <v>-464038.82515367179</v>
      </c>
      <c r="E20" s="37">
        <f t="shared" si="1"/>
        <v>-262664.06250000006</v>
      </c>
      <c r="F20" s="37">
        <f t="shared" si="1"/>
        <v>-262335.9375</v>
      </c>
      <c r="G20" s="37">
        <f t="shared" si="1"/>
        <v>-464038.82515367179</v>
      </c>
      <c r="I20" s="151">
        <f>B54*I28+C54*I29+D54*I30+E54*I31+F54*I32+G54*I33</f>
        <v>-14142.135623730954</v>
      </c>
      <c r="L20" s="2" t="s">
        <v>36</v>
      </c>
      <c r="S20" s="4"/>
      <c r="T20" s="4"/>
      <c r="U20" s="4"/>
      <c r="V20" s="4"/>
      <c r="W20" s="4"/>
      <c r="X20" s="4"/>
      <c r="Y20" s="3"/>
      <c r="AJ20" s="2"/>
    </row>
    <row r="21" spans="2:66" x14ac:dyDescent="0.2">
      <c r="B21" s="37">
        <f t="shared" si="1"/>
        <v>262335.9375</v>
      </c>
      <c r="C21" s="37">
        <f t="shared" si="1"/>
        <v>262664.06249999994</v>
      </c>
      <c r="D21" s="37">
        <f t="shared" si="1"/>
        <v>464038.82515367185</v>
      </c>
      <c r="E21" s="37">
        <f t="shared" si="1"/>
        <v>-262335.9375</v>
      </c>
      <c r="F21" s="37">
        <f t="shared" si="1"/>
        <v>-262664.06249999994</v>
      </c>
      <c r="G21" s="37">
        <f t="shared" si="1"/>
        <v>464038.82515367185</v>
      </c>
      <c r="I21" s="151">
        <f>B55*I28+C55*I29+D55*I30+E55*I31+F55*I32+G55*I33</f>
        <v>-14142.135623730948</v>
      </c>
      <c r="L21" s="9"/>
      <c r="M21" s="78">
        <v>1</v>
      </c>
      <c r="N21" s="78">
        <v>2</v>
      </c>
      <c r="O21" s="78">
        <v>3</v>
      </c>
      <c r="P21" s="78">
        <v>4</v>
      </c>
      <c r="Q21" s="78">
        <v>5</v>
      </c>
      <c r="R21" s="78">
        <v>6</v>
      </c>
      <c r="S21" s="4" t="s">
        <v>1</v>
      </c>
      <c r="T21" s="9" t="s">
        <v>39</v>
      </c>
      <c r="U21" s="4" t="s">
        <v>49</v>
      </c>
      <c r="V21" s="9" t="s">
        <v>50</v>
      </c>
      <c r="X21" s="9" t="s">
        <v>39</v>
      </c>
      <c r="Y21" s="80"/>
      <c r="Z21" s="80" t="s">
        <v>88</v>
      </c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</row>
    <row r="22" spans="2:66" x14ac:dyDescent="0.2">
      <c r="B22" s="37">
        <f t="shared" si="1"/>
        <v>-464038.82515367179</v>
      </c>
      <c r="C22" s="37">
        <f t="shared" si="1"/>
        <v>464038.82515367185</v>
      </c>
      <c r="D22" s="37">
        <f t="shared" si="1"/>
        <v>1750000000</v>
      </c>
      <c r="E22" s="37">
        <f t="shared" si="1"/>
        <v>464038.82515367179</v>
      </c>
      <c r="F22" s="37">
        <f t="shared" si="1"/>
        <v>-464038.82515367185</v>
      </c>
      <c r="G22" s="37">
        <f>-1*$B38*G$45+$C38*G$46+$D38*G$47+$E38*G$48+$F38*G$49+$G38*G$50</f>
        <v>875000000</v>
      </c>
      <c r="I22" s="151">
        <f>B56*I28+C56*I29+D56*I30+E56*I31+F56*I32+G56*I33</f>
        <v>1.6335312732114935E-9</v>
      </c>
      <c r="L22" s="78">
        <v>1</v>
      </c>
      <c r="M22" s="11">
        <f>(M5+BA6+AK22)</f>
        <v>262664.06250000006</v>
      </c>
      <c r="N22" s="11">
        <f>(N5+BB6+AL22)</f>
        <v>262335.9375</v>
      </c>
      <c r="O22" s="11">
        <f>O5+BC6+AM22</f>
        <v>-464038.82515367179</v>
      </c>
      <c r="P22" s="11">
        <f>P5+BD6+AN22</f>
        <v>-262664.06250000006</v>
      </c>
      <c r="Q22" s="11">
        <f>Q5+BE6+AO22</f>
        <v>-262335.9375</v>
      </c>
      <c r="R22" s="11">
        <f>R5+BF6+AP22</f>
        <v>-464038.82515367179</v>
      </c>
      <c r="T22" s="4">
        <v>0</v>
      </c>
      <c r="V22" s="3">
        <f>S5</f>
        <v>-14142.135623730954</v>
      </c>
      <c r="W22" s="144" t="s">
        <v>52</v>
      </c>
      <c r="X22" s="153" cm="1">
        <f t="array" ref="X22:X23">T22:T23</f>
        <v>0</v>
      </c>
      <c r="Y22" s="4"/>
      <c r="Z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</row>
    <row r="23" spans="2:66" x14ac:dyDescent="0.2">
      <c r="B23" s="37">
        <f t="shared" si="1"/>
        <v>-262664.06250000006</v>
      </c>
      <c r="C23" s="37">
        <f t="shared" si="1"/>
        <v>-262335.9375</v>
      </c>
      <c r="D23" s="37">
        <f t="shared" si="1"/>
        <v>464038.82515367179</v>
      </c>
      <c r="E23" s="37">
        <f t="shared" si="1"/>
        <v>262664.06250000006</v>
      </c>
      <c r="F23" s="37">
        <f t="shared" si="1"/>
        <v>262335.9375</v>
      </c>
      <c r="G23" s="37">
        <f>$B39*G$45+$C39*G$46+$D39*G$47+$E39*G$48+$F39*G$49+$G39*G$50</f>
        <v>464038.82515367179</v>
      </c>
      <c r="I23" s="151">
        <f>B57*I28+C57*I29+D57*I30+E57*I31+F57*I32+G57*I33</f>
        <v>-14142.135623730954</v>
      </c>
      <c r="L23" s="78">
        <v>2</v>
      </c>
      <c r="M23" s="11">
        <f>(M6+BA7+AK23)</f>
        <v>262335.9375</v>
      </c>
      <c r="N23" s="11">
        <f>(N6+BB7+AL23)</f>
        <v>262664.06249999994</v>
      </c>
      <c r="O23" s="11">
        <f>O6+BC7+AM23</f>
        <v>464038.82515367185</v>
      </c>
      <c r="P23" s="11">
        <f>P6+BD7+AN23</f>
        <v>-262335.9375</v>
      </c>
      <c r="Q23" s="11">
        <f>Q6+BE7+AO23</f>
        <v>-262664.06249999994</v>
      </c>
      <c r="R23" s="11">
        <f>R6+BF7+AP23</f>
        <v>464038.82515367185</v>
      </c>
      <c r="T23" s="4">
        <v>0</v>
      </c>
      <c r="V23" s="3">
        <f>S6</f>
        <v>-14142.135623730948</v>
      </c>
      <c r="W23" s="144" t="s">
        <v>51</v>
      </c>
      <c r="X23" s="153">
        <v>0</v>
      </c>
      <c r="Y23" s="154"/>
      <c r="Z23" s="156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</row>
    <row r="24" spans="2:66" x14ac:dyDescent="0.2">
      <c r="B24" s="37">
        <f t="shared" si="1"/>
        <v>-262335.9375</v>
      </c>
      <c r="C24" s="37">
        <f t="shared" si="1"/>
        <v>-262664.06249999994</v>
      </c>
      <c r="D24" s="37">
        <f t="shared" si="1"/>
        <v>-464038.82515367185</v>
      </c>
      <c r="E24" s="37">
        <f t="shared" si="1"/>
        <v>262335.9375</v>
      </c>
      <c r="F24" s="37">
        <f t="shared" si="1"/>
        <v>262664.06249999994</v>
      </c>
      <c r="G24" s="37">
        <f>$B40*G$45+$C40*G$46+$D40*G$47+$E40*G$48+$F40*G$49+$G40*G$50</f>
        <v>-464038.82515367185</v>
      </c>
      <c r="I24" s="151">
        <f>B58*I28+C58*I29+D58*I30+E58*I31+F58*I32+G58*I33</f>
        <v>-14142.135623730948</v>
      </c>
      <c r="L24" s="78">
        <v>3</v>
      </c>
      <c r="M24" s="11">
        <f>M7+BA8+AK24</f>
        <v>-464038.82515367179</v>
      </c>
      <c r="N24" s="11">
        <f>N7+BB8+AL24</f>
        <v>464038.82515367185</v>
      </c>
      <c r="O24" s="11">
        <f>O7+BC8+AM24</f>
        <v>1750000000</v>
      </c>
      <c r="P24" s="11">
        <f>P7+BD8+AN24</f>
        <v>464038.82515367179</v>
      </c>
      <c r="Q24" s="11">
        <f>Q7+BE8+AO24</f>
        <v>-464038.82515367185</v>
      </c>
      <c r="R24" s="11">
        <f>R7+BF8+AP24</f>
        <v>875000000</v>
      </c>
      <c r="T24" s="4" t="s">
        <v>40</v>
      </c>
      <c r="V24" s="3">
        <f>S7</f>
        <v>1.6335312732114935E-9</v>
      </c>
      <c r="X24" s="153">
        <f>U59</f>
        <v>1.2439023074359774E-18</v>
      </c>
      <c r="Y24" s="154"/>
      <c r="Z24" s="156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</row>
    <row r="25" spans="2:66" x14ac:dyDescent="0.2">
      <c r="B25" s="37">
        <f t="shared" si="1"/>
        <v>-464038.82515367179</v>
      </c>
      <c r="C25" s="37">
        <f t="shared" si="1"/>
        <v>464038.82515367185</v>
      </c>
      <c r="D25" s="37">
        <f t="shared" si="1"/>
        <v>875000000</v>
      </c>
      <c r="E25" s="37">
        <f t="shared" si="1"/>
        <v>464038.82515367179</v>
      </c>
      <c r="F25" s="37">
        <f t="shared" si="1"/>
        <v>-464038.82515367185</v>
      </c>
      <c r="G25" s="37">
        <f>$B41*G$45+$C41*G$46+$D41*G$47+$E41*G$48+$F41*G$49+$G41*G$50</f>
        <v>1750000000</v>
      </c>
      <c r="I25" s="151">
        <f>B59*I28+C59*I29+D59*I30+E59*I31+F59*I32+G59*I33</f>
        <v>-1.6335312732114935E-9</v>
      </c>
      <c r="K25" s="2"/>
      <c r="L25" s="78">
        <v>4</v>
      </c>
      <c r="M25" s="11">
        <f>M8+BA9+AK25</f>
        <v>-262664.06250000006</v>
      </c>
      <c r="N25" s="11">
        <f>N8+BB9+AL25</f>
        <v>-262335.9375</v>
      </c>
      <c r="O25" s="11">
        <f>O8+BC9+AM25</f>
        <v>464038.82515367179</v>
      </c>
      <c r="P25" s="18">
        <f>(P8+BD9+AN25)</f>
        <v>262664.06250000006</v>
      </c>
      <c r="Q25" s="18">
        <f>(Q8+BE9+AO25)</f>
        <v>262335.9375</v>
      </c>
      <c r="R25" s="18">
        <f>R8+BF9+AP25</f>
        <v>464038.82515367179</v>
      </c>
      <c r="T25" s="4" t="s">
        <v>96</v>
      </c>
      <c r="V25" s="3">
        <f>S8</f>
        <v>-14142.135623730954</v>
      </c>
      <c r="W25" s="144" t="s">
        <v>111</v>
      </c>
      <c r="X25" s="153">
        <f>U66</f>
        <v>-2.6937401188058954E-2</v>
      </c>
      <c r="Y25" s="154"/>
      <c r="Z25" s="156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</row>
    <row r="26" spans="2:66" x14ac:dyDescent="0.2">
      <c r="I26" s="3"/>
      <c r="L26" s="78">
        <v>5</v>
      </c>
      <c r="M26" s="11">
        <f>M9+BA10+AK26</f>
        <v>-262335.9375</v>
      </c>
      <c r="N26" s="11">
        <f>N9+BB10+AL26</f>
        <v>-262664.06249999994</v>
      </c>
      <c r="O26" s="11">
        <f>O9+BC10+AM26</f>
        <v>-464038.82515367185</v>
      </c>
      <c r="P26" s="18">
        <f>(P9+BD10+AN26)</f>
        <v>262335.9375</v>
      </c>
      <c r="Q26" s="18">
        <f>(Q9+BE10+AO26)</f>
        <v>262664.06249999994</v>
      </c>
      <c r="R26" s="18">
        <f>R9+BF10+AP26</f>
        <v>-464038.82515367185</v>
      </c>
      <c r="T26" s="4">
        <v>0</v>
      </c>
      <c r="V26" s="3">
        <f>S9</f>
        <v>-14142.135623730948</v>
      </c>
      <c r="W26" s="144" t="s">
        <v>112</v>
      </c>
      <c r="X26" s="153">
        <f>U67</f>
        <v>-2.693740118805895E-2</v>
      </c>
      <c r="Y26" s="80"/>
      <c r="Z26" s="80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Y26" s="2"/>
    </row>
    <row r="27" spans="2:66" x14ac:dyDescent="0.2">
      <c r="B27" s="2" t="s">
        <v>27</v>
      </c>
      <c r="I27" s="143" t="s">
        <v>31</v>
      </c>
      <c r="L27" s="78">
        <v>6</v>
      </c>
      <c r="M27" s="11">
        <f>M10+BA11+AK27</f>
        <v>-464038.82515367179</v>
      </c>
      <c r="N27" s="11">
        <f>N10+BB11+AL27</f>
        <v>464038.82515367185</v>
      </c>
      <c r="O27" s="11">
        <f>O10+BC11+AM27</f>
        <v>875000000</v>
      </c>
      <c r="P27" s="18">
        <f>P10+BD11+AN27</f>
        <v>464038.82515367179</v>
      </c>
      <c r="Q27" s="18">
        <f>Q10+BE11+AO27</f>
        <v>-464038.82515367185</v>
      </c>
      <c r="R27" s="18">
        <f>R10+BF11+AP27</f>
        <v>1750000000</v>
      </c>
      <c r="T27" s="4" t="s">
        <v>110</v>
      </c>
      <c r="V27" s="3">
        <f>S10</f>
        <v>-1.6335312732114935E-9</v>
      </c>
      <c r="X27" s="157">
        <f>U61</f>
        <v>-6.2091173120167685E-19</v>
      </c>
      <c r="Y27" s="154"/>
      <c r="Z27" s="156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Y27" s="2"/>
    </row>
    <row r="28" spans="2:66" x14ac:dyDescent="0.2">
      <c r="B28" s="38">
        <f>$E$10/E6</f>
        <v>525000</v>
      </c>
      <c r="C28" s="39">
        <v>0</v>
      </c>
      <c r="D28" s="39">
        <v>0</v>
      </c>
      <c r="E28" s="38">
        <f>-$E$10/E6</f>
        <v>-525000</v>
      </c>
      <c r="F28" s="39">
        <v>0</v>
      </c>
      <c r="G28" s="39">
        <v>0</v>
      </c>
      <c r="I28" s="38">
        <f>-E6/2*E15*I38</f>
        <v>-20000</v>
      </c>
      <c r="T28" s="4"/>
      <c r="V28" s="3"/>
      <c r="W28" s="144"/>
      <c r="X28" s="153"/>
      <c r="Y28" s="154"/>
      <c r="Z28" s="156"/>
      <c r="AJ28" s="4"/>
      <c r="AK28" s="4"/>
      <c r="AL28" s="4"/>
      <c r="AM28" s="4"/>
      <c r="AN28" s="4"/>
      <c r="AO28" s="4"/>
      <c r="AP28" s="4"/>
      <c r="AQ28" s="16"/>
      <c r="AR28" s="16"/>
      <c r="AS28" s="16"/>
      <c r="AT28" s="16"/>
      <c r="AU28" s="16"/>
      <c r="AV28" s="16"/>
      <c r="AW28" s="4"/>
      <c r="AX28" s="3"/>
      <c r="AY28" s="8"/>
    </row>
    <row r="29" spans="2:66" x14ac:dyDescent="0.2">
      <c r="B29" s="39">
        <v>0</v>
      </c>
      <c r="C29" s="38">
        <f>(12*$E$11)/$E$6^3</f>
        <v>328.125</v>
      </c>
      <c r="D29" s="38">
        <f>(6*$E$11)/$E$6^2</f>
        <v>656250</v>
      </c>
      <c r="E29" s="39">
        <v>0</v>
      </c>
      <c r="F29" s="38">
        <f>-(12*$E$11)/$E$6^3</f>
        <v>-328.125</v>
      </c>
      <c r="G29" s="38">
        <f>(6*$E$11)/$E$6^2</f>
        <v>656250</v>
      </c>
      <c r="I29" s="38">
        <f>-E6/2*E15*I39</f>
        <v>2.45029690981724E-12</v>
      </c>
      <c r="L29" s="2" t="s">
        <v>119</v>
      </c>
      <c r="T29" s="4"/>
      <c r="V29" s="9" t="s">
        <v>123</v>
      </c>
      <c r="W29" s="144"/>
      <c r="X29" s="153"/>
      <c r="Y29" s="155"/>
      <c r="Z29" s="4"/>
      <c r="AJ29" s="4"/>
      <c r="AK29" s="4"/>
      <c r="AL29" s="4"/>
      <c r="AM29" s="4"/>
      <c r="AN29" s="4"/>
      <c r="AO29" s="4"/>
      <c r="AP29" s="4"/>
      <c r="AQ29" s="16"/>
      <c r="AR29" s="16"/>
      <c r="AS29" s="16"/>
      <c r="AT29" s="16"/>
      <c r="AU29" s="16"/>
      <c r="AV29" s="16"/>
      <c r="AW29" s="4"/>
      <c r="AX29" s="3"/>
      <c r="AY29" s="10"/>
    </row>
    <row r="30" spans="2:66" x14ac:dyDescent="0.2">
      <c r="B30" s="39">
        <v>0</v>
      </c>
      <c r="C30" s="38">
        <f>(6*$E$11)/$E$6^2</f>
        <v>656250</v>
      </c>
      <c r="D30" s="38">
        <f>4*$E$11/$E$6</f>
        <v>1750000000</v>
      </c>
      <c r="E30" s="39">
        <v>0</v>
      </c>
      <c r="F30" s="38">
        <f>-(6*$E$11)/$E$6^2</f>
        <v>-656250</v>
      </c>
      <c r="G30" s="38">
        <f>2*$E$11/$E$6</f>
        <v>875000000</v>
      </c>
      <c r="I30" s="38">
        <f>-1*(E15*E6^2)/12*I39</f>
        <v>1.6335312732114935E-9</v>
      </c>
      <c r="L30" s="9"/>
      <c r="M30" s="78">
        <v>1</v>
      </c>
      <c r="N30" s="78">
        <v>2</v>
      </c>
      <c r="O30" s="78">
        <v>3</v>
      </c>
      <c r="P30" s="78">
        <v>4</v>
      </c>
      <c r="Q30" s="78">
        <v>5</v>
      </c>
      <c r="R30" s="78">
        <v>6</v>
      </c>
      <c r="T30" s="4"/>
      <c r="V30" s="9" t="s">
        <v>50</v>
      </c>
      <c r="X30" s="153"/>
      <c r="Y30" s="154"/>
      <c r="Z30" s="156"/>
      <c r="AA30" s="4"/>
      <c r="AJ30" s="4"/>
      <c r="AK30" s="4"/>
      <c r="AL30" s="4"/>
      <c r="AM30" s="4"/>
      <c r="AN30" s="4"/>
      <c r="AO30" s="4"/>
      <c r="AP30" s="4"/>
      <c r="AQ30" s="16"/>
      <c r="AR30" s="16"/>
      <c r="AS30" s="16"/>
      <c r="AT30" s="16"/>
      <c r="AU30" s="16"/>
      <c r="AV30" s="16"/>
      <c r="AW30" s="4"/>
      <c r="AX30" s="3"/>
      <c r="AY30" s="8"/>
    </row>
    <row r="31" spans="2:66" x14ac:dyDescent="0.2">
      <c r="B31" s="38">
        <f>-$E$10/E6</f>
        <v>-525000</v>
      </c>
      <c r="C31" s="39">
        <v>0</v>
      </c>
      <c r="D31" s="39">
        <v>0</v>
      </c>
      <c r="E31" s="38">
        <f>$E$10/E6</f>
        <v>525000</v>
      </c>
      <c r="F31" s="39">
        <v>0</v>
      </c>
      <c r="G31" s="39">
        <v>0</v>
      </c>
      <c r="I31" s="38">
        <f>-E6/2*E15*I38</f>
        <v>-20000</v>
      </c>
      <c r="L31" s="78">
        <v>1</v>
      </c>
      <c r="M31" s="11" cm="1">
        <f t="array" ref="M31:R36">MMULT(M22:R27,_xlfn.ANCHORARRAY(T13))</f>
        <v>262664.06250000006</v>
      </c>
      <c r="N31" s="11">
        <v>262335.9375</v>
      </c>
      <c r="O31" s="11">
        <v>-464038.82515367179</v>
      </c>
      <c r="P31" s="11">
        <v>-371231.06012293749</v>
      </c>
      <c r="Q31" s="11">
        <v>232.01941257686121</v>
      </c>
      <c r="R31" s="11">
        <v>-464038.82515367179</v>
      </c>
      <c r="T31" s="4"/>
      <c r="V31" s="3" cm="1">
        <f t="array" ref="V31:V36">MMULT(M13:R18,V22:V27)</f>
        <v>-14142.135623730954</v>
      </c>
      <c r="X31" s="153"/>
      <c r="Y31" s="155"/>
      <c r="Z31" s="4"/>
      <c r="AJ31" s="4"/>
      <c r="AK31" s="4"/>
      <c r="AL31" s="4"/>
      <c r="AM31" s="4"/>
      <c r="AN31" s="4"/>
      <c r="AO31" s="4"/>
      <c r="AP31" s="4"/>
      <c r="AQ31" s="16"/>
      <c r="AR31" s="16"/>
      <c r="AS31" s="16"/>
      <c r="AT31" s="16"/>
      <c r="AU31" s="16"/>
      <c r="AV31" s="16"/>
      <c r="AW31" s="4"/>
      <c r="AX31" s="3"/>
      <c r="AY31" s="8"/>
    </row>
    <row r="32" spans="2:66" x14ac:dyDescent="0.2">
      <c r="B32" s="39">
        <v>0</v>
      </c>
      <c r="C32" s="38">
        <f>-(12*$E$11)/$E$6^3</f>
        <v>-328.125</v>
      </c>
      <c r="D32" s="38">
        <f>-(6*$E$11)/$E$6^2</f>
        <v>-656250</v>
      </c>
      <c r="E32" s="39">
        <v>0</v>
      </c>
      <c r="F32" s="38">
        <f>(12*$E$11)/$E$6^3</f>
        <v>328.125</v>
      </c>
      <c r="G32" s="38">
        <f>-(6*$E$11)/$E$6^2</f>
        <v>-656250</v>
      </c>
      <c r="I32" s="38">
        <f>-E6/2*E15*I39</f>
        <v>2.45029690981724E-12</v>
      </c>
      <c r="L32" s="78">
        <v>2</v>
      </c>
      <c r="M32" s="11">
        <v>262335.9375</v>
      </c>
      <c r="N32" s="11">
        <v>262664.06249999994</v>
      </c>
      <c r="O32" s="11">
        <v>464038.82515367185</v>
      </c>
      <c r="P32" s="11">
        <v>-371231.06012293743</v>
      </c>
      <c r="Q32" s="11">
        <v>-232.01941257683211</v>
      </c>
      <c r="R32" s="11">
        <v>464038.82515367185</v>
      </c>
      <c r="V32" s="3">
        <v>-14142.135623730948</v>
      </c>
      <c r="AJ32" s="4"/>
      <c r="AK32" s="4"/>
      <c r="AL32" s="4"/>
      <c r="AM32" s="4"/>
      <c r="AN32" s="4"/>
      <c r="AO32" s="4"/>
      <c r="AP32" s="4"/>
      <c r="AQ32" s="16"/>
      <c r="AR32" s="16"/>
      <c r="AS32" s="16"/>
      <c r="AT32" s="16"/>
      <c r="AU32" s="16"/>
      <c r="AV32" s="16"/>
      <c r="AW32" s="4"/>
      <c r="AX32" s="3"/>
      <c r="AY32" s="10"/>
    </row>
    <row r="33" spans="2:83" x14ac:dyDescent="0.2">
      <c r="B33" s="39">
        <v>0</v>
      </c>
      <c r="C33" s="38">
        <f>(6*$E$11)/$E$6^2</f>
        <v>656250</v>
      </c>
      <c r="D33" s="38">
        <f>2*$E$11/$E$6</f>
        <v>875000000</v>
      </c>
      <c r="E33" s="39">
        <v>0</v>
      </c>
      <c r="F33" s="38">
        <f>-(6*$E$11)/$E$6^2</f>
        <v>-656250</v>
      </c>
      <c r="G33" s="38">
        <f>4*$E$11/$E$6</f>
        <v>1750000000</v>
      </c>
      <c r="I33" s="38">
        <f>1*(E15*E6^2)/12*I39</f>
        <v>-1.6335312732114935E-9</v>
      </c>
      <c r="L33" s="78">
        <v>3</v>
      </c>
      <c r="M33" s="11">
        <v>-464038.82515367179</v>
      </c>
      <c r="N33" s="11">
        <v>464038.82515367185</v>
      </c>
      <c r="O33" s="11">
        <v>1750000000</v>
      </c>
      <c r="P33" s="11">
        <v>0</v>
      </c>
      <c r="Q33" s="11">
        <v>-656250</v>
      </c>
      <c r="R33" s="11">
        <v>875000000</v>
      </c>
      <c r="V33" s="3">
        <v>1.6335312732114935E-9</v>
      </c>
      <c r="AJ33" s="4"/>
      <c r="AK33" s="4"/>
      <c r="AL33" s="4"/>
      <c r="AM33" s="4"/>
      <c r="AN33" s="4"/>
      <c r="AO33" s="4"/>
      <c r="AP33" s="4"/>
      <c r="AQ33" s="16"/>
      <c r="AR33" s="16"/>
      <c r="AS33" s="16"/>
      <c r="AT33" s="16"/>
      <c r="AU33" s="16"/>
      <c r="AV33" s="16"/>
      <c r="AW33" s="4"/>
      <c r="AX33" s="3"/>
      <c r="AY33" s="8"/>
    </row>
    <row r="34" spans="2:83" x14ac:dyDescent="0.2">
      <c r="L34" s="78">
        <v>4</v>
      </c>
      <c r="M34" s="11">
        <v>-262664.06250000006</v>
      </c>
      <c r="N34" s="11">
        <v>-262335.9375</v>
      </c>
      <c r="O34" s="11">
        <v>464038.82515367179</v>
      </c>
      <c r="P34" s="11">
        <v>371231.06012293749</v>
      </c>
      <c r="Q34" s="11">
        <v>-232.01941257686121</v>
      </c>
      <c r="R34" s="11">
        <v>464038.82515367179</v>
      </c>
      <c r="V34" s="3">
        <v>-20000</v>
      </c>
      <c r="AB34" s="12"/>
      <c r="AD34" s="153"/>
      <c r="AE34" s="155"/>
      <c r="AF34" s="155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</row>
    <row r="35" spans="2:83" x14ac:dyDescent="0.2">
      <c r="B35" s="2" t="s">
        <v>28</v>
      </c>
      <c r="I35" s="1" t="s">
        <v>113</v>
      </c>
      <c r="L35" s="78">
        <v>5</v>
      </c>
      <c r="M35" s="11">
        <v>-262335.9375</v>
      </c>
      <c r="N35" s="11">
        <v>-262664.06249999994</v>
      </c>
      <c r="O35" s="11">
        <v>-464038.82515367185</v>
      </c>
      <c r="P35" s="11">
        <v>371231.06012293743</v>
      </c>
      <c r="Q35" s="11">
        <v>232.01941257683211</v>
      </c>
      <c r="R35" s="11">
        <v>-464038.82515367185</v>
      </c>
      <c r="V35" s="3">
        <v>1.8189894035458565E-12</v>
      </c>
      <c r="AB35" s="12"/>
      <c r="AD35" s="153"/>
      <c r="AE35" s="80"/>
      <c r="AF35" s="80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</row>
    <row r="36" spans="2:83" x14ac:dyDescent="0.2">
      <c r="B36" s="38">
        <f t="shared" ref="B36:G36" si="2">$B54*B28+$C54*B29+$D54*B30+$E54*B31+$F54*B32+$G54*B33</f>
        <v>371231.06012293749</v>
      </c>
      <c r="C36" s="38">
        <f t="shared" si="2"/>
        <v>-232.01941257683589</v>
      </c>
      <c r="D36" s="38">
        <f t="shared" si="2"/>
        <v>-464038.82515367179</v>
      </c>
      <c r="E36" s="38">
        <f t="shared" si="2"/>
        <v>-371231.06012293749</v>
      </c>
      <c r="F36" s="38">
        <f t="shared" si="2"/>
        <v>232.01941257683589</v>
      </c>
      <c r="G36" s="38">
        <f t="shared" si="2"/>
        <v>-464038.82515367179</v>
      </c>
      <c r="I36" s="1" t="s">
        <v>114</v>
      </c>
      <c r="L36" s="78">
        <v>6</v>
      </c>
      <c r="M36" s="11">
        <v>-464038.82515367179</v>
      </c>
      <c r="N36" s="11">
        <v>464038.82515367185</v>
      </c>
      <c r="O36" s="11">
        <v>875000000</v>
      </c>
      <c r="P36" s="11">
        <v>0</v>
      </c>
      <c r="Q36" s="11">
        <v>-656250</v>
      </c>
      <c r="R36" s="11">
        <v>1750000000</v>
      </c>
      <c r="V36" s="3">
        <v>-1.6335312732114935E-9</v>
      </c>
      <c r="AB36" s="12"/>
      <c r="AD36" s="4"/>
    </row>
    <row r="37" spans="2:83" x14ac:dyDescent="0.2">
      <c r="B37" s="38">
        <f t="shared" ref="B37:G37" si="3">$B55*B28+$C55*B29+$D55*B30+$E55*B31+$F55*B32+$G55*B33</f>
        <v>371231.06012293743</v>
      </c>
      <c r="C37" s="38">
        <f t="shared" si="3"/>
        <v>232.01941257683592</v>
      </c>
      <c r="D37" s="38">
        <f t="shared" si="3"/>
        <v>464038.82515367185</v>
      </c>
      <c r="E37" s="38">
        <f t="shared" si="3"/>
        <v>-371231.06012293743</v>
      </c>
      <c r="F37" s="38">
        <f t="shared" si="3"/>
        <v>-232.01941257683592</v>
      </c>
      <c r="G37" s="38">
        <f t="shared" si="3"/>
        <v>464038.82515367185</v>
      </c>
      <c r="I37" s="33">
        <v>180</v>
      </c>
      <c r="L37" s="2" t="s">
        <v>120</v>
      </c>
      <c r="AB37" s="12"/>
      <c r="AC37" s="4"/>
      <c r="AD37" s="12"/>
      <c r="AE37" s="28"/>
      <c r="AF37" s="28"/>
    </row>
    <row r="38" spans="2:83" x14ac:dyDescent="0.2">
      <c r="B38" s="38">
        <f t="shared" ref="B38:G38" si="4">$B56*B28+$C56*B29+$D56*B30+$E56*B31+$F56*B32+$G56*B33</f>
        <v>0</v>
      </c>
      <c r="C38" s="38">
        <f t="shared" si="4"/>
        <v>656250</v>
      </c>
      <c r="D38" s="38">
        <f t="shared" si="4"/>
        <v>1750000000</v>
      </c>
      <c r="E38" s="38">
        <f t="shared" si="4"/>
        <v>0</v>
      </c>
      <c r="F38" s="38">
        <f t="shared" si="4"/>
        <v>-656250</v>
      </c>
      <c r="G38" s="38">
        <f t="shared" si="4"/>
        <v>875000000</v>
      </c>
      <c r="I38" s="25">
        <f>-COS(RADIANS(I37))</f>
        <v>1</v>
      </c>
      <c r="L38" s="9"/>
      <c r="M38" s="78">
        <v>1</v>
      </c>
      <c r="N38" s="78">
        <v>2</v>
      </c>
      <c r="O38" s="78">
        <v>3</v>
      </c>
      <c r="P38" s="78">
        <v>4</v>
      </c>
      <c r="Q38" s="78">
        <v>5</v>
      </c>
      <c r="R38" s="78">
        <v>6</v>
      </c>
      <c r="AD38" s="12"/>
    </row>
    <row r="39" spans="2:83" x14ac:dyDescent="0.2">
      <c r="B39" s="38">
        <f t="shared" ref="B39:G41" si="5">$B57*B$28+$C57*B$29+$D57*B$30+$E57*B$31+$F57*B$32+$G57*B$33</f>
        <v>-371231.06012293749</v>
      </c>
      <c r="C39" s="38">
        <f t="shared" si="5"/>
        <v>232.01941257683589</v>
      </c>
      <c r="D39" s="38">
        <f t="shared" si="5"/>
        <v>464038.82515367179</v>
      </c>
      <c r="E39" s="38">
        <f t="shared" si="5"/>
        <v>371231.06012293749</v>
      </c>
      <c r="F39" s="38">
        <f t="shared" si="5"/>
        <v>-232.01941257683589</v>
      </c>
      <c r="G39" s="38">
        <f t="shared" si="5"/>
        <v>464038.82515367179</v>
      </c>
      <c r="I39" s="25">
        <f>-SIN(RADIANS(I37))</f>
        <v>-1.22514845490862E-16</v>
      </c>
      <c r="L39" s="78">
        <v>1</v>
      </c>
      <c r="M39" s="11" cm="1">
        <f t="array" ref="M39:R44">MMULT(M13:R18,_xlfn.ANCHORARRAY(M31))</f>
        <v>262664.06250000006</v>
      </c>
      <c r="N39" s="11">
        <v>262335.9375</v>
      </c>
      <c r="O39" s="11">
        <v>-464038.82515367179</v>
      </c>
      <c r="P39" s="11">
        <v>-371231.06012293749</v>
      </c>
      <c r="Q39" s="11">
        <v>232.01941257686121</v>
      </c>
      <c r="R39" s="11">
        <v>-464038.82515367179</v>
      </c>
      <c r="AD39" s="12"/>
    </row>
    <row r="40" spans="2:83" x14ac:dyDescent="0.2">
      <c r="B40" s="38">
        <f t="shared" si="5"/>
        <v>-371231.06012293743</v>
      </c>
      <c r="C40" s="38">
        <f t="shared" si="5"/>
        <v>-232.01941257683592</v>
      </c>
      <c r="D40" s="38">
        <f t="shared" si="5"/>
        <v>-464038.82515367185</v>
      </c>
      <c r="E40" s="38">
        <f t="shared" si="5"/>
        <v>371231.06012293743</v>
      </c>
      <c r="F40" s="38">
        <f t="shared" si="5"/>
        <v>232.01941257683592</v>
      </c>
      <c r="G40" s="38">
        <f t="shared" si="5"/>
        <v>-464038.82515367185</v>
      </c>
      <c r="L40" s="78">
        <v>2</v>
      </c>
      <c r="M40" s="11">
        <v>262335.9375</v>
      </c>
      <c r="N40" s="11">
        <v>262664.06249999994</v>
      </c>
      <c r="O40" s="11">
        <v>464038.82515367185</v>
      </c>
      <c r="P40" s="11">
        <v>-371231.06012293743</v>
      </c>
      <c r="Q40" s="11">
        <v>-232.01941257683211</v>
      </c>
      <c r="R40" s="11">
        <v>464038.82515367185</v>
      </c>
      <c r="AC40" s="4"/>
      <c r="AD40" s="12"/>
      <c r="AE40" s="4"/>
      <c r="AF40" s="4"/>
    </row>
    <row r="41" spans="2:83" x14ac:dyDescent="0.2">
      <c r="B41" s="38">
        <f t="shared" si="5"/>
        <v>0</v>
      </c>
      <c r="C41" s="38">
        <f t="shared" si="5"/>
        <v>656250</v>
      </c>
      <c r="D41" s="38">
        <f t="shared" si="5"/>
        <v>875000000</v>
      </c>
      <c r="E41" s="38">
        <f t="shared" si="5"/>
        <v>0</v>
      </c>
      <c r="F41" s="38">
        <f t="shared" si="5"/>
        <v>-656250</v>
      </c>
      <c r="G41" s="38">
        <f t="shared" si="5"/>
        <v>1750000000</v>
      </c>
      <c r="L41" s="78">
        <v>3</v>
      </c>
      <c r="M41" s="11">
        <v>-464038.82515367179</v>
      </c>
      <c r="N41" s="11">
        <v>464038.82515367185</v>
      </c>
      <c r="O41" s="11">
        <v>1750000000</v>
      </c>
      <c r="P41" s="11">
        <v>0</v>
      </c>
      <c r="Q41" s="11">
        <v>-656250</v>
      </c>
      <c r="R41" s="11">
        <v>875000000</v>
      </c>
      <c r="AD41" s="12"/>
    </row>
    <row r="42" spans="2:83" x14ac:dyDescent="0.2">
      <c r="L42" s="78">
        <v>4</v>
      </c>
      <c r="M42" s="11">
        <v>-371231.06012293749</v>
      </c>
      <c r="N42" s="11">
        <v>-371231.06012293743</v>
      </c>
      <c r="O42" s="11">
        <v>0</v>
      </c>
      <c r="P42" s="11">
        <v>525000</v>
      </c>
      <c r="Q42" s="11">
        <v>-2.0605739337042905E-11</v>
      </c>
      <c r="R42" s="11">
        <v>0</v>
      </c>
      <c r="AD42" s="12"/>
    </row>
    <row r="43" spans="2:83" x14ac:dyDescent="0.2">
      <c r="H43" s="27"/>
      <c r="L43" s="78">
        <v>5</v>
      </c>
      <c r="M43" s="11">
        <v>232.01941257686121</v>
      </c>
      <c r="N43" s="11">
        <v>-232.01941257683211</v>
      </c>
      <c r="O43" s="11">
        <v>-656250</v>
      </c>
      <c r="P43" s="11">
        <v>0</v>
      </c>
      <c r="Q43" s="11">
        <v>328.12500000001523</v>
      </c>
      <c r="R43" s="11">
        <v>-656250</v>
      </c>
    </row>
    <row r="44" spans="2:83" x14ac:dyDescent="0.2">
      <c r="B44" s="2" t="s">
        <v>29</v>
      </c>
      <c r="L44" s="78">
        <v>6</v>
      </c>
      <c r="M44" s="11">
        <v>-464038.82515367179</v>
      </c>
      <c r="N44" s="11">
        <v>464038.82515367185</v>
      </c>
      <c r="O44" s="11">
        <v>875000000</v>
      </c>
      <c r="P44" s="11">
        <v>0</v>
      </c>
      <c r="Q44" s="11">
        <v>-656250</v>
      </c>
      <c r="R44" s="11">
        <v>1750000000</v>
      </c>
    </row>
    <row r="45" spans="2:83" x14ac:dyDescent="0.2">
      <c r="B45" s="152">
        <f>$C$5</f>
        <v>0.70710678118654757</v>
      </c>
      <c r="C45" s="152">
        <f>$E$5</f>
        <v>0.70710678118654746</v>
      </c>
      <c r="D45" s="152">
        <v>0</v>
      </c>
      <c r="E45" s="152">
        <v>0</v>
      </c>
      <c r="F45" s="152">
        <v>0</v>
      </c>
      <c r="G45" s="152">
        <v>0</v>
      </c>
      <c r="AE45" s="29"/>
      <c r="AF45" s="29"/>
    </row>
    <row r="46" spans="2:83" x14ac:dyDescent="0.2">
      <c r="B46" s="152">
        <f>-$E$5</f>
        <v>-0.70710678118654746</v>
      </c>
      <c r="C46" s="152">
        <f>$C$5</f>
        <v>0.70710678118654757</v>
      </c>
      <c r="D46" s="152">
        <v>0</v>
      </c>
      <c r="E46" s="152">
        <v>0</v>
      </c>
      <c r="F46" s="152">
        <v>0</v>
      </c>
      <c r="G46" s="152">
        <v>0</v>
      </c>
      <c r="L46" s="2" t="s">
        <v>48</v>
      </c>
      <c r="CE46" s="2"/>
    </row>
    <row r="47" spans="2:83" x14ac:dyDescent="0.2">
      <c r="B47" s="152">
        <v>0</v>
      </c>
      <c r="C47" s="152">
        <v>0</v>
      </c>
      <c r="D47" s="152">
        <v>1</v>
      </c>
      <c r="E47" s="152">
        <v>0</v>
      </c>
      <c r="F47" s="152">
        <v>0</v>
      </c>
      <c r="G47" s="152">
        <v>0</v>
      </c>
      <c r="L47" s="9"/>
      <c r="M47" s="9">
        <v>3</v>
      </c>
      <c r="N47" s="9">
        <v>4</v>
      </c>
      <c r="O47" s="9">
        <v>6</v>
      </c>
      <c r="R47" s="4" t="s">
        <v>1</v>
      </c>
      <c r="S47" s="9" t="s">
        <v>39</v>
      </c>
      <c r="T47" s="4" t="s">
        <v>49</v>
      </c>
      <c r="U47" s="141" t="s">
        <v>50</v>
      </c>
      <c r="BS47" s="3"/>
      <c r="CE47" s="2"/>
    </row>
    <row r="48" spans="2:83" x14ac:dyDescent="0.2">
      <c r="B48" s="152">
        <v>0</v>
      </c>
      <c r="C48" s="152">
        <v>0</v>
      </c>
      <c r="D48" s="152">
        <v>0</v>
      </c>
      <c r="E48" s="152">
        <f>$C$5</f>
        <v>0.70710678118654757</v>
      </c>
      <c r="F48" s="152">
        <f>$E$5</f>
        <v>0.70710678118654746</v>
      </c>
      <c r="G48" s="152">
        <v>0</v>
      </c>
      <c r="L48" s="9">
        <v>3</v>
      </c>
      <c r="M48" s="3" cm="1">
        <f t="array" ref="M48:N49">O41:P42</f>
        <v>1750000000</v>
      </c>
      <c r="N48" s="3">
        <v>0</v>
      </c>
      <c r="O48" s="3" cm="1">
        <f t="array" ref="O48:O49">R41:R42</f>
        <v>875000000</v>
      </c>
      <c r="P48" s="3"/>
      <c r="Q48" s="3"/>
      <c r="R48" s="3"/>
      <c r="S48" s="7" t="str">
        <f>T24</f>
        <v>r13</v>
      </c>
      <c r="U48" s="145" cm="1">
        <f t="array" ref="U48:U49">V33:V34</f>
        <v>1.6335312732114935E-9</v>
      </c>
    </row>
    <row r="49" spans="2:101" x14ac:dyDescent="0.2">
      <c r="B49" s="152">
        <v>0</v>
      </c>
      <c r="C49" s="152">
        <v>0</v>
      </c>
      <c r="D49" s="152">
        <v>0</v>
      </c>
      <c r="E49" s="152">
        <f>-$E$5</f>
        <v>-0.70710678118654746</v>
      </c>
      <c r="F49" s="152">
        <f>$C$5</f>
        <v>0.70710678118654757</v>
      </c>
      <c r="G49" s="152">
        <v>0</v>
      </c>
      <c r="L49" s="9">
        <v>4</v>
      </c>
      <c r="M49" s="3">
        <v>0</v>
      </c>
      <c r="N49" s="3">
        <v>525000</v>
      </c>
      <c r="O49" s="1">
        <v>0</v>
      </c>
      <c r="P49" s="3"/>
      <c r="Q49" s="3"/>
      <c r="R49" s="3"/>
      <c r="S49" s="7" t="str">
        <f>T25</f>
        <v>r14</v>
      </c>
      <c r="U49" s="142">
        <v>-20000</v>
      </c>
      <c r="AH49" s="2"/>
      <c r="AI49" s="2"/>
      <c r="CW49" s="2"/>
    </row>
    <row r="50" spans="2:101" x14ac:dyDescent="0.2">
      <c r="B50" s="152">
        <v>0</v>
      </c>
      <c r="C50" s="152">
        <v>0</v>
      </c>
      <c r="D50" s="152">
        <v>0</v>
      </c>
      <c r="E50" s="152">
        <v>0</v>
      </c>
      <c r="F50" s="152">
        <v>0</v>
      </c>
      <c r="G50" s="152">
        <f>D47</f>
        <v>1</v>
      </c>
      <c r="L50" s="9">
        <v>6</v>
      </c>
      <c r="M50" s="3" cm="1">
        <f t="array" ref="M50:N50">O44:P44</f>
        <v>875000000</v>
      </c>
      <c r="N50" s="3">
        <v>0</v>
      </c>
      <c r="O50" s="3">
        <f>R44</f>
        <v>1750000000</v>
      </c>
      <c r="P50" s="3"/>
      <c r="S50" s="7" t="str">
        <f>T27</f>
        <v>r16</v>
      </c>
      <c r="U50" s="3">
        <f>V35</f>
        <v>1.8189894035458565E-12</v>
      </c>
      <c r="AH50" s="2"/>
      <c r="AI50" s="2"/>
      <c r="BK50" s="2"/>
      <c r="CW50" s="2"/>
    </row>
    <row r="51" spans="2:101" x14ac:dyDescent="0.2">
      <c r="E51" s="4"/>
      <c r="F51" s="4"/>
      <c r="Q51" s="3"/>
      <c r="R51" s="3"/>
      <c r="U51" s="145"/>
      <c r="AA51" s="4"/>
      <c r="AH51" s="8"/>
      <c r="AI51" s="8"/>
      <c r="BK51" s="6"/>
      <c r="BL51" s="6"/>
      <c r="BM51" s="6"/>
      <c r="BN51" s="6"/>
      <c r="BO51" s="6"/>
      <c r="BP51" s="6"/>
      <c r="BR51" s="4"/>
      <c r="BT51" s="4"/>
      <c r="BV51" s="4"/>
      <c r="BY51" s="4"/>
    </row>
    <row r="52" spans="2:101" x14ac:dyDescent="0.2">
      <c r="L52" s="4"/>
      <c r="M52" s="3"/>
      <c r="Q52" s="3"/>
      <c r="V52" s="4"/>
      <c r="X52" s="3"/>
      <c r="AA52" s="4"/>
      <c r="AD52" s="4"/>
      <c r="AH52" s="10"/>
      <c r="AI52" s="10"/>
      <c r="BE52" s="16"/>
      <c r="BK52" s="6"/>
      <c r="BL52" s="6"/>
      <c r="BM52" s="6"/>
      <c r="BN52" s="6"/>
      <c r="BO52" s="6"/>
      <c r="BP52" s="6"/>
      <c r="BR52" s="4"/>
      <c r="BT52" s="4"/>
      <c r="BV52" s="4"/>
      <c r="BY52" s="4"/>
    </row>
    <row r="53" spans="2:101" x14ac:dyDescent="0.2">
      <c r="B53" s="2" t="s">
        <v>30</v>
      </c>
      <c r="I53" s="3"/>
      <c r="L53" s="4"/>
      <c r="V53" s="4"/>
      <c r="AB53" s="12"/>
      <c r="AD53" s="12"/>
      <c r="AH53" s="8"/>
      <c r="AI53" s="8"/>
      <c r="BE53" s="16"/>
      <c r="BK53" s="6"/>
      <c r="BL53" s="6"/>
      <c r="BM53" s="6"/>
      <c r="BN53" s="6"/>
      <c r="BO53" s="6"/>
      <c r="BP53" s="6"/>
      <c r="BQ53" s="4"/>
      <c r="BR53" s="4"/>
      <c r="BS53" s="4"/>
      <c r="BT53" s="4"/>
      <c r="BU53" s="4"/>
      <c r="BV53" s="4"/>
      <c r="BW53" s="4"/>
      <c r="BX53" s="4"/>
      <c r="BY53" s="4"/>
    </row>
    <row r="54" spans="2:101" ht="12" customHeight="1" x14ac:dyDescent="0.2">
      <c r="B54" s="152">
        <f>$C$5</f>
        <v>0.70710678118654757</v>
      </c>
      <c r="C54" s="152">
        <f>-$E$5</f>
        <v>-0.70710678118654746</v>
      </c>
      <c r="D54" s="152">
        <v>0</v>
      </c>
      <c r="E54" s="152">
        <v>0</v>
      </c>
      <c r="F54" s="152">
        <v>0</v>
      </c>
      <c r="G54" s="152">
        <v>0</v>
      </c>
      <c r="L54" s="4"/>
      <c r="V54" s="4"/>
      <c r="AB54" s="12"/>
      <c r="AD54" s="12"/>
      <c r="AH54" s="8"/>
      <c r="AI54" s="8"/>
      <c r="BE54" s="16"/>
      <c r="BK54" s="6"/>
      <c r="BL54" s="6"/>
      <c r="BM54" s="6"/>
      <c r="BN54" s="6"/>
      <c r="BO54" s="6"/>
      <c r="BP54" s="6"/>
      <c r="BR54" s="67"/>
      <c r="BT54" s="4"/>
      <c r="BV54" s="4"/>
      <c r="BY54" s="4"/>
    </row>
    <row r="55" spans="2:101" x14ac:dyDescent="0.2">
      <c r="B55" s="152">
        <f>$E$5</f>
        <v>0.70710678118654746</v>
      </c>
      <c r="C55" s="152">
        <f>$C$5</f>
        <v>0.70710678118654757</v>
      </c>
      <c r="D55" s="152">
        <v>0</v>
      </c>
      <c r="E55" s="152">
        <v>0</v>
      </c>
      <c r="F55" s="152">
        <v>0</v>
      </c>
      <c r="G55" s="152">
        <v>0</v>
      </c>
      <c r="L55" s="4"/>
      <c r="V55" s="4"/>
      <c r="AB55" s="12"/>
      <c r="AD55" s="12"/>
      <c r="AH55" s="10"/>
      <c r="AI55" s="10"/>
      <c r="BE55" s="16"/>
      <c r="BK55" s="6"/>
      <c r="BL55" s="6"/>
      <c r="BM55" s="6"/>
      <c r="BN55" s="6"/>
      <c r="BO55" s="6"/>
      <c r="BP55" s="6"/>
      <c r="BR55" s="67"/>
      <c r="BT55" s="4"/>
      <c r="BV55" s="4"/>
      <c r="BY55" s="4"/>
    </row>
    <row r="56" spans="2:101" x14ac:dyDescent="0.2">
      <c r="B56" s="152">
        <v>0</v>
      </c>
      <c r="C56" s="152">
        <v>0</v>
      </c>
      <c r="D56" s="152">
        <f>D47</f>
        <v>1</v>
      </c>
      <c r="E56" s="152">
        <v>0</v>
      </c>
      <c r="F56" s="152">
        <v>0</v>
      </c>
      <c r="G56" s="152">
        <v>0</v>
      </c>
      <c r="AB56" s="30"/>
      <c r="AD56" s="4"/>
      <c r="AH56" s="8"/>
      <c r="AI56" s="8"/>
      <c r="BE56" s="16"/>
      <c r="BK56" s="6"/>
      <c r="BL56" s="6"/>
      <c r="BM56" s="6"/>
      <c r="BN56" s="6"/>
      <c r="BO56" s="6"/>
      <c r="BP56" s="6"/>
      <c r="BR56" s="67"/>
      <c r="BT56" s="4"/>
      <c r="BV56" s="4"/>
      <c r="BY56" s="4"/>
    </row>
    <row r="57" spans="2:101" x14ac:dyDescent="0.2">
      <c r="B57" s="152">
        <v>0</v>
      </c>
      <c r="C57" s="152">
        <v>0</v>
      </c>
      <c r="D57" s="152">
        <v>0</v>
      </c>
      <c r="E57" s="152">
        <f>$C$5</f>
        <v>0.70710678118654757</v>
      </c>
      <c r="F57" s="152">
        <f>-$E$5</f>
        <v>-0.70710678118654746</v>
      </c>
      <c r="G57" s="152">
        <v>0</v>
      </c>
      <c r="U57" s="9" t="s">
        <v>123</v>
      </c>
      <c r="AB57" s="4"/>
      <c r="AD57" s="4"/>
      <c r="BE57" s="16"/>
    </row>
    <row r="58" spans="2:101" x14ac:dyDescent="0.2">
      <c r="B58" s="152">
        <v>0</v>
      </c>
      <c r="C58" s="152">
        <v>0</v>
      </c>
      <c r="D58" s="152">
        <v>0</v>
      </c>
      <c r="E58" s="152">
        <f>$E$5</f>
        <v>0.70710678118654746</v>
      </c>
      <c r="F58" s="152">
        <f>$C$5</f>
        <v>0.70710678118654757</v>
      </c>
      <c r="G58" s="152">
        <v>0</v>
      </c>
      <c r="L58" s="9"/>
      <c r="M58" s="9">
        <v>3</v>
      </c>
      <c r="N58" s="9">
        <v>4</v>
      </c>
      <c r="O58" s="9">
        <v>5</v>
      </c>
      <c r="P58" s="9">
        <v>6</v>
      </c>
      <c r="R58" s="4" t="s">
        <v>1</v>
      </c>
      <c r="S58" s="141" t="s">
        <v>50</v>
      </c>
      <c r="T58" s="146" t="s">
        <v>49</v>
      </c>
      <c r="U58" s="9" t="s">
        <v>39</v>
      </c>
      <c r="AB58" s="30"/>
      <c r="AC58" s="4"/>
      <c r="AD58" s="4"/>
      <c r="AE58" s="28"/>
      <c r="AF58" s="28"/>
      <c r="BE58" s="12"/>
      <c r="BK58" s="2"/>
    </row>
    <row r="59" spans="2:101" x14ac:dyDescent="0.2">
      <c r="B59" s="152">
        <v>0</v>
      </c>
      <c r="C59" s="152">
        <v>0</v>
      </c>
      <c r="D59" s="152">
        <v>0</v>
      </c>
      <c r="E59" s="152">
        <v>0</v>
      </c>
      <c r="F59" s="152">
        <v>0</v>
      </c>
      <c r="G59" s="152">
        <f>D47</f>
        <v>1</v>
      </c>
      <c r="L59" s="9">
        <v>3</v>
      </c>
      <c r="M59" s="1" cm="1">
        <f t="array" ref="M59:O61">MINVERSE(M48:O50)</f>
        <v>7.6190476190476186E-10</v>
      </c>
      <c r="N59" s="1">
        <v>0</v>
      </c>
      <c r="O59" s="1">
        <v>-3.8095238095238093E-10</v>
      </c>
      <c r="S59" s="3" cm="1">
        <f t="array" ref="S59:S61">U48:U50</f>
        <v>1.6335312732114935E-9</v>
      </c>
      <c r="U59" s="153" cm="1">
        <f t="array" ref="U59:U61">MMULT(_xlfn.ANCHORARRAY(M59),_xlfn.ANCHORARRAY(S59))</f>
        <v>1.2439023074359774E-18</v>
      </c>
      <c r="V59" s="1" t="s">
        <v>57</v>
      </c>
      <c r="W59" s="1">
        <f>1000*U59</f>
        <v>1.2439023074359774E-15</v>
      </c>
      <c r="X59" s="1" t="s">
        <v>55</v>
      </c>
      <c r="AB59" s="30"/>
      <c r="AC59" s="4"/>
      <c r="AD59" s="4"/>
      <c r="AE59" s="28"/>
      <c r="AF59" s="28"/>
      <c r="BE59" s="12"/>
      <c r="BK59" s="7"/>
      <c r="BL59" s="4"/>
      <c r="BM59" s="4"/>
      <c r="BN59" s="4"/>
      <c r="BO59" s="4"/>
      <c r="BP59" s="4"/>
      <c r="BR59" s="4"/>
      <c r="BT59" s="6"/>
      <c r="BV59" s="4"/>
      <c r="BY59" s="65"/>
      <c r="CA59" s="63"/>
    </row>
    <row r="60" spans="2:101" x14ac:dyDescent="0.2">
      <c r="L60" s="9">
        <v>4</v>
      </c>
      <c r="M60" s="1">
        <v>0</v>
      </c>
      <c r="N60" s="3">
        <v>1.9047619047619047E-6</v>
      </c>
      <c r="O60" s="1">
        <v>0</v>
      </c>
      <c r="P60" s="3"/>
      <c r="S60" s="1">
        <v>-20000</v>
      </c>
      <c r="U60" s="153">
        <v>-3.8095238095238092E-2</v>
      </c>
      <c r="V60" s="1" t="s">
        <v>3</v>
      </c>
      <c r="W60" s="1" t="s">
        <v>121</v>
      </c>
      <c r="AB60" s="4"/>
      <c r="AD60" s="12"/>
      <c r="BE60" s="12"/>
      <c r="BK60" s="7"/>
      <c r="BL60" s="4"/>
      <c r="BM60" s="4"/>
      <c r="BN60" s="4"/>
      <c r="BO60" s="4"/>
      <c r="BP60" s="4"/>
      <c r="BR60" s="4"/>
      <c r="BT60" s="6"/>
      <c r="BV60" s="4"/>
      <c r="BY60" s="65"/>
      <c r="CA60" s="63"/>
    </row>
    <row r="61" spans="2:101" x14ac:dyDescent="0.2">
      <c r="L61" s="9">
        <v>5</v>
      </c>
      <c r="M61" s="1">
        <v>-3.8095238095238093E-10</v>
      </c>
      <c r="N61" s="3">
        <v>0</v>
      </c>
      <c r="O61" s="1">
        <v>7.6190476190476186E-10</v>
      </c>
      <c r="P61" s="3"/>
      <c r="S61" s="1">
        <v>1.8189894035458565E-12</v>
      </c>
      <c r="U61" s="153">
        <v>-6.2091173120167685E-19</v>
      </c>
      <c r="V61" s="1" t="s">
        <v>57</v>
      </c>
      <c r="W61" s="1">
        <f>1000*U61</f>
        <v>-6.209117312016769E-16</v>
      </c>
      <c r="X61" s="1" t="s">
        <v>55</v>
      </c>
      <c r="AB61" s="4"/>
      <c r="AD61" s="12"/>
      <c r="BE61" s="12"/>
      <c r="BF61" s="4"/>
      <c r="BK61" s="7"/>
      <c r="BL61" s="4"/>
      <c r="BM61" s="4"/>
      <c r="BN61" s="4"/>
      <c r="BO61" s="4"/>
      <c r="BP61" s="4"/>
      <c r="BQ61" s="4"/>
      <c r="BR61" s="4"/>
      <c r="BS61" s="4"/>
      <c r="BT61" s="6"/>
      <c r="BU61" s="4"/>
      <c r="BV61" s="4"/>
      <c r="BW61" s="4"/>
      <c r="BX61" s="4"/>
      <c r="BY61" s="65"/>
      <c r="BZ61" s="4"/>
      <c r="CA61" s="63"/>
      <c r="CE61" s="45"/>
    </row>
    <row r="62" spans="2:101" x14ac:dyDescent="0.2">
      <c r="L62" s="9">
        <v>6</v>
      </c>
      <c r="U62" s="153"/>
      <c r="AB62" s="12"/>
      <c r="AD62" s="12"/>
      <c r="BE62" s="12"/>
      <c r="BK62" s="7"/>
      <c r="BL62" s="4"/>
      <c r="BM62" s="4"/>
      <c r="BN62" s="4"/>
      <c r="BO62" s="4"/>
      <c r="BP62" s="4"/>
      <c r="BR62" s="4"/>
      <c r="BT62" s="6"/>
      <c r="BV62" s="4"/>
      <c r="BY62" s="65"/>
      <c r="CA62" s="63"/>
    </row>
    <row r="63" spans="2:101" x14ac:dyDescent="0.2">
      <c r="V63" s="3"/>
      <c r="X63" s="153"/>
      <c r="AB63" s="12"/>
      <c r="AD63" s="12"/>
      <c r="BE63" s="12"/>
      <c r="BK63" s="7"/>
      <c r="BL63" s="4"/>
      <c r="BM63" s="4"/>
      <c r="BN63" s="4"/>
      <c r="BO63" s="4"/>
      <c r="BP63" s="4"/>
      <c r="BR63" s="4"/>
      <c r="BT63" s="6"/>
      <c r="BV63" s="4"/>
      <c r="BY63" s="65"/>
      <c r="CA63" s="63"/>
    </row>
    <row r="64" spans="2:101" x14ac:dyDescent="0.2">
      <c r="Q64" s="3"/>
      <c r="U64" s="9" t="s">
        <v>122</v>
      </c>
      <c r="X64" s="153"/>
      <c r="AB64" s="4"/>
      <c r="AD64" s="4"/>
      <c r="BR64" s="66"/>
    </row>
    <row r="65" spans="5:74" x14ac:dyDescent="0.2">
      <c r="U65" s="9" t="s">
        <v>39</v>
      </c>
      <c r="AB65" s="4"/>
      <c r="AD65" s="4"/>
      <c r="BR65" s="66"/>
    </row>
    <row r="66" spans="5:74" x14ac:dyDescent="0.2">
      <c r="T66" s="1" t="s">
        <v>96</v>
      </c>
      <c r="U66" s="1">
        <f>COS(RADIANS(Q12))*U60</f>
        <v>-2.6937401188058954E-2</v>
      </c>
      <c r="V66" s="1" t="s">
        <v>3</v>
      </c>
      <c r="AB66" s="4"/>
      <c r="AD66" s="4"/>
      <c r="BR66" s="66"/>
    </row>
    <row r="67" spans="5:74" x14ac:dyDescent="0.2">
      <c r="I67" s="25"/>
      <c r="T67" s="1" t="s">
        <v>109</v>
      </c>
      <c r="U67" s="1">
        <f>SIN(RADIANS(Q12))*U60</f>
        <v>-2.693740118805895E-2</v>
      </c>
      <c r="V67" s="1" t="s">
        <v>3</v>
      </c>
      <c r="BR67" s="66"/>
    </row>
    <row r="68" spans="5:74" x14ac:dyDescent="0.2">
      <c r="BR68" s="66"/>
    </row>
    <row r="69" spans="5:74" ht="12" customHeight="1" x14ac:dyDescent="0.2">
      <c r="BR69" s="66"/>
    </row>
    <row r="70" spans="5:74" x14ac:dyDescent="0.2">
      <c r="E70" s="26"/>
      <c r="AG70" s="2"/>
      <c r="AH70" s="2"/>
    </row>
    <row r="71" spans="5:74" x14ac:dyDescent="0.2">
      <c r="AG71" s="2"/>
      <c r="AH71" s="2"/>
      <c r="AI71" s="2"/>
    </row>
    <row r="72" spans="5:74" ht="12" customHeight="1" x14ac:dyDescent="0.2"/>
    <row r="73" spans="5:74" ht="15" customHeight="1" x14ac:dyDescent="0.2">
      <c r="BK73" s="2"/>
    </row>
    <row r="74" spans="5:74" x14ac:dyDescent="0.2">
      <c r="L74" s="1" t="s">
        <v>105</v>
      </c>
      <c r="BE74" s="12"/>
      <c r="BK74" s="6"/>
      <c r="BL74" s="6"/>
      <c r="BM74" s="6"/>
      <c r="BN74" s="6"/>
      <c r="BO74" s="6"/>
      <c r="BP74" s="6"/>
      <c r="BR74" s="67"/>
      <c r="BT74" s="4"/>
      <c r="BV74" s="68"/>
    </row>
    <row r="75" spans="5:74" ht="24" x14ac:dyDescent="0.2">
      <c r="G75" s="147"/>
      <c r="L75" s="1" t="s">
        <v>108</v>
      </c>
      <c r="V75" s="160" t="s">
        <v>104</v>
      </c>
      <c r="X75" s="160" t="s">
        <v>106</v>
      </c>
      <c r="BE75" s="12"/>
      <c r="BK75" s="6"/>
      <c r="BL75" s="6"/>
      <c r="BM75" s="6"/>
      <c r="BN75" s="6"/>
      <c r="BO75" s="6"/>
      <c r="BP75" s="6"/>
      <c r="BR75" s="67"/>
      <c r="BT75" s="4"/>
      <c r="BV75" s="68"/>
    </row>
    <row r="76" spans="5:74" x14ac:dyDescent="0.2">
      <c r="L76" s="9"/>
      <c r="M76" s="9">
        <v>1</v>
      </c>
      <c r="N76" s="9">
        <v>2</v>
      </c>
      <c r="O76" s="9">
        <v>3</v>
      </c>
      <c r="P76" s="9">
        <v>4</v>
      </c>
      <c r="Q76" s="9">
        <v>5</v>
      </c>
      <c r="R76" s="9">
        <v>6</v>
      </c>
      <c r="S76" s="4" t="s">
        <v>1</v>
      </c>
      <c r="T76" s="9" t="s">
        <v>103</v>
      </c>
      <c r="U76" s="4" t="s">
        <v>107</v>
      </c>
      <c r="V76" s="160"/>
      <c r="W76" s="4" t="s">
        <v>49</v>
      </c>
      <c r="X76" s="160"/>
      <c r="BE76" s="12"/>
      <c r="BK76" s="6"/>
      <c r="BL76" s="6"/>
      <c r="BM76" s="6"/>
      <c r="BN76" s="6"/>
      <c r="BO76" s="6"/>
      <c r="BP76" s="6"/>
      <c r="BQ76" s="4"/>
      <c r="BR76" s="67"/>
      <c r="BS76" s="4"/>
      <c r="BT76" s="4"/>
      <c r="BU76" s="4"/>
      <c r="BV76" s="68"/>
    </row>
    <row r="77" spans="5:74" x14ac:dyDescent="0.2">
      <c r="L77" s="9">
        <v>1</v>
      </c>
      <c r="M77" s="3">
        <f>B28</f>
        <v>525000</v>
      </c>
      <c r="N77" s="3">
        <f>C28</f>
        <v>0</v>
      </c>
      <c r="O77" s="3">
        <f>D28</f>
        <v>0</v>
      </c>
      <c r="P77" s="3">
        <f>E28</f>
        <v>-525000</v>
      </c>
      <c r="Q77" s="3">
        <f>F28</f>
        <v>0</v>
      </c>
      <c r="R77" s="3">
        <f>G28</f>
        <v>0</v>
      </c>
      <c r="T77" s="1" cm="1">
        <f t="array" ref="T77:T82">MMULT(B45:G50,X22:X27)</f>
        <v>0</v>
      </c>
      <c r="V77" s="3">
        <f>I28</f>
        <v>-20000</v>
      </c>
      <c r="X77" s="3" cm="1">
        <f t="array" ref="X77:X82">MMULT(M77:R82,_xlfn.ANCHORARRAY(T77))-V77:V82</f>
        <v>40000</v>
      </c>
      <c r="BE77" s="4"/>
      <c r="BK77" s="6"/>
      <c r="BL77" s="6"/>
      <c r="BM77" s="6"/>
      <c r="BN77" s="6"/>
      <c r="BO77" s="6"/>
      <c r="BP77" s="6"/>
      <c r="BR77" s="67"/>
      <c r="BT77" s="4"/>
      <c r="BV77" s="68"/>
    </row>
    <row r="78" spans="5:74" x14ac:dyDescent="0.2">
      <c r="L78" s="9">
        <v>2</v>
      </c>
      <c r="M78" s="3">
        <f>B29</f>
        <v>0</v>
      </c>
      <c r="N78" s="3">
        <f>C29</f>
        <v>328.125</v>
      </c>
      <c r="O78" s="3">
        <f>D29</f>
        <v>656250</v>
      </c>
      <c r="P78" s="3">
        <f>E29</f>
        <v>0</v>
      </c>
      <c r="Q78" s="3">
        <f>F29</f>
        <v>-328.125</v>
      </c>
      <c r="R78" s="3">
        <f>G29</f>
        <v>656250</v>
      </c>
      <c r="T78" s="1">
        <v>0</v>
      </c>
      <c r="V78" s="3">
        <f>I29</f>
        <v>2.45029690981724E-12</v>
      </c>
      <c r="X78" s="1">
        <v>-2.0414593441634803E-12</v>
      </c>
      <c r="BE78" s="12"/>
      <c r="BK78" s="6"/>
      <c r="BL78" s="6"/>
      <c r="BM78" s="6"/>
      <c r="BN78" s="6"/>
      <c r="BO78" s="6"/>
      <c r="BP78" s="6"/>
      <c r="BR78" s="67"/>
      <c r="BT78" s="4"/>
      <c r="BV78" s="68"/>
    </row>
    <row r="79" spans="5:74" x14ac:dyDescent="0.2">
      <c r="L79" s="9">
        <v>3</v>
      </c>
      <c r="M79" s="3">
        <f>B30</f>
        <v>0</v>
      </c>
      <c r="N79" s="3">
        <f>C30</f>
        <v>656250</v>
      </c>
      <c r="O79" s="3">
        <f>D30</f>
        <v>1750000000</v>
      </c>
      <c r="P79" s="3">
        <f>E30</f>
        <v>0</v>
      </c>
      <c r="Q79" s="3">
        <f>F30</f>
        <v>-656250</v>
      </c>
      <c r="R79" s="3">
        <f>G30</f>
        <v>875000000</v>
      </c>
      <c r="T79" s="1">
        <v>1.2439023074359774E-18</v>
      </c>
      <c r="V79" s="3">
        <f>I30</f>
        <v>1.6335312732114935E-9</v>
      </c>
      <c r="X79" s="1">
        <v>0</v>
      </c>
      <c r="BE79" s="12"/>
      <c r="BK79" s="6"/>
      <c r="BL79" s="6"/>
      <c r="BM79" s="6"/>
      <c r="BN79" s="6"/>
      <c r="BO79" s="6"/>
      <c r="BP79" s="6"/>
      <c r="BR79" s="67"/>
      <c r="BT79" s="4"/>
      <c r="BV79" s="68"/>
    </row>
    <row r="80" spans="5:74" x14ac:dyDescent="0.2">
      <c r="L80" s="9">
        <v>4</v>
      </c>
      <c r="M80" s="3">
        <f>B31</f>
        <v>-525000</v>
      </c>
      <c r="N80" s="3">
        <f>C31</f>
        <v>0</v>
      </c>
      <c r="O80" s="3">
        <f>D31</f>
        <v>0</v>
      </c>
      <c r="P80" s="3">
        <f>E31</f>
        <v>525000</v>
      </c>
      <c r="Q80" s="3">
        <f>F31</f>
        <v>0</v>
      </c>
      <c r="R80" s="3">
        <f>G31</f>
        <v>0</v>
      </c>
      <c r="T80" s="1">
        <v>-3.8095238095238092E-2</v>
      </c>
      <c r="V80" s="3">
        <f>I31</f>
        <v>-20000</v>
      </c>
      <c r="X80" s="1">
        <v>0</v>
      </c>
      <c r="BE80" s="12"/>
    </row>
    <row r="81" spans="12:83" x14ac:dyDescent="0.2">
      <c r="L81" s="9">
        <v>5</v>
      </c>
      <c r="M81" s="3">
        <f>B32</f>
        <v>0</v>
      </c>
      <c r="N81" s="3">
        <f>C32</f>
        <v>-328.125</v>
      </c>
      <c r="O81" s="3">
        <f>D32</f>
        <v>-656250</v>
      </c>
      <c r="P81" s="3">
        <f>E32</f>
        <v>0</v>
      </c>
      <c r="Q81" s="3">
        <f>F32</f>
        <v>328.125</v>
      </c>
      <c r="R81" s="3">
        <f>G32</f>
        <v>-656250</v>
      </c>
      <c r="T81" s="1">
        <v>0</v>
      </c>
      <c r="V81" s="3">
        <f>I32</f>
        <v>2.45029690981724E-12</v>
      </c>
      <c r="X81" s="1">
        <v>-2.8591344754709997E-12</v>
      </c>
      <c r="BE81" s="12"/>
      <c r="BK81" s="2"/>
    </row>
    <row r="82" spans="12:83" x14ac:dyDescent="0.2">
      <c r="L82" s="9">
        <v>6</v>
      </c>
      <c r="M82" s="3">
        <f>B33</f>
        <v>0</v>
      </c>
      <c r="N82" s="3">
        <f>C33</f>
        <v>656250</v>
      </c>
      <c r="O82" s="3">
        <f>D33</f>
        <v>875000000</v>
      </c>
      <c r="P82" s="3">
        <f>E33</f>
        <v>0</v>
      </c>
      <c r="Q82" s="3">
        <f>F33</f>
        <v>-656250</v>
      </c>
      <c r="R82" s="3">
        <f>G33</f>
        <v>1750000000</v>
      </c>
      <c r="T82" s="1">
        <v>-6.2091173120167685E-19</v>
      </c>
      <c r="V82" s="3">
        <f>I33</f>
        <v>-1.6335312732114935E-9</v>
      </c>
      <c r="X82" s="1">
        <v>1.6353502626150393E-9</v>
      </c>
      <c r="BE82" s="12"/>
      <c r="BK82" s="7"/>
      <c r="BL82" s="7"/>
      <c r="BM82" s="7"/>
      <c r="BN82" s="7"/>
      <c r="BO82" s="7"/>
      <c r="BP82" s="7"/>
      <c r="BR82" s="67"/>
      <c r="BT82" s="6"/>
      <c r="BV82" s="4"/>
      <c r="BY82" s="65"/>
      <c r="CA82" s="63"/>
    </row>
    <row r="83" spans="12:83" x14ac:dyDescent="0.2">
      <c r="BE83" s="12"/>
      <c r="BK83" s="7"/>
      <c r="BL83" s="7"/>
      <c r="BM83" s="7"/>
      <c r="BN83" s="7"/>
      <c r="BO83" s="7"/>
      <c r="BP83" s="7"/>
      <c r="BR83" s="67"/>
      <c r="BT83" s="7"/>
      <c r="BV83" s="4"/>
      <c r="BY83" s="65"/>
      <c r="CA83" s="63"/>
      <c r="CE83" s="45"/>
    </row>
    <row r="84" spans="12:83" ht="12" customHeight="1" x14ac:dyDescent="0.2">
      <c r="BE84" s="12"/>
      <c r="BK84" s="7"/>
      <c r="BL84" s="7"/>
      <c r="BM84" s="7"/>
      <c r="BN84" s="7"/>
      <c r="BO84" s="7"/>
      <c r="BP84" s="7"/>
      <c r="BQ84" s="4"/>
      <c r="BR84" s="67"/>
      <c r="BS84" s="4"/>
      <c r="BT84" s="7"/>
      <c r="BU84" s="4"/>
      <c r="BV84" s="4"/>
      <c r="BW84" s="4"/>
      <c r="BX84" s="4"/>
      <c r="BY84" s="65"/>
      <c r="BZ84" s="4"/>
      <c r="CA84" s="63"/>
    </row>
    <row r="85" spans="12:83" x14ac:dyDescent="0.2">
      <c r="BE85" s="12"/>
      <c r="BK85" s="7"/>
      <c r="BL85" s="7"/>
      <c r="BM85" s="7"/>
      <c r="BN85" s="7"/>
      <c r="BO85" s="7"/>
      <c r="BP85" s="7"/>
      <c r="BR85" s="67"/>
      <c r="BT85" s="6"/>
      <c r="BV85" s="4"/>
      <c r="BY85" s="65"/>
      <c r="CA85" s="63"/>
    </row>
    <row r="86" spans="12:83" x14ac:dyDescent="0.2">
      <c r="BE86" s="12"/>
      <c r="BK86" s="7"/>
      <c r="BL86" s="7"/>
      <c r="BM86" s="7"/>
      <c r="BN86" s="7"/>
      <c r="BO86" s="7"/>
      <c r="BP86" s="7"/>
      <c r="BR86" s="67"/>
      <c r="BT86" s="7"/>
      <c r="BV86" s="4"/>
      <c r="BY86" s="65"/>
      <c r="CA86" s="63"/>
    </row>
    <row r="87" spans="12:83" x14ac:dyDescent="0.2">
      <c r="BE87" s="12"/>
      <c r="BK87" s="7"/>
      <c r="BL87" s="7"/>
      <c r="BM87" s="7"/>
      <c r="BN87" s="7"/>
      <c r="BO87" s="7"/>
      <c r="BP87" s="7"/>
      <c r="BR87" s="67"/>
      <c r="BT87" s="7"/>
      <c r="BV87" s="4"/>
      <c r="BY87" s="65"/>
      <c r="CA87" s="63"/>
    </row>
    <row r="94" spans="12:83" x14ac:dyDescent="0.2">
      <c r="BC94" s="29"/>
      <c r="BD94" s="29"/>
    </row>
    <row r="101" spans="23:79" x14ac:dyDescent="0.2">
      <c r="BB101" s="4"/>
    </row>
    <row r="102" spans="23:79" x14ac:dyDescent="0.2">
      <c r="AZ102" s="12"/>
      <c r="BB102" s="12"/>
      <c r="BE102" s="12"/>
      <c r="BK102" s="2"/>
    </row>
    <row r="103" spans="23:79" x14ac:dyDescent="0.2">
      <c r="AZ103" s="12"/>
      <c r="BB103" s="12"/>
      <c r="BE103" s="12"/>
      <c r="BK103" s="6"/>
      <c r="BL103" s="6"/>
      <c r="BM103" s="6"/>
      <c r="BN103" s="6"/>
      <c r="BO103" s="6"/>
      <c r="BP103" s="6"/>
      <c r="BR103" s="4"/>
      <c r="BT103" s="4"/>
      <c r="BV103" s="4"/>
      <c r="BY103" s="4"/>
    </row>
    <row r="104" spans="23:79" x14ac:dyDescent="0.2">
      <c r="W104" s="7"/>
      <c r="X104" s="4"/>
      <c r="Y104" s="4"/>
      <c r="Z104" s="4"/>
      <c r="AA104" s="4"/>
      <c r="AB104" s="4"/>
      <c r="AC104" s="4"/>
      <c r="AD104" s="4"/>
      <c r="AE104" s="4"/>
      <c r="AF104" s="4"/>
      <c r="AZ104" s="12"/>
      <c r="BB104" s="12"/>
      <c r="BE104" s="12"/>
      <c r="BK104" s="6"/>
      <c r="BL104" s="6"/>
      <c r="BM104" s="6"/>
      <c r="BN104" s="6"/>
      <c r="BO104" s="6"/>
      <c r="BP104" s="6"/>
      <c r="BR104" s="4"/>
      <c r="BT104" s="4"/>
      <c r="BV104" s="4"/>
      <c r="BY104" s="4"/>
    </row>
    <row r="105" spans="23:79" x14ac:dyDescent="0.2">
      <c r="W105" s="4"/>
      <c r="X105" s="7"/>
      <c r="Y105" s="4"/>
      <c r="Z105" s="4"/>
      <c r="AA105" s="4"/>
      <c r="AB105" s="4"/>
      <c r="AC105" s="4"/>
      <c r="AD105" s="4"/>
      <c r="AE105" s="7"/>
      <c r="AF105" s="4"/>
      <c r="AZ105" s="30"/>
      <c r="BB105" s="4"/>
      <c r="BE105" s="4"/>
      <c r="BK105" s="6"/>
      <c r="BL105" s="6"/>
      <c r="BM105" s="6"/>
      <c r="BN105" s="6"/>
      <c r="BO105" s="6"/>
      <c r="BP105" s="6"/>
      <c r="BQ105" s="4"/>
      <c r="BR105" s="4"/>
      <c r="BS105" s="4"/>
      <c r="BT105" s="4"/>
      <c r="BU105" s="4"/>
      <c r="BV105" s="4"/>
      <c r="BW105" s="4"/>
      <c r="BX105" s="4"/>
      <c r="BY105" s="4"/>
    </row>
    <row r="106" spans="23:79" x14ac:dyDescent="0.2">
      <c r="W106" s="4"/>
      <c r="X106" s="4"/>
      <c r="Y106" s="7"/>
      <c r="Z106" s="4"/>
      <c r="AA106" s="7"/>
      <c r="AB106" s="4"/>
      <c r="AC106" s="4"/>
      <c r="AD106" s="4"/>
      <c r="AE106" s="4"/>
      <c r="AF106" s="7"/>
      <c r="AZ106" s="4"/>
      <c r="BB106" s="4"/>
      <c r="BE106" s="4"/>
      <c r="BK106" s="6"/>
      <c r="BL106" s="6"/>
      <c r="BM106" s="6"/>
      <c r="BN106" s="6"/>
      <c r="BO106" s="6"/>
      <c r="BP106" s="6"/>
      <c r="BR106" s="67"/>
      <c r="BT106" s="4"/>
      <c r="BV106" s="4"/>
      <c r="BY106" s="4"/>
    </row>
    <row r="107" spans="23:79" x14ac:dyDescent="0.2"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Z107" s="12"/>
      <c r="BB107" s="12"/>
      <c r="BE107" s="12"/>
      <c r="BK107" s="6"/>
      <c r="BL107" s="6"/>
      <c r="BM107" s="6"/>
      <c r="BN107" s="6"/>
      <c r="BO107" s="6"/>
      <c r="BP107" s="6"/>
      <c r="BR107" s="67"/>
      <c r="BT107" s="4"/>
      <c r="BV107" s="4"/>
      <c r="BY107" s="4"/>
    </row>
    <row r="108" spans="23:79" x14ac:dyDescent="0.2">
      <c r="W108" s="4"/>
      <c r="X108" s="4"/>
      <c r="Y108" s="7"/>
      <c r="Z108" s="4"/>
      <c r="AA108" s="7"/>
      <c r="AB108" s="4"/>
      <c r="AC108" s="4"/>
      <c r="AD108" s="4"/>
      <c r="AE108" s="4"/>
      <c r="AF108" s="7"/>
      <c r="AZ108" s="4"/>
      <c r="BB108" s="12"/>
      <c r="BE108" s="31"/>
      <c r="BK108" s="6"/>
      <c r="BL108" s="6"/>
      <c r="BM108" s="6"/>
      <c r="BN108" s="6"/>
      <c r="BO108" s="6"/>
      <c r="BP108" s="6"/>
      <c r="BR108" s="67"/>
      <c r="BT108" s="4"/>
      <c r="BV108" s="4"/>
      <c r="BY108" s="4"/>
    </row>
    <row r="109" spans="23:79" x14ac:dyDescent="0.2"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Z109" s="4"/>
      <c r="BB109" s="12"/>
      <c r="BE109" s="31"/>
    </row>
    <row r="110" spans="23:79" x14ac:dyDescent="0.2"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Z110" s="12"/>
      <c r="BB110" s="12"/>
      <c r="BE110" s="31"/>
      <c r="BK110" s="2"/>
    </row>
    <row r="111" spans="23:79" x14ac:dyDescent="0.2"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Z111" s="12"/>
      <c r="BB111" s="7"/>
      <c r="BE111" s="31"/>
      <c r="BK111" s="7"/>
      <c r="BL111" s="7"/>
      <c r="BM111" s="7"/>
      <c r="BN111" s="7"/>
      <c r="BO111" s="7"/>
      <c r="BP111" s="7"/>
      <c r="BR111" s="4"/>
      <c r="BT111" s="6"/>
      <c r="BV111" s="4"/>
      <c r="BY111" s="65"/>
      <c r="CA111" s="63"/>
    </row>
    <row r="112" spans="23:79" x14ac:dyDescent="0.2">
      <c r="W112" s="4"/>
      <c r="X112" s="7"/>
      <c r="Y112" s="4"/>
      <c r="Z112" s="4"/>
      <c r="AA112" s="4"/>
      <c r="AB112" s="4"/>
      <c r="AC112" s="4"/>
      <c r="AD112" s="4"/>
      <c r="AE112" s="7"/>
      <c r="AF112" s="4"/>
      <c r="AZ112" s="12"/>
      <c r="BB112" s="7"/>
      <c r="BE112" s="31"/>
      <c r="BK112" s="7"/>
      <c r="BL112" s="7"/>
      <c r="BM112" s="7"/>
      <c r="BN112" s="7"/>
      <c r="BO112" s="7"/>
      <c r="BP112" s="7"/>
      <c r="BR112" s="4"/>
      <c r="BT112" s="6"/>
      <c r="BV112" s="4"/>
      <c r="BY112" s="65"/>
      <c r="CA112" s="63"/>
    </row>
    <row r="113" spans="2:79" x14ac:dyDescent="0.2">
      <c r="W113" s="4"/>
      <c r="X113" s="4"/>
      <c r="Y113" s="7"/>
      <c r="Z113" s="4"/>
      <c r="AA113" s="7"/>
      <c r="AB113" s="4"/>
      <c r="AC113" s="4"/>
      <c r="AD113" s="4"/>
      <c r="AE113" s="4"/>
      <c r="AF113" s="7"/>
      <c r="AZ113" s="4"/>
      <c r="BB113" s="4"/>
      <c r="BE113" s="31"/>
      <c r="BK113" s="7"/>
      <c r="BL113" s="7"/>
      <c r="BM113" s="7"/>
      <c r="BN113" s="7"/>
      <c r="BO113" s="7"/>
      <c r="BP113" s="7"/>
      <c r="BQ113" s="4"/>
      <c r="BR113" s="4"/>
      <c r="BS113" s="4"/>
      <c r="BT113" s="6"/>
      <c r="BU113" s="4"/>
      <c r="BV113" s="4"/>
      <c r="BW113" s="4"/>
      <c r="BX113" s="4"/>
      <c r="BY113" s="65"/>
      <c r="BZ113" s="4"/>
      <c r="CA113" s="63"/>
    </row>
    <row r="114" spans="2:79" x14ac:dyDescent="0.2"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Z114" s="4"/>
      <c r="BB114" s="4"/>
      <c r="BE114" s="31"/>
      <c r="BK114" s="7"/>
      <c r="BL114" s="7"/>
      <c r="BM114" s="7"/>
      <c r="BN114" s="7"/>
      <c r="BO114" s="7"/>
      <c r="BP114" s="7"/>
      <c r="BR114" s="4"/>
      <c r="BT114" s="6"/>
      <c r="BV114" s="4"/>
      <c r="BY114" s="65"/>
      <c r="CA114" s="63"/>
    </row>
    <row r="115" spans="2:79" x14ac:dyDescent="0.2">
      <c r="W115" s="4"/>
      <c r="X115" s="4"/>
      <c r="Y115" s="7"/>
      <c r="Z115" s="4"/>
      <c r="AA115" s="7"/>
      <c r="AB115" s="4"/>
      <c r="AC115" s="4"/>
      <c r="AD115" s="4"/>
      <c r="AE115" s="4"/>
      <c r="AF115" s="7"/>
      <c r="AZ115" s="4"/>
      <c r="BB115" s="4"/>
      <c r="BE115" s="4"/>
      <c r="BK115" s="7"/>
      <c r="BL115" s="7"/>
      <c r="BM115" s="7"/>
      <c r="BN115" s="7"/>
      <c r="BO115" s="7"/>
      <c r="BP115" s="7"/>
      <c r="BR115" s="4"/>
      <c r="BT115" s="6"/>
      <c r="BV115" s="4"/>
      <c r="BY115" s="65"/>
      <c r="CA115" s="63"/>
    </row>
    <row r="116" spans="2:79" x14ac:dyDescent="0.2">
      <c r="BK116" s="7"/>
      <c r="BL116" s="7"/>
      <c r="BM116" s="7"/>
      <c r="BN116" s="7"/>
      <c r="BO116" s="7"/>
      <c r="BP116" s="7"/>
      <c r="BR116" s="4"/>
      <c r="BT116" s="6"/>
      <c r="BV116" s="4"/>
      <c r="BY116" s="65"/>
      <c r="CA116" s="63"/>
    </row>
    <row r="118" spans="2:79" x14ac:dyDescent="0.2">
      <c r="B118" s="2"/>
      <c r="AF118" s="2"/>
    </row>
    <row r="119" spans="2:79" x14ac:dyDescent="0.2">
      <c r="E119" s="26"/>
      <c r="F119" s="25"/>
      <c r="V119" s="4"/>
    </row>
    <row r="120" spans="2:79" x14ac:dyDescent="0.2">
      <c r="E120" s="26"/>
      <c r="F120" s="25"/>
      <c r="V120" s="4"/>
      <c r="AW120" s="4"/>
      <c r="AX120" s="4"/>
    </row>
    <row r="121" spans="2:79" x14ac:dyDescent="0.2">
      <c r="E121" s="26"/>
      <c r="F121" s="25"/>
      <c r="V121" s="4"/>
      <c r="AW121" s="7"/>
      <c r="AX121" s="7"/>
      <c r="AZ121" s="12"/>
      <c r="BB121" s="12"/>
      <c r="BE121" s="31"/>
    </row>
    <row r="122" spans="2:79" x14ac:dyDescent="0.2">
      <c r="V122" s="4"/>
      <c r="AW122" s="7"/>
      <c r="AX122" s="7"/>
      <c r="AZ122" s="12"/>
      <c r="BB122" s="12"/>
      <c r="BE122" s="31"/>
    </row>
    <row r="123" spans="2:79" x14ac:dyDescent="0.2">
      <c r="V123" s="4"/>
      <c r="AW123" s="7"/>
      <c r="AX123" s="7"/>
      <c r="AZ123" s="12"/>
      <c r="BB123" s="12"/>
      <c r="BE123" s="31"/>
    </row>
    <row r="124" spans="2:79" x14ac:dyDescent="0.2">
      <c r="V124" s="4"/>
      <c r="AW124" s="7"/>
      <c r="AX124" s="16"/>
      <c r="AZ124" s="30"/>
      <c r="BB124" s="7"/>
      <c r="BE124" s="31"/>
    </row>
    <row r="125" spans="2:79" x14ac:dyDescent="0.2">
      <c r="V125" s="4"/>
      <c r="AW125" s="7"/>
      <c r="AX125" s="16"/>
      <c r="AZ125" s="30"/>
      <c r="BB125" s="7"/>
      <c r="BE125" s="31"/>
    </row>
    <row r="126" spans="2:79" x14ac:dyDescent="0.2">
      <c r="V126" s="4"/>
      <c r="AW126" s="7"/>
      <c r="AX126" s="7"/>
      <c r="AY126" s="4"/>
      <c r="AZ126" s="30"/>
      <c r="BB126" s="12"/>
      <c r="BE126" s="31"/>
    </row>
    <row r="127" spans="2:79" x14ac:dyDescent="0.2">
      <c r="V127" s="4"/>
      <c r="AW127" s="7"/>
      <c r="AX127" s="16"/>
      <c r="AZ127" s="30"/>
      <c r="BA127" s="4"/>
      <c r="BB127" s="12"/>
      <c r="BC127" s="28"/>
      <c r="BD127" s="28"/>
      <c r="BE127" s="31"/>
    </row>
    <row r="128" spans="2:79" x14ac:dyDescent="0.2">
      <c r="V128" s="4"/>
      <c r="AW128" s="16"/>
      <c r="AX128" s="7"/>
      <c r="AZ128" s="30"/>
      <c r="BB128" s="12"/>
      <c r="BE128" s="31"/>
    </row>
    <row r="129" spans="22:90" x14ac:dyDescent="0.2">
      <c r="V129" s="4"/>
      <c r="AW129" s="16"/>
      <c r="AX129" s="7"/>
      <c r="AY129" s="3"/>
      <c r="AZ129" s="30"/>
      <c r="BB129" s="12"/>
      <c r="BE129" s="31"/>
    </row>
    <row r="130" spans="22:90" x14ac:dyDescent="0.2">
      <c r="V130" s="4"/>
      <c r="AW130" s="16"/>
      <c r="AX130" s="7"/>
      <c r="AZ130" s="30"/>
      <c r="BB130" s="12"/>
      <c r="BE130" s="31"/>
    </row>
    <row r="131" spans="22:90" x14ac:dyDescent="0.2">
      <c r="V131" s="4"/>
      <c r="AW131" s="16"/>
      <c r="AX131" s="16"/>
      <c r="AZ131" s="30"/>
      <c r="BB131" s="7"/>
      <c r="BE131" s="31"/>
    </row>
    <row r="132" spans="22:90" x14ac:dyDescent="0.2">
      <c r="V132" s="4"/>
      <c r="AW132" s="16"/>
      <c r="AX132" s="16"/>
      <c r="AZ132" s="30"/>
      <c r="BB132" s="7"/>
      <c r="BE132" s="31"/>
    </row>
    <row r="133" spans="22:90" x14ac:dyDescent="0.2">
      <c r="V133" s="4"/>
      <c r="AJ133" s="4"/>
      <c r="AK133" s="7"/>
      <c r="AL133" s="7"/>
      <c r="AM133" s="7"/>
      <c r="AN133" s="7"/>
      <c r="AO133" s="7"/>
      <c r="AP133" s="7"/>
      <c r="AQ133" s="7"/>
      <c r="AR133" s="16"/>
      <c r="AS133" s="16"/>
      <c r="AT133" s="16"/>
      <c r="AU133" s="16"/>
      <c r="AV133" s="16"/>
      <c r="AW133" s="16"/>
      <c r="AX133" s="7"/>
      <c r="AZ133" s="30"/>
      <c r="BB133" s="12"/>
      <c r="BE133" s="31"/>
    </row>
    <row r="134" spans="22:90" x14ac:dyDescent="0.2">
      <c r="V134" s="4"/>
      <c r="AJ134" s="4"/>
      <c r="AK134" s="7"/>
      <c r="AL134" s="7"/>
      <c r="AM134" s="7"/>
      <c r="AN134" s="16"/>
      <c r="AO134" s="16"/>
      <c r="AP134" s="7"/>
      <c r="AQ134" s="16"/>
      <c r="AR134" s="8"/>
      <c r="AS134" s="8"/>
      <c r="AT134" s="8"/>
      <c r="AU134" s="16"/>
      <c r="AV134" s="16"/>
      <c r="AW134" s="7"/>
      <c r="AX134" s="16"/>
      <c r="AZ134" s="30"/>
      <c r="BB134" s="12"/>
      <c r="BE134" s="31"/>
    </row>
    <row r="135" spans="22:90" x14ac:dyDescent="0.2">
      <c r="V135" s="4"/>
      <c r="AK135" s="32"/>
      <c r="AL135" s="32"/>
      <c r="AM135" s="32"/>
    </row>
    <row r="136" spans="22:90" x14ac:dyDescent="0.2">
      <c r="V136" s="4"/>
    </row>
    <row r="137" spans="22:90" x14ac:dyDescent="0.2">
      <c r="BX137" s="33"/>
    </row>
    <row r="138" spans="22:90" x14ac:dyDescent="0.2">
      <c r="BX138" s="33"/>
    </row>
    <row r="139" spans="22:90" x14ac:dyDescent="0.2">
      <c r="BX139" s="33"/>
    </row>
    <row r="141" spans="22:90" x14ac:dyDescent="0.2">
      <c r="BX141" s="33"/>
      <c r="CL141" s="29"/>
    </row>
    <row r="142" spans="22:90" x14ac:dyDescent="0.2">
      <c r="BX142" s="33"/>
    </row>
    <row r="143" spans="22:90" x14ac:dyDescent="0.2">
      <c r="BX143" s="33"/>
    </row>
    <row r="144" spans="22:90" x14ac:dyDescent="0.2">
      <c r="BL144" s="4"/>
      <c r="BT144" s="2"/>
    </row>
    <row r="145" spans="39:92" x14ac:dyDescent="0.2">
      <c r="BL145" s="4"/>
      <c r="BN145" s="4"/>
      <c r="BP145" s="4"/>
      <c r="BR145" s="4"/>
      <c r="BT145" s="6"/>
      <c r="BU145" s="4"/>
      <c r="BV145" s="4"/>
      <c r="BW145" s="4"/>
      <c r="BX145" s="4"/>
      <c r="BY145" s="4"/>
      <c r="BZ145" s="4"/>
      <c r="CA145" s="42"/>
      <c r="CB145" s="4"/>
      <c r="CD145" s="4"/>
      <c r="CF145" s="4"/>
    </row>
    <row r="146" spans="39:92" x14ac:dyDescent="0.2">
      <c r="BL146" s="4"/>
      <c r="BN146" s="4"/>
      <c r="BP146" s="4"/>
      <c r="BR146" s="4"/>
      <c r="BT146" s="4"/>
      <c r="BU146" s="6"/>
      <c r="BV146" s="4"/>
      <c r="BW146" s="4"/>
      <c r="BX146" s="4"/>
      <c r="BY146" s="4"/>
      <c r="BZ146" s="4"/>
      <c r="CA146" s="43"/>
      <c r="CB146" s="4"/>
      <c r="CD146" s="4"/>
      <c r="CF146" s="4"/>
    </row>
    <row r="147" spans="39:92" x14ac:dyDescent="0.2">
      <c r="BL147" s="4"/>
      <c r="BN147" s="4"/>
      <c r="BP147" s="4"/>
      <c r="BR147" s="4"/>
      <c r="BT147" s="4"/>
      <c r="BU147" s="4"/>
      <c r="BV147" s="4"/>
      <c r="BW147" s="4"/>
      <c r="BX147" s="4"/>
      <c r="BY147" s="4"/>
      <c r="BZ147" s="4"/>
      <c r="CA147" s="42"/>
      <c r="CB147" s="4"/>
      <c r="CC147" s="4"/>
      <c r="CD147" s="4"/>
      <c r="CE147" s="4"/>
      <c r="CF147" s="4"/>
    </row>
    <row r="148" spans="39:92" x14ac:dyDescent="0.2">
      <c r="BL148" s="4"/>
      <c r="BN148" s="4"/>
      <c r="BP148" s="4"/>
      <c r="BR148" s="4"/>
      <c r="BT148" s="4"/>
      <c r="BU148" s="4"/>
      <c r="BV148" s="4"/>
      <c r="BW148" s="6"/>
      <c r="BX148" s="6"/>
      <c r="BY148" s="4"/>
      <c r="BZ148" s="4"/>
      <c r="CA148" s="43"/>
      <c r="CB148" s="7"/>
      <c r="CD148" s="4"/>
      <c r="CF148" s="7"/>
    </row>
    <row r="149" spans="39:92" x14ac:dyDescent="0.2">
      <c r="AM149" s="2"/>
      <c r="BL149" s="4"/>
      <c r="BN149" s="4"/>
      <c r="BP149" s="4"/>
      <c r="BR149" s="4"/>
      <c r="BT149" s="4"/>
      <c r="BU149" s="4"/>
      <c r="BV149" s="4"/>
      <c r="BW149" s="4"/>
      <c r="BX149" s="4"/>
      <c r="BY149" s="6"/>
      <c r="BZ149" s="4"/>
      <c r="CA149" s="43"/>
      <c r="CB149" s="7"/>
      <c r="CD149" s="4"/>
      <c r="CF149" s="7"/>
    </row>
    <row r="150" spans="39:92" x14ac:dyDescent="0.2">
      <c r="AN150" s="4"/>
      <c r="AO150" s="4"/>
      <c r="AP150" s="4"/>
      <c r="AQ150" s="4"/>
      <c r="AR150" s="4"/>
      <c r="AS150" s="4"/>
      <c r="AT150" s="4"/>
      <c r="AU150" s="4"/>
      <c r="BL150" s="4"/>
      <c r="BN150" s="4"/>
      <c r="BP150" s="4"/>
      <c r="BR150" s="4"/>
      <c r="BT150" s="4"/>
      <c r="BU150" s="4"/>
      <c r="BV150" s="4"/>
      <c r="BW150" s="4"/>
      <c r="BX150" s="4"/>
      <c r="BY150" s="4"/>
      <c r="BZ150" s="4"/>
      <c r="CA150" s="43"/>
      <c r="CB150" s="7"/>
      <c r="CD150" s="4"/>
      <c r="CF150" s="7"/>
    </row>
    <row r="151" spans="39:92" x14ac:dyDescent="0.2">
      <c r="AM151" s="4"/>
      <c r="AN151" s="7"/>
      <c r="AO151" s="7"/>
      <c r="AP151" s="7"/>
      <c r="AQ151" s="7"/>
      <c r="AR151" s="7"/>
      <c r="AS151" s="7"/>
      <c r="AT151" s="7"/>
      <c r="AU151" s="7"/>
      <c r="AV151" s="4"/>
      <c r="AW151" s="12"/>
      <c r="AX151" s="4"/>
      <c r="AY151" s="7"/>
      <c r="BL151" s="4"/>
      <c r="BM151" s="4"/>
      <c r="BN151" s="4"/>
      <c r="BO151" s="4"/>
      <c r="BP151" s="4"/>
      <c r="BQ151" s="28"/>
      <c r="BR151" s="4"/>
    </row>
    <row r="152" spans="39:92" x14ac:dyDescent="0.2">
      <c r="AM152" s="4"/>
      <c r="AN152" s="7"/>
      <c r="AO152" s="7"/>
      <c r="AP152" s="7"/>
      <c r="AQ152" s="7"/>
      <c r="AR152" s="7"/>
      <c r="AS152" s="7"/>
      <c r="AT152" s="7"/>
      <c r="AU152" s="7"/>
      <c r="AW152" s="12"/>
      <c r="AY152" s="7"/>
      <c r="BL152" s="6"/>
      <c r="BN152" s="12"/>
      <c r="BP152" s="26"/>
      <c r="BR152" s="16"/>
      <c r="BT152" s="2"/>
    </row>
    <row r="153" spans="39:92" x14ac:dyDescent="0.2">
      <c r="AM153" s="4"/>
      <c r="AN153" s="7"/>
      <c r="AO153" s="7"/>
      <c r="AP153" s="7"/>
      <c r="AQ153" s="7"/>
      <c r="AR153" s="7"/>
      <c r="AS153" s="7"/>
      <c r="AT153" s="7"/>
      <c r="AU153" s="7"/>
      <c r="AW153" s="12"/>
      <c r="AY153" s="7"/>
      <c r="BL153" s="6"/>
      <c r="BN153" s="12"/>
      <c r="BP153" s="26"/>
      <c r="BR153" s="22"/>
      <c r="BT153" s="7"/>
      <c r="BU153" s="4"/>
      <c r="BV153" s="6"/>
      <c r="BW153" s="7"/>
      <c r="BX153" s="7"/>
      <c r="BY153" s="4"/>
      <c r="BZ153" s="6"/>
      <c r="CB153" s="4"/>
      <c r="CD153" s="4"/>
      <c r="CF153" s="4"/>
      <c r="CH153" s="44"/>
    </row>
    <row r="154" spans="39:92" x14ac:dyDescent="0.2">
      <c r="AM154" s="4"/>
      <c r="AN154" s="7"/>
      <c r="AO154" s="7"/>
      <c r="AP154" s="7"/>
      <c r="AQ154" s="7"/>
      <c r="AR154" s="7"/>
      <c r="AS154" s="7"/>
      <c r="AT154" s="7"/>
      <c r="AU154" s="7"/>
      <c r="AW154" s="12"/>
      <c r="AY154" s="7"/>
      <c r="BL154" s="6"/>
      <c r="BN154" s="12"/>
      <c r="BP154" s="26"/>
      <c r="BR154" s="16"/>
      <c r="BT154" s="4"/>
      <c r="BU154" s="7"/>
      <c r="BV154" s="7"/>
      <c r="BW154" s="4"/>
      <c r="BX154" s="4"/>
      <c r="BY154" s="7"/>
      <c r="BZ154" s="7"/>
      <c r="CB154" s="4"/>
      <c r="CD154" s="7"/>
      <c r="CF154" s="4"/>
      <c r="CH154" s="44"/>
    </row>
    <row r="155" spans="39:92" x14ac:dyDescent="0.2">
      <c r="AM155" s="4"/>
      <c r="AN155" s="7"/>
      <c r="AO155" s="7"/>
      <c r="AP155" s="7"/>
      <c r="AQ155" s="7"/>
      <c r="AR155" s="7"/>
      <c r="AS155" s="7"/>
      <c r="AT155" s="7"/>
      <c r="AU155" s="7"/>
      <c r="AW155" s="12"/>
      <c r="AY155" s="7"/>
      <c r="BL155" s="6"/>
      <c r="BN155" s="12"/>
      <c r="BP155" s="7"/>
      <c r="BR155" s="16"/>
      <c r="BT155" s="6"/>
      <c r="BU155" s="7"/>
      <c r="BV155" s="7"/>
      <c r="BW155" s="7"/>
      <c r="BX155" s="7"/>
      <c r="BY155" s="7"/>
      <c r="BZ155" s="7"/>
      <c r="CA155" s="4"/>
      <c r="CB155" s="4"/>
      <c r="CC155" s="4"/>
      <c r="CD155" s="7"/>
      <c r="CE155" s="4"/>
      <c r="CF155" s="4"/>
      <c r="CG155" s="4"/>
      <c r="CH155" s="44"/>
      <c r="CN155" s="45"/>
    </row>
    <row r="156" spans="39:92" x14ac:dyDescent="0.2">
      <c r="AM156" s="4"/>
      <c r="AN156" s="7"/>
      <c r="AO156" s="7"/>
      <c r="AP156" s="7"/>
      <c r="AQ156" s="7"/>
      <c r="AR156" s="7"/>
      <c r="AS156" s="7"/>
      <c r="AT156" s="7"/>
      <c r="AU156" s="7"/>
      <c r="AW156" s="12"/>
      <c r="AY156" s="7"/>
      <c r="BL156" s="6"/>
      <c r="BN156" s="12"/>
      <c r="BP156" s="7"/>
      <c r="BR156" s="22"/>
      <c r="BT156" s="7"/>
      <c r="BU156" s="4"/>
      <c r="BV156" s="6"/>
      <c r="BW156" s="46"/>
      <c r="BX156" s="46"/>
      <c r="BY156" s="4"/>
      <c r="BZ156" s="6"/>
      <c r="CB156" s="7"/>
      <c r="CD156" s="4"/>
      <c r="CF156" s="4"/>
      <c r="CH156" s="44"/>
    </row>
    <row r="157" spans="39:92" x14ac:dyDescent="0.2">
      <c r="AM157" s="4"/>
      <c r="AN157" s="7"/>
      <c r="AO157" s="7"/>
      <c r="AP157" s="7"/>
      <c r="AQ157" s="7"/>
      <c r="AR157" s="7"/>
      <c r="AS157" s="7"/>
      <c r="AT157" s="7"/>
      <c r="AU157" s="7"/>
      <c r="AW157" s="12"/>
      <c r="AY157" s="7"/>
      <c r="BD157" s="47"/>
      <c r="BL157" s="6"/>
      <c r="BN157" s="12"/>
      <c r="BO157" s="32"/>
      <c r="BP157" s="4"/>
      <c r="BR157" s="16"/>
      <c r="BT157" s="4"/>
      <c r="BU157" s="7"/>
      <c r="BV157" s="7"/>
      <c r="BW157" s="4"/>
      <c r="BX157" s="4"/>
      <c r="BY157" s="7"/>
      <c r="BZ157" s="7"/>
      <c r="CB157" s="7"/>
      <c r="CD157" s="7"/>
      <c r="CF157" s="4"/>
      <c r="CH157" s="44"/>
    </row>
    <row r="158" spans="39:92" x14ac:dyDescent="0.2">
      <c r="AM158" s="4"/>
      <c r="AN158" s="7"/>
      <c r="AO158" s="7"/>
      <c r="AP158" s="7"/>
      <c r="AQ158" s="7"/>
      <c r="AR158" s="7"/>
      <c r="AS158" s="7"/>
      <c r="AT158" s="7"/>
      <c r="AU158" s="7"/>
      <c r="AW158" s="12"/>
      <c r="AY158" s="7"/>
      <c r="BD158" s="47"/>
      <c r="BL158" s="6"/>
      <c r="BN158" s="4"/>
      <c r="BP158" s="4"/>
      <c r="BR158" s="4"/>
      <c r="BT158" s="6"/>
      <c r="BU158" s="7"/>
      <c r="BV158" s="7"/>
      <c r="BW158" s="6"/>
      <c r="BX158" s="6"/>
      <c r="BY158" s="7"/>
      <c r="BZ158" s="7"/>
      <c r="CB158" s="7"/>
      <c r="CD158" s="7"/>
      <c r="CF158" s="4"/>
      <c r="CH158" s="48"/>
    </row>
    <row r="159" spans="39:92" x14ac:dyDescent="0.2">
      <c r="BD159" s="47"/>
      <c r="BR159" s="32"/>
    </row>
    <row r="160" spans="39:92" x14ac:dyDescent="0.2">
      <c r="AS160" s="29"/>
      <c r="BD160" s="47"/>
      <c r="BK160" s="2"/>
      <c r="BP160" s="32"/>
    </row>
    <row r="161" spans="39:91" x14ac:dyDescent="0.2">
      <c r="BD161" s="47"/>
      <c r="BJ161" s="4"/>
      <c r="BK161" s="4"/>
      <c r="BL161" s="4"/>
      <c r="BM161" s="4"/>
      <c r="BN161" s="4"/>
      <c r="BO161" s="4"/>
      <c r="BP161" s="4"/>
      <c r="BQ161" s="4"/>
      <c r="BR161" s="4"/>
      <c r="BW161" s="49"/>
      <c r="BX161" s="49"/>
      <c r="CC161" s="29"/>
    </row>
    <row r="162" spans="39:91" x14ac:dyDescent="0.2">
      <c r="AM162" s="2"/>
      <c r="AZ162" s="50"/>
      <c r="BA162" s="50"/>
      <c r="BB162" s="50"/>
      <c r="BC162" s="50"/>
      <c r="BD162" s="47"/>
      <c r="BK162" s="33"/>
      <c r="BL162" s="33"/>
      <c r="BN162" s="32"/>
      <c r="BT162" s="2"/>
      <c r="CA162" s="33"/>
      <c r="CB162" s="33"/>
      <c r="CC162" s="32"/>
    </row>
    <row r="163" spans="39:91" x14ac:dyDescent="0.2">
      <c r="AN163" s="4"/>
      <c r="AO163" s="4"/>
      <c r="AP163" s="4"/>
      <c r="AQ163" s="4"/>
      <c r="AR163" s="4"/>
      <c r="AS163" s="4"/>
      <c r="AT163" s="4"/>
      <c r="AU163" s="4"/>
      <c r="AZ163" s="50"/>
      <c r="BA163" s="50"/>
      <c r="BB163" s="50"/>
      <c r="BC163" s="50"/>
      <c r="BD163" s="50"/>
      <c r="BE163" s="50"/>
    </row>
    <row r="164" spans="39:91" x14ac:dyDescent="0.2">
      <c r="AM164" s="4"/>
      <c r="AN164" s="7"/>
      <c r="AO164" s="7"/>
      <c r="AP164" s="7"/>
      <c r="AQ164" s="7"/>
      <c r="AR164" s="7"/>
      <c r="AS164" s="7"/>
      <c r="AT164" s="7"/>
      <c r="AU164" s="7"/>
      <c r="AV164" s="4"/>
      <c r="AW164" s="3"/>
      <c r="AX164" s="4"/>
      <c r="AY164" s="12"/>
      <c r="AZ164" s="30"/>
      <c r="BA164" s="51"/>
      <c r="BB164" s="50"/>
      <c r="BC164" s="50"/>
      <c r="BD164" s="52"/>
      <c r="BE164" s="50"/>
      <c r="BQ164" s="33"/>
    </row>
    <row r="165" spans="39:91" x14ac:dyDescent="0.2">
      <c r="AM165" s="4"/>
      <c r="AN165" s="7"/>
      <c r="AO165" s="7"/>
      <c r="AP165" s="7"/>
      <c r="AQ165" s="7"/>
      <c r="AR165" s="7"/>
      <c r="AS165" s="7"/>
      <c r="AT165" s="7"/>
      <c r="AU165" s="7"/>
      <c r="AW165" s="3"/>
      <c r="AY165" s="12"/>
      <c r="AZ165" s="50"/>
      <c r="BA165" s="51"/>
      <c r="BB165" s="50"/>
      <c r="BC165" s="50"/>
      <c r="BD165" s="52"/>
      <c r="BE165" s="50"/>
      <c r="BK165" s="2"/>
      <c r="BT165" s="2"/>
      <c r="BY165" s="2"/>
    </row>
    <row r="166" spans="39:91" x14ac:dyDescent="0.2">
      <c r="AM166" s="4"/>
      <c r="AN166" s="7"/>
      <c r="AO166" s="7"/>
      <c r="AP166" s="7"/>
      <c r="AQ166" s="7"/>
      <c r="AR166" s="7"/>
      <c r="AS166" s="7"/>
      <c r="AT166" s="7"/>
      <c r="AU166" s="7"/>
      <c r="AW166" s="3"/>
      <c r="AY166" s="12"/>
      <c r="AZ166" s="50"/>
      <c r="BA166" s="51"/>
      <c r="BB166" s="53"/>
      <c r="BC166" s="50"/>
      <c r="BD166" s="54"/>
      <c r="BE166" s="50"/>
      <c r="BP166" s="55"/>
      <c r="BQ166" s="56"/>
      <c r="BR166" s="57"/>
      <c r="BT166" s="12"/>
      <c r="BU166" s="58"/>
      <c r="BV166" s="2"/>
      <c r="BY166" s="12"/>
      <c r="BZ166" s="56"/>
      <c r="CA166" s="2"/>
    </row>
    <row r="167" spans="39:91" x14ac:dyDescent="0.2">
      <c r="AM167" s="4"/>
      <c r="AN167" s="7"/>
      <c r="AO167" s="7"/>
      <c r="AP167" s="7"/>
      <c r="AQ167" s="7"/>
      <c r="AR167" s="7"/>
      <c r="AS167" s="7"/>
      <c r="AT167" s="7"/>
      <c r="AU167" s="7"/>
      <c r="AW167" s="3"/>
      <c r="AY167" s="12"/>
      <c r="BA167" s="51"/>
      <c r="BB167" s="53"/>
      <c r="BC167" s="50"/>
      <c r="BD167" s="52"/>
      <c r="BE167" s="50"/>
      <c r="BP167" s="55"/>
      <c r="BQ167" s="56"/>
      <c r="BR167" s="57"/>
      <c r="BT167" s="12"/>
      <c r="BU167" s="58"/>
      <c r="BV167" s="2"/>
      <c r="BY167" s="12"/>
      <c r="BZ167" s="56"/>
      <c r="CA167" s="2"/>
    </row>
    <row r="168" spans="39:91" x14ac:dyDescent="0.2">
      <c r="AM168" s="4"/>
      <c r="AN168" s="7"/>
      <c r="AO168" s="7"/>
      <c r="AP168" s="7"/>
      <c r="AQ168" s="7"/>
      <c r="AR168" s="7"/>
      <c r="AS168" s="7"/>
      <c r="AT168" s="7"/>
      <c r="AU168" s="7"/>
      <c r="AW168" s="3"/>
      <c r="AY168" s="12"/>
      <c r="AZ168" s="50"/>
      <c r="BA168" s="51"/>
      <c r="BB168" s="50"/>
      <c r="BC168" s="50"/>
      <c r="BD168" s="52"/>
      <c r="BE168" s="50"/>
      <c r="BP168" s="55"/>
      <c r="BQ168" s="56"/>
      <c r="BR168" s="57"/>
      <c r="BT168" s="12"/>
      <c r="BU168" s="58"/>
      <c r="BV168" s="2"/>
      <c r="BW168" s="59"/>
      <c r="BX168" s="59"/>
      <c r="BY168" s="12"/>
      <c r="BZ168" s="56"/>
      <c r="CA168" s="2"/>
    </row>
    <row r="169" spans="39:91" x14ac:dyDescent="0.2">
      <c r="AM169" s="4"/>
      <c r="AN169" s="7"/>
      <c r="AO169" s="7"/>
      <c r="AP169" s="7"/>
      <c r="AQ169" s="7"/>
      <c r="AR169" s="7"/>
      <c r="AS169" s="7"/>
      <c r="AT169" s="7"/>
      <c r="AU169" s="7"/>
      <c r="AW169" s="3"/>
      <c r="AY169" s="12"/>
      <c r="AZ169" s="50"/>
      <c r="BA169" s="51"/>
      <c r="BB169" s="50"/>
      <c r="BC169" s="50"/>
      <c r="BD169" s="52"/>
      <c r="BE169" s="50"/>
      <c r="BL169" s="60"/>
      <c r="BM169" s="61"/>
      <c r="BN169" s="61"/>
      <c r="BP169" s="55"/>
      <c r="BQ169" s="56"/>
      <c r="BT169" s="12"/>
      <c r="BU169" s="58"/>
      <c r="BV169" s="2"/>
      <c r="BW169" s="59"/>
      <c r="BX169" s="59"/>
      <c r="BY169" s="12"/>
      <c r="BZ169" s="56"/>
      <c r="CA169" s="2"/>
    </row>
    <row r="170" spans="39:91" x14ac:dyDescent="0.2">
      <c r="AM170" s="4"/>
      <c r="AN170" s="7"/>
      <c r="AO170" s="7"/>
      <c r="AP170" s="7"/>
      <c r="AQ170" s="7"/>
      <c r="AR170" s="7"/>
      <c r="AS170" s="7"/>
      <c r="AT170" s="7"/>
      <c r="AU170" s="7"/>
      <c r="AW170" s="3"/>
      <c r="AY170" s="12"/>
      <c r="AZ170" s="50"/>
      <c r="BA170" s="51"/>
      <c r="BB170" s="53"/>
      <c r="BC170" s="50"/>
      <c r="BD170" s="52"/>
      <c r="BE170" s="50"/>
      <c r="BP170" s="55"/>
      <c r="BQ170" s="47"/>
      <c r="BT170" s="12"/>
      <c r="BU170" s="58"/>
      <c r="BV170" s="2"/>
      <c r="BY170" s="12"/>
      <c r="BZ170" s="56"/>
      <c r="CA170" s="2"/>
    </row>
    <row r="171" spans="39:91" x14ac:dyDescent="0.2">
      <c r="AM171" s="4"/>
      <c r="AN171" s="7"/>
      <c r="AO171" s="7"/>
      <c r="AP171" s="7"/>
      <c r="AQ171" s="7"/>
      <c r="AR171" s="7"/>
      <c r="AS171" s="7"/>
      <c r="AT171" s="7"/>
      <c r="AU171" s="7"/>
      <c r="AW171" s="3"/>
      <c r="AY171" s="12"/>
      <c r="AZ171" s="50"/>
      <c r="BA171" s="51"/>
      <c r="BB171" s="53"/>
      <c r="BC171" s="50"/>
      <c r="BD171" s="52"/>
      <c r="BE171" s="50"/>
      <c r="BP171" s="55"/>
      <c r="BQ171" s="47"/>
      <c r="BT171" s="12"/>
      <c r="BU171" s="58"/>
      <c r="BV171" s="2"/>
      <c r="BY171" s="12"/>
      <c r="BZ171" s="56"/>
      <c r="CA171" s="2"/>
      <c r="CF171" s="2"/>
    </row>
    <row r="172" spans="39:91" x14ac:dyDescent="0.2">
      <c r="BB172" s="50"/>
      <c r="BC172" s="50"/>
      <c r="BD172" s="50"/>
      <c r="BE172" s="50"/>
      <c r="BW172" s="59"/>
      <c r="BX172" s="59"/>
      <c r="BY172" s="12"/>
      <c r="BZ172" s="56"/>
      <c r="CA172" s="2"/>
    </row>
    <row r="173" spans="39:91" x14ac:dyDescent="0.2">
      <c r="AZ173" s="50"/>
      <c r="BA173" s="50"/>
      <c r="BB173" s="62"/>
      <c r="BC173" s="50"/>
      <c r="BD173" s="50"/>
      <c r="BE173" s="50"/>
      <c r="BF173" s="50"/>
      <c r="BW173" s="59"/>
      <c r="BX173" s="59"/>
      <c r="BY173" s="12"/>
      <c r="BZ173" s="56"/>
      <c r="CA173" s="2"/>
    </row>
    <row r="174" spans="39:91" x14ac:dyDescent="0.2">
      <c r="AZ174" s="50"/>
      <c r="BA174" s="50"/>
      <c r="BB174" s="50"/>
      <c r="BC174" s="50"/>
      <c r="BD174" s="50"/>
      <c r="BE174" s="50"/>
      <c r="BF174" s="50"/>
    </row>
    <row r="175" spans="39:91" x14ac:dyDescent="0.2">
      <c r="AM175" s="2"/>
      <c r="AZ175" s="50"/>
      <c r="BA175" s="50"/>
      <c r="BB175" s="50"/>
      <c r="BC175" s="50"/>
      <c r="BD175" s="50"/>
      <c r="BE175" s="50"/>
      <c r="BF175" s="50"/>
    </row>
    <row r="176" spans="39:91" x14ac:dyDescent="0.2">
      <c r="AN176" s="4"/>
      <c r="AO176" s="4"/>
      <c r="AP176" s="4"/>
      <c r="AQ176" s="4"/>
      <c r="AR176" s="4"/>
      <c r="AS176" s="4"/>
      <c r="AT176" s="4"/>
      <c r="AU176" s="4"/>
      <c r="AW176" s="7"/>
      <c r="AZ176" s="50"/>
      <c r="BA176" s="50"/>
      <c r="BB176" s="50"/>
      <c r="BC176" s="50"/>
      <c r="BD176" s="50"/>
      <c r="BE176" s="50"/>
      <c r="BF176" s="50"/>
      <c r="BK176" s="2"/>
      <c r="BP176" s="2"/>
      <c r="BT176" s="2"/>
      <c r="BY176" s="2"/>
      <c r="CD176" s="2"/>
      <c r="CI176" s="2"/>
      <c r="CM176" s="2"/>
    </row>
    <row r="177" spans="39:93" x14ac:dyDescent="0.2">
      <c r="AM177" s="4"/>
      <c r="AN177" s="7"/>
      <c r="AO177" s="7"/>
      <c r="AP177" s="7"/>
      <c r="AQ177" s="7"/>
      <c r="AR177" s="6"/>
      <c r="AS177" s="6"/>
      <c r="AT177" s="6"/>
      <c r="AU177" s="6"/>
      <c r="AW177" s="7"/>
      <c r="AY177" s="7"/>
      <c r="AZ177" s="50"/>
      <c r="BA177" s="26"/>
      <c r="BB177" s="50"/>
      <c r="BC177" s="48"/>
      <c r="BD177" s="48"/>
      <c r="BE177" s="50"/>
      <c r="BF177" s="63"/>
      <c r="BK177" s="26"/>
      <c r="BL177" s="47"/>
      <c r="BM177" s="2"/>
      <c r="BP177" s="4"/>
      <c r="BQ177" s="47"/>
      <c r="BR177" s="2"/>
      <c r="BT177" s="4"/>
      <c r="BU177" s="47"/>
      <c r="BV177" s="2"/>
      <c r="BY177" s="4"/>
      <c r="BZ177" s="47"/>
      <c r="CA177" s="2"/>
      <c r="CD177" s="4"/>
      <c r="CE177" s="47"/>
      <c r="CF177" s="2"/>
      <c r="CI177" s="4"/>
      <c r="CJ177" s="47"/>
      <c r="CK177" s="2"/>
      <c r="CM177" s="4"/>
      <c r="CN177" s="47"/>
      <c r="CO177" s="2"/>
    </row>
    <row r="178" spans="39:93" x14ac:dyDescent="0.2">
      <c r="AM178" s="4"/>
      <c r="AN178" s="7"/>
      <c r="AO178" s="7"/>
      <c r="AP178" s="7"/>
      <c r="AQ178" s="7"/>
      <c r="AR178" s="6"/>
      <c r="AS178" s="6"/>
      <c r="AT178" s="6"/>
      <c r="AU178" s="6"/>
      <c r="AW178" s="7"/>
      <c r="AY178" s="7"/>
      <c r="AZ178" s="50"/>
      <c r="BA178" s="26"/>
      <c r="BB178" s="50"/>
      <c r="BC178" s="48"/>
      <c r="BD178" s="48"/>
      <c r="BE178" s="50"/>
      <c r="BF178" s="63"/>
      <c r="BK178" s="26"/>
      <c r="BL178" s="47"/>
      <c r="BM178" s="2"/>
      <c r="BP178" s="4"/>
      <c r="BQ178" s="47"/>
      <c r="BR178" s="2"/>
      <c r="BT178" s="4"/>
      <c r="BU178" s="47"/>
      <c r="BV178" s="2"/>
      <c r="BY178" s="4"/>
      <c r="BZ178" s="47"/>
      <c r="CA178" s="2"/>
      <c r="CD178" s="4"/>
      <c r="CE178" s="47"/>
      <c r="CF178" s="2"/>
      <c r="CI178" s="4"/>
      <c r="CJ178" s="47"/>
      <c r="CK178" s="2"/>
      <c r="CM178" s="4"/>
      <c r="CN178" s="47"/>
      <c r="CO178" s="2"/>
    </row>
    <row r="179" spans="39:93" x14ac:dyDescent="0.2">
      <c r="AM179" s="4"/>
      <c r="AN179" s="7"/>
      <c r="AO179" s="7"/>
      <c r="AP179" s="7"/>
      <c r="AQ179" s="7"/>
      <c r="AR179" s="6"/>
      <c r="AS179" s="6"/>
      <c r="AT179" s="6"/>
      <c r="AU179" s="6"/>
      <c r="AV179" s="4"/>
      <c r="AW179" s="7"/>
      <c r="AX179" s="4"/>
      <c r="AY179" s="7"/>
      <c r="AZ179" s="30"/>
      <c r="BA179" s="26"/>
      <c r="BB179" s="30"/>
      <c r="BC179" s="48"/>
      <c r="BD179" s="48"/>
      <c r="BE179" s="30"/>
      <c r="BF179" s="63"/>
      <c r="BK179" s="26"/>
      <c r="BL179" s="47"/>
      <c r="BM179" s="2"/>
      <c r="BP179" s="4"/>
      <c r="BQ179" s="47"/>
      <c r="BR179" s="2"/>
      <c r="BT179" s="4"/>
      <c r="BU179" s="47"/>
      <c r="BV179" s="2"/>
      <c r="BY179" s="4"/>
      <c r="BZ179" s="47"/>
      <c r="CA179" s="2"/>
      <c r="CD179" s="4"/>
      <c r="CE179" s="47"/>
      <c r="CF179" s="2"/>
      <c r="CI179" s="4"/>
      <c r="CJ179" s="47"/>
      <c r="CK179" s="2"/>
      <c r="CM179" s="4"/>
      <c r="CN179" s="47"/>
      <c r="CO179" s="2"/>
    </row>
    <row r="180" spans="39:93" x14ac:dyDescent="0.2">
      <c r="AM180" s="4"/>
      <c r="AN180" s="4"/>
      <c r="AO180" s="4"/>
      <c r="AP180" s="4"/>
      <c r="AQ180" s="4"/>
      <c r="AR180" s="7"/>
      <c r="AS180" s="7"/>
      <c r="AT180" s="7"/>
      <c r="AU180" s="7"/>
      <c r="AW180" s="7"/>
      <c r="AY180" s="7"/>
      <c r="AZ180" s="50"/>
      <c r="BA180" s="26"/>
      <c r="BB180" s="50"/>
      <c r="BC180" s="48"/>
      <c r="BD180" s="48"/>
      <c r="BE180" s="50"/>
      <c r="BF180" s="63"/>
      <c r="BK180" s="26"/>
      <c r="BL180" s="47"/>
      <c r="BM180" s="2"/>
      <c r="BP180" s="4"/>
      <c r="BQ180" s="47"/>
      <c r="BR180" s="2"/>
      <c r="BT180" s="4"/>
      <c r="BU180" s="47"/>
      <c r="BV180" s="2"/>
      <c r="BY180" s="4"/>
      <c r="BZ180" s="47"/>
      <c r="CA180" s="2"/>
      <c r="CD180" s="4"/>
      <c r="CE180" s="47"/>
      <c r="CF180" s="2"/>
      <c r="CI180" s="4"/>
      <c r="CJ180" s="47"/>
      <c r="CK180" s="2"/>
      <c r="CM180" s="4"/>
      <c r="CN180" s="47"/>
      <c r="CO180" s="2"/>
    </row>
    <row r="181" spans="39:93" x14ac:dyDescent="0.2">
      <c r="AM181" s="4"/>
      <c r="AN181" s="4"/>
      <c r="AO181" s="4"/>
      <c r="AP181" s="4"/>
      <c r="AQ181" s="4"/>
      <c r="AR181" s="7"/>
      <c r="AS181" s="7"/>
      <c r="AT181" s="7"/>
      <c r="AU181" s="7"/>
      <c r="AW181" s="7"/>
      <c r="AY181" s="7"/>
      <c r="AZ181" s="50"/>
      <c r="BA181" s="26"/>
      <c r="BB181" s="50"/>
      <c r="BC181" s="48"/>
      <c r="BD181" s="48"/>
      <c r="BE181" s="50"/>
      <c r="BF181" s="63"/>
      <c r="BK181" s="26"/>
      <c r="BL181" s="47"/>
      <c r="BM181" s="2"/>
      <c r="BP181" s="4"/>
      <c r="BQ181" s="47"/>
      <c r="BR181" s="2"/>
      <c r="BT181" s="4"/>
      <c r="BU181" s="47"/>
      <c r="BV181" s="2"/>
      <c r="BY181" s="4"/>
      <c r="BZ181" s="47"/>
      <c r="CA181" s="2"/>
      <c r="CD181" s="4"/>
      <c r="CE181" s="47"/>
      <c r="CF181" s="2"/>
      <c r="CI181" s="4"/>
      <c r="CJ181" s="47"/>
      <c r="CK181" s="2"/>
      <c r="CM181" s="4"/>
      <c r="CN181" s="47"/>
      <c r="CO181" s="2"/>
    </row>
    <row r="182" spans="39:93" x14ac:dyDescent="0.2">
      <c r="AM182" s="4"/>
      <c r="AN182" s="4"/>
      <c r="AO182" s="4"/>
      <c r="AP182" s="4"/>
      <c r="AQ182" s="4"/>
      <c r="AR182" s="7"/>
      <c r="AS182" s="7"/>
      <c r="AT182" s="7"/>
      <c r="AU182" s="7"/>
      <c r="AW182" s="7"/>
      <c r="AY182" s="7"/>
      <c r="AZ182" s="50"/>
      <c r="BA182" s="26"/>
      <c r="BB182" s="50"/>
      <c r="BC182" s="48"/>
      <c r="BD182" s="48"/>
      <c r="BE182" s="50"/>
      <c r="BF182" s="63"/>
      <c r="BK182" s="26"/>
      <c r="BL182" s="47"/>
      <c r="BM182" s="2"/>
      <c r="BP182" s="4"/>
      <c r="BQ182" s="47"/>
      <c r="BR182" s="2"/>
      <c r="BT182" s="4"/>
      <c r="BU182" s="47"/>
      <c r="BV182" s="2"/>
      <c r="BY182" s="4"/>
      <c r="BZ182" s="47"/>
      <c r="CA182" s="2"/>
      <c r="CD182" s="4"/>
      <c r="CE182" s="47"/>
      <c r="CF182" s="2"/>
      <c r="CI182" s="4"/>
      <c r="CJ182" s="47"/>
      <c r="CK182" s="2"/>
      <c r="CM182" s="4"/>
      <c r="CN182" s="47"/>
      <c r="CO182" s="2"/>
    </row>
    <row r="183" spans="39:93" x14ac:dyDescent="0.2">
      <c r="AW183" s="7"/>
      <c r="AZ183" s="50"/>
      <c r="BA183" s="50"/>
      <c r="BB183" s="50"/>
      <c r="BC183" s="50"/>
      <c r="BD183" s="50"/>
      <c r="BE183" s="50"/>
      <c r="BF183" s="50"/>
      <c r="BT183" s="47"/>
    </row>
    <row r="184" spans="39:93" x14ac:dyDescent="0.2">
      <c r="AW184" s="7"/>
      <c r="BE184" s="50"/>
      <c r="BF184" s="50"/>
    </row>
    <row r="185" spans="39:93" x14ac:dyDescent="0.2">
      <c r="AW185" s="7"/>
      <c r="AZ185" s="50"/>
      <c r="BA185" s="50"/>
      <c r="BB185" s="50"/>
      <c r="BC185" s="50"/>
      <c r="BD185" s="50"/>
      <c r="BE185" s="50"/>
      <c r="BF185" s="50"/>
      <c r="BK185" s="2"/>
      <c r="BR185" s="64"/>
    </row>
    <row r="186" spans="39:93" x14ac:dyDescent="0.2">
      <c r="AW186" s="7"/>
      <c r="BL186" s="56"/>
      <c r="BM186" s="2"/>
    </row>
    <row r="187" spans="39:93" x14ac:dyDescent="0.2">
      <c r="BL187" s="56"/>
      <c r="BM187" s="2"/>
    </row>
    <row r="190" spans="39:93" x14ac:dyDescent="0.2">
      <c r="BL190" s="56"/>
      <c r="BM190" s="2"/>
    </row>
    <row r="191" spans="39:93" x14ac:dyDescent="0.2">
      <c r="BL191" s="56"/>
      <c r="BM191" s="2"/>
    </row>
    <row r="192" spans="39:93" x14ac:dyDescent="0.2">
      <c r="BL192" s="56"/>
      <c r="BM192" s="2"/>
    </row>
    <row r="193" spans="64:65" x14ac:dyDescent="0.2">
      <c r="BL193" s="56"/>
      <c r="BM193" s="2"/>
    </row>
    <row r="195" spans="64:65" x14ac:dyDescent="0.2">
      <c r="BL195" s="56"/>
      <c r="BM195" s="2"/>
    </row>
    <row r="198" spans="64:65" x14ac:dyDescent="0.2">
      <c r="BL198" s="56"/>
      <c r="BM198" s="2"/>
    </row>
    <row r="199" spans="64:65" x14ac:dyDescent="0.2">
      <c r="BL199" s="56"/>
      <c r="BM199" s="2"/>
    </row>
    <row r="200" spans="64:65" x14ac:dyDescent="0.2">
      <c r="BL200" s="56"/>
      <c r="BM200" s="2"/>
    </row>
    <row r="201" spans="64:65" x14ac:dyDescent="0.2">
      <c r="BL201" s="56"/>
      <c r="BM201" s="2"/>
    </row>
    <row r="203" spans="64:65" x14ac:dyDescent="0.2">
      <c r="BL203" s="56"/>
      <c r="BM203" s="2"/>
    </row>
    <row r="206" spans="64:65" x14ac:dyDescent="0.2">
      <c r="BL206" s="56"/>
      <c r="BM206" s="2"/>
    </row>
    <row r="207" spans="64:65" x14ac:dyDescent="0.2">
      <c r="BL207" s="56"/>
      <c r="BM207" s="2"/>
    </row>
    <row r="208" spans="64:65" x14ac:dyDescent="0.2">
      <c r="BL208" s="56"/>
      <c r="BM208" s="2"/>
    </row>
    <row r="209" spans="58:65" x14ac:dyDescent="0.2">
      <c r="BL209" s="56"/>
      <c r="BM209" s="2"/>
    </row>
    <row r="219" spans="58:65" x14ac:dyDescent="0.2">
      <c r="BF219" s="50"/>
    </row>
    <row r="220" spans="58:65" x14ac:dyDescent="0.2">
      <c r="BF220" s="50"/>
    </row>
    <row r="221" spans="58:65" x14ac:dyDescent="0.2">
      <c r="BF221" s="50"/>
    </row>
    <row r="222" spans="58:65" x14ac:dyDescent="0.2">
      <c r="BF222" s="50"/>
    </row>
    <row r="223" spans="58:65" x14ac:dyDescent="0.2">
      <c r="BF223" s="50"/>
    </row>
    <row r="224" spans="58:65" x14ac:dyDescent="0.2">
      <c r="BF224" s="50"/>
    </row>
    <row r="225" spans="58:58" x14ac:dyDescent="0.2">
      <c r="BF225" s="50"/>
    </row>
    <row r="226" spans="58:58" x14ac:dyDescent="0.2">
      <c r="BF226" s="50"/>
    </row>
    <row r="227" spans="58:58" x14ac:dyDescent="0.2">
      <c r="BF227" s="50"/>
    </row>
  </sheetData>
  <phoneticPr fontId="14" type="noConversion"/>
  <conditionalFormatting sqref="M22:R27">
    <cfRule type="expression" dxfId="15" priority="6">
      <formula>ABS(M22)&lt;0.1</formula>
    </cfRule>
  </conditionalFormatting>
  <conditionalFormatting sqref="V22:V28 V31:V36">
    <cfRule type="expression" dxfId="14" priority="5">
      <formula>ABS(V22)&lt;0.1</formula>
    </cfRule>
  </conditionalFormatting>
  <conditionalFormatting sqref="BR166:BR168">
    <cfRule type="cellIs" dxfId="13" priority="7" operator="equal">
      <formula>"VIRHE!"</formula>
    </cfRule>
    <cfRule type="cellIs" dxfId="12" priority="8" operator="equal">
      <formula>"OK!"</formula>
    </cfRule>
  </conditionalFormatting>
  <conditionalFormatting sqref="M31:R36">
    <cfRule type="expression" dxfId="11" priority="4">
      <formula>ABS(M31)&lt;0.1</formula>
    </cfRule>
  </conditionalFormatting>
  <conditionalFormatting sqref="M39:R44">
    <cfRule type="expression" dxfId="10" priority="3">
      <formula>ABS(M39)&lt;0.1</formula>
    </cfRule>
  </conditionalFormatting>
  <conditionalFormatting sqref="M13:R18">
    <cfRule type="expression" dxfId="9" priority="2">
      <formula>ABS(M13)&lt;0.1</formula>
    </cfRule>
  </conditionalFormatting>
  <conditionalFormatting sqref="T13:Y18">
    <cfRule type="expression" dxfId="8" priority="1">
      <formula>ABS(T13)&lt;0.1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91F00-706C-4D97-B56A-53C9CBC5D9B4}">
  <dimension ref="B1:CW227"/>
  <sheetViews>
    <sheetView tabSelected="1" topLeftCell="A12" zoomScaleNormal="100" workbookViewId="0">
      <selection activeCell="P52" sqref="P52"/>
    </sheetView>
  </sheetViews>
  <sheetFormatPr defaultColWidth="9.140625" defaultRowHeight="12" x14ac:dyDescent="0.2"/>
  <cols>
    <col min="1" max="1" width="9.140625" style="1"/>
    <col min="2" max="4" width="9.28515625" style="1" bestFit="1" customWidth="1"/>
    <col min="5" max="5" width="9.42578125" style="1" bestFit="1" customWidth="1"/>
    <col min="6" max="7" width="9.28515625" style="1" bestFit="1" customWidth="1"/>
    <col min="8" max="8" width="9.140625" style="1"/>
    <col min="9" max="9" width="9.5703125" style="1" bestFit="1" customWidth="1"/>
    <col min="10" max="11" width="9.140625" style="1"/>
    <col min="12" max="12" width="9.7109375" style="1" bestFit="1" customWidth="1"/>
    <col min="13" max="13" width="12.42578125" style="1" bestFit="1" customWidth="1"/>
    <col min="14" max="14" width="9.28515625" style="1" bestFit="1" customWidth="1"/>
    <col min="15" max="15" width="9.42578125" style="1" bestFit="1" customWidth="1"/>
    <col min="16" max="16" width="10.42578125" style="1" bestFit="1" customWidth="1"/>
    <col min="17" max="17" width="9.28515625" style="1" bestFit="1" customWidth="1"/>
    <col min="18" max="18" width="9.140625" style="1"/>
    <col min="19" max="19" width="12.42578125" style="1" bestFit="1" customWidth="1"/>
    <col min="20" max="20" width="9.140625" style="1"/>
    <col min="21" max="21" width="12.42578125" style="1" bestFit="1" customWidth="1"/>
    <col min="22" max="22" width="11" style="1" bestFit="1" customWidth="1"/>
    <col min="23" max="23" width="10.42578125" style="1" bestFit="1" customWidth="1"/>
    <col min="24" max="24" width="12.42578125" style="1" bestFit="1" customWidth="1"/>
    <col min="25" max="25" width="9.42578125" style="1" bestFit="1" customWidth="1"/>
    <col min="26" max="27" width="9.28515625" style="1" bestFit="1" customWidth="1"/>
    <col min="28" max="28" width="9.140625" style="1"/>
    <col min="29" max="29" width="9.28515625" style="1" bestFit="1" customWidth="1"/>
    <col min="30" max="35" width="9.140625" style="1"/>
    <col min="36" max="36" width="9.28515625" style="1" bestFit="1" customWidth="1"/>
    <col min="37" max="37" width="11" style="1" bestFit="1" customWidth="1"/>
    <col min="38" max="38" width="11.140625" style="1" bestFit="1" customWidth="1"/>
    <col min="39" max="39" width="10.42578125" style="1" bestFit="1" customWidth="1"/>
    <col min="40" max="40" width="9.5703125" style="1" bestFit="1" customWidth="1"/>
    <col min="41" max="43" width="11" style="1" bestFit="1" customWidth="1"/>
    <col min="44" max="44" width="9.5703125" style="1" bestFit="1" customWidth="1"/>
    <col min="45" max="48" width="9.28515625" style="1" bestFit="1" customWidth="1"/>
    <col min="49" max="49" width="9.140625" style="1"/>
    <col min="50" max="53" width="9.28515625" style="1" bestFit="1" customWidth="1"/>
    <col min="54" max="54" width="12.42578125" style="1" bestFit="1" customWidth="1"/>
    <col min="55" max="55" width="9.28515625" style="1" bestFit="1" customWidth="1"/>
    <col min="56" max="56" width="11" style="1" bestFit="1" customWidth="1"/>
    <col min="57" max="62" width="9.28515625" style="1" bestFit="1" customWidth="1"/>
    <col min="63" max="16384" width="9.140625" style="1"/>
  </cols>
  <sheetData>
    <row r="1" spans="2:66" x14ac:dyDescent="0.2">
      <c r="B1" s="1" t="s">
        <v>34</v>
      </c>
    </row>
    <row r="3" spans="2:66" x14ac:dyDescent="0.2">
      <c r="B3" s="2" t="s">
        <v>13</v>
      </c>
      <c r="E3" s="23"/>
      <c r="F3" s="24"/>
      <c r="L3" s="2" t="s">
        <v>35</v>
      </c>
      <c r="Y3" s="24"/>
    </row>
    <row r="4" spans="2:66" x14ac:dyDescent="0.2">
      <c r="B4" s="1" t="s">
        <v>17</v>
      </c>
      <c r="E4" s="35">
        <v>45</v>
      </c>
      <c r="F4" s="1" t="s">
        <v>0</v>
      </c>
      <c r="L4" s="9"/>
      <c r="M4" s="78">
        <v>1</v>
      </c>
      <c r="N4" s="78">
        <v>2</v>
      </c>
      <c r="O4" s="78">
        <v>3</v>
      </c>
      <c r="P4" s="78">
        <v>4</v>
      </c>
      <c r="Q4" s="78">
        <v>5</v>
      </c>
      <c r="R4" s="78">
        <v>6</v>
      </c>
      <c r="S4" s="4"/>
      <c r="T4" s="4"/>
      <c r="U4" s="4"/>
      <c r="V4" s="4"/>
      <c r="W4" s="4"/>
      <c r="X4" s="4"/>
      <c r="Y4" s="25"/>
      <c r="AZ4" s="2"/>
    </row>
    <row r="5" spans="2:66" x14ac:dyDescent="0.2">
      <c r="B5" s="34" t="s">
        <v>19</v>
      </c>
      <c r="C5" s="25">
        <f>COS(RADIANS(E4))</f>
        <v>0.70710678118654757</v>
      </c>
      <c r="D5" s="34" t="s">
        <v>20</v>
      </c>
      <c r="E5" s="5">
        <f>SIN(RADIANS(E4))</f>
        <v>0.70710678118654746</v>
      </c>
      <c r="L5" s="78">
        <v>1</v>
      </c>
      <c r="M5" s="11">
        <f t="shared" ref="M5:R10" si="0">B20</f>
        <v>262664.06250000006</v>
      </c>
      <c r="N5" s="11">
        <f t="shared" si="0"/>
        <v>262335.9375</v>
      </c>
      <c r="O5" s="11">
        <f t="shared" si="0"/>
        <v>-464038.82515367179</v>
      </c>
      <c r="P5" s="11">
        <f t="shared" si="0"/>
        <v>-262664.06250000006</v>
      </c>
      <c r="Q5" s="11">
        <f t="shared" si="0"/>
        <v>-262335.9375</v>
      </c>
      <c r="R5" s="11">
        <f t="shared" si="0"/>
        <v>-464038.82515367179</v>
      </c>
      <c r="S5" s="7">
        <f>I20</f>
        <v>14142.13562373095</v>
      </c>
      <c r="T5" s="4"/>
      <c r="U5" s="4"/>
      <c r="V5" s="4"/>
      <c r="W5" s="4"/>
      <c r="X5" s="4"/>
      <c r="Y5" s="25"/>
      <c r="AW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</row>
    <row r="6" spans="2:66" x14ac:dyDescent="0.2">
      <c r="B6" s="1" t="s">
        <v>2</v>
      </c>
      <c r="E6" s="5">
        <v>4000</v>
      </c>
      <c r="F6" s="1" t="s">
        <v>3</v>
      </c>
      <c r="L6" s="78">
        <v>2</v>
      </c>
      <c r="M6" s="11">
        <f t="shared" si="0"/>
        <v>262335.9375</v>
      </c>
      <c r="N6" s="11">
        <f t="shared" si="0"/>
        <v>262664.06249999994</v>
      </c>
      <c r="O6" s="11">
        <f t="shared" si="0"/>
        <v>464038.82515367185</v>
      </c>
      <c r="P6" s="11">
        <f t="shared" si="0"/>
        <v>-262335.9375</v>
      </c>
      <c r="Q6" s="11">
        <f t="shared" si="0"/>
        <v>-262664.06249999994</v>
      </c>
      <c r="R6" s="11">
        <f t="shared" si="0"/>
        <v>464038.82515367185</v>
      </c>
      <c r="S6" s="7">
        <f>I21</f>
        <v>-14142.135623730952</v>
      </c>
      <c r="T6" s="4"/>
      <c r="U6" s="146"/>
      <c r="V6" s="4"/>
      <c r="W6" s="4"/>
      <c r="X6" s="4"/>
      <c r="Y6" s="25"/>
      <c r="AW6" s="4"/>
      <c r="AX6" s="3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</row>
    <row r="7" spans="2:66" ht="13.5" x14ac:dyDescent="0.2">
      <c r="B7" s="1" t="s">
        <v>21</v>
      </c>
      <c r="E7" s="13">
        <f>100*100</f>
        <v>10000</v>
      </c>
      <c r="F7" s="1" t="s">
        <v>4</v>
      </c>
      <c r="L7" s="78">
        <v>3</v>
      </c>
      <c r="M7" s="11">
        <f t="shared" si="0"/>
        <v>-464038.82515367179</v>
      </c>
      <c r="N7" s="11">
        <f t="shared" si="0"/>
        <v>464038.82515367185</v>
      </c>
      <c r="O7" s="11">
        <f t="shared" si="0"/>
        <v>1750000000</v>
      </c>
      <c r="P7" s="11">
        <f t="shared" si="0"/>
        <v>464038.82515367179</v>
      </c>
      <c r="Q7" s="11">
        <f t="shared" si="0"/>
        <v>-464038.82515367185</v>
      </c>
      <c r="R7" s="11">
        <f t="shared" si="0"/>
        <v>875000000</v>
      </c>
      <c r="S7" s="7">
        <f>I22</f>
        <v>-13333333.333333334</v>
      </c>
      <c r="T7" s="4"/>
      <c r="U7" s="4"/>
      <c r="V7" s="155"/>
      <c r="W7" s="4"/>
      <c r="X7" s="4"/>
      <c r="Y7" s="27"/>
      <c r="AW7" s="4"/>
      <c r="AX7" s="3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</row>
    <row r="8" spans="2:66" ht="13.5" x14ac:dyDescent="0.2">
      <c r="B8" s="1" t="s">
        <v>5</v>
      </c>
      <c r="E8" s="13">
        <f>100*100^3/12</f>
        <v>8333333.333333333</v>
      </c>
      <c r="F8" s="1" t="s">
        <v>6</v>
      </c>
      <c r="L8" s="78">
        <v>4</v>
      </c>
      <c r="M8" s="11">
        <f t="shared" si="0"/>
        <v>-262664.06250000006</v>
      </c>
      <c r="N8" s="11">
        <f t="shared" si="0"/>
        <v>-262335.9375</v>
      </c>
      <c r="O8" s="11">
        <f t="shared" si="0"/>
        <v>464038.82515367179</v>
      </c>
      <c r="P8" s="11">
        <f t="shared" si="0"/>
        <v>262664.06250000006</v>
      </c>
      <c r="Q8" s="11">
        <f t="shared" si="0"/>
        <v>262335.9375</v>
      </c>
      <c r="R8" s="11">
        <f t="shared" si="0"/>
        <v>464038.82515367179</v>
      </c>
      <c r="S8" s="7">
        <f>I23</f>
        <v>14142.13562373095</v>
      </c>
      <c r="T8" s="4"/>
      <c r="U8" s="4"/>
      <c r="V8" s="4"/>
      <c r="W8" s="4"/>
      <c r="X8" s="4"/>
      <c r="Y8" s="27"/>
      <c r="AW8" s="4"/>
      <c r="AX8" s="3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</row>
    <row r="9" spans="2:66" x14ac:dyDescent="0.2">
      <c r="B9" s="1" t="s">
        <v>7</v>
      </c>
      <c r="E9" s="13">
        <f>210*10^3</f>
        <v>210000</v>
      </c>
      <c r="F9" s="1" t="s">
        <v>24</v>
      </c>
      <c r="L9" s="78">
        <v>5</v>
      </c>
      <c r="M9" s="11">
        <f t="shared" si="0"/>
        <v>-262335.9375</v>
      </c>
      <c r="N9" s="11">
        <f t="shared" si="0"/>
        <v>-262664.06249999994</v>
      </c>
      <c r="O9" s="11">
        <f t="shared" si="0"/>
        <v>-464038.82515367185</v>
      </c>
      <c r="P9" s="11">
        <f t="shared" si="0"/>
        <v>262335.9375</v>
      </c>
      <c r="Q9" s="11">
        <f t="shared" si="0"/>
        <v>262664.06249999994</v>
      </c>
      <c r="R9" s="11">
        <f t="shared" si="0"/>
        <v>-464038.82515367185</v>
      </c>
      <c r="S9" s="7">
        <f>I24</f>
        <v>-14142.135623730952</v>
      </c>
      <c r="T9" s="4"/>
      <c r="U9" s="4"/>
      <c r="V9" s="4"/>
      <c r="W9" s="4"/>
      <c r="X9" s="4"/>
      <c r="Y9" s="27"/>
      <c r="AW9" s="4"/>
      <c r="AX9" s="3"/>
      <c r="AZ9" s="4"/>
      <c r="BA9" s="4"/>
      <c r="BB9" s="4"/>
      <c r="BC9" s="4"/>
      <c r="BD9" s="16"/>
      <c r="BE9" s="16"/>
      <c r="BF9" s="16"/>
      <c r="BG9" s="4"/>
      <c r="BH9" s="4"/>
      <c r="BI9" s="4"/>
      <c r="BJ9" s="16"/>
      <c r="BK9" s="16"/>
      <c r="BL9" s="16"/>
      <c r="BM9" s="16"/>
      <c r="BN9" s="3"/>
    </row>
    <row r="10" spans="2:66" x14ac:dyDescent="0.2">
      <c r="B10" s="1" t="s">
        <v>23</v>
      </c>
      <c r="E10" s="36">
        <f>E9*E7</f>
        <v>2100000000</v>
      </c>
      <c r="F10" s="1" t="s">
        <v>9</v>
      </c>
      <c r="L10" s="78">
        <v>6</v>
      </c>
      <c r="M10" s="11">
        <f t="shared" si="0"/>
        <v>-464038.82515367179</v>
      </c>
      <c r="N10" s="11">
        <f t="shared" si="0"/>
        <v>464038.82515367185</v>
      </c>
      <c r="O10" s="11">
        <f t="shared" si="0"/>
        <v>875000000</v>
      </c>
      <c r="P10" s="11">
        <f t="shared" si="0"/>
        <v>464038.82515367179</v>
      </c>
      <c r="Q10" s="11">
        <f t="shared" si="0"/>
        <v>-464038.82515367185</v>
      </c>
      <c r="R10" s="11">
        <f t="shared" si="0"/>
        <v>1750000000</v>
      </c>
      <c r="S10" s="7">
        <f>I25</f>
        <v>13333333.333333334</v>
      </c>
      <c r="T10" s="4"/>
      <c r="U10" s="4"/>
      <c r="V10" s="4"/>
      <c r="W10" s="4"/>
      <c r="X10" s="4"/>
      <c r="Y10" s="3"/>
      <c r="AW10" s="4"/>
      <c r="AX10" s="3"/>
      <c r="AZ10" s="4"/>
      <c r="BA10" s="4"/>
      <c r="BB10" s="4"/>
      <c r="BC10" s="4"/>
      <c r="BD10" s="16"/>
      <c r="BE10" s="16"/>
      <c r="BF10" s="16"/>
      <c r="BG10" s="4"/>
      <c r="BH10" s="4"/>
      <c r="BI10" s="4"/>
      <c r="BJ10" s="16"/>
      <c r="BK10" s="16"/>
      <c r="BL10" s="16"/>
      <c r="BM10" s="16"/>
    </row>
    <row r="11" spans="2:66" x14ac:dyDescent="0.2">
      <c r="B11" s="1" t="s">
        <v>22</v>
      </c>
      <c r="E11" s="36">
        <f>E9*E8</f>
        <v>1750000000000</v>
      </c>
      <c r="F11" s="1" t="s">
        <v>25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3"/>
      <c r="AW11" s="4"/>
      <c r="AX11" s="3"/>
      <c r="AZ11" s="4"/>
      <c r="BA11" s="4"/>
      <c r="BB11" s="4"/>
      <c r="BC11" s="4"/>
      <c r="BD11" s="16"/>
      <c r="BE11" s="16"/>
      <c r="BF11" s="16"/>
      <c r="BG11" s="4"/>
      <c r="BH11" s="4"/>
      <c r="BI11" s="4"/>
      <c r="BJ11" s="16"/>
      <c r="BK11" s="16"/>
      <c r="BL11" s="16"/>
      <c r="BM11" s="16"/>
    </row>
    <row r="12" spans="2:66" x14ac:dyDescent="0.2">
      <c r="L12" s="2" t="s">
        <v>115</v>
      </c>
      <c r="M12" s="4"/>
      <c r="N12" s="4" t="s">
        <v>117</v>
      </c>
      <c r="O12" s="162">
        <v>0</v>
      </c>
      <c r="P12" s="4" t="s">
        <v>118</v>
      </c>
      <c r="Q12" s="162">
        <v>90</v>
      </c>
      <c r="R12" s="4"/>
      <c r="S12" s="4"/>
      <c r="T12" s="2" t="s">
        <v>116</v>
      </c>
      <c r="U12" s="4"/>
      <c r="V12" s="4"/>
      <c r="W12" s="4"/>
      <c r="X12" s="4"/>
      <c r="AW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16"/>
    </row>
    <row r="13" spans="2:66" x14ac:dyDescent="0.2">
      <c r="B13" s="2" t="s">
        <v>14</v>
      </c>
      <c r="L13" s="78">
        <v>1</v>
      </c>
      <c r="M13" s="11">
        <f>COS(RADIANS(O12))</f>
        <v>1</v>
      </c>
      <c r="N13" s="11">
        <f>SIN(RADIANS(O12))</f>
        <v>0</v>
      </c>
      <c r="O13" s="11">
        <v>0</v>
      </c>
      <c r="P13" s="11">
        <v>0</v>
      </c>
      <c r="Q13" s="11">
        <v>0</v>
      </c>
      <c r="R13" s="11">
        <v>0</v>
      </c>
      <c r="S13" s="4"/>
      <c r="T13" s="11" cm="1">
        <f t="array" ref="T13:Y18">TRANSPOSE(M13:R18)</f>
        <v>1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AW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</row>
    <row r="14" spans="2:66" x14ac:dyDescent="0.2">
      <c r="B14" s="1" t="s">
        <v>11</v>
      </c>
      <c r="E14" s="14">
        <v>0</v>
      </c>
      <c r="F14" s="1" t="s">
        <v>56</v>
      </c>
      <c r="L14" s="78">
        <v>2</v>
      </c>
      <c r="M14" s="11">
        <f>-SIN(RADIANS(O12))</f>
        <v>0</v>
      </c>
      <c r="N14" s="11">
        <f>COS(RADIANS(O12))</f>
        <v>1</v>
      </c>
      <c r="O14" s="11">
        <v>0</v>
      </c>
      <c r="P14" s="11">
        <v>0</v>
      </c>
      <c r="Q14" s="11">
        <v>0</v>
      </c>
      <c r="R14" s="11">
        <v>0</v>
      </c>
      <c r="S14" s="4"/>
      <c r="T14" s="11">
        <v>0</v>
      </c>
      <c r="U14" s="11">
        <v>1</v>
      </c>
      <c r="V14" s="11">
        <v>0</v>
      </c>
      <c r="W14" s="11">
        <v>0</v>
      </c>
      <c r="X14" s="11">
        <v>0</v>
      </c>
      <c r="Y14" s="11">
        <v>0</v>
      </c>
      <c r="AW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</row>
    <row r="15" spans="2:66" x14ac:dyDescent="0.2">
      <c r="B15" s="1" t="s">
        <v>18</v>
      </c>
      <c r="E15" s="14">
        <v>10</v>
      </c>
      <c r="F15" s="1" t="s">
        <v>56</v>
      </c>
      <c r="L15" s="78">
        <v>3</v>
      </c>
      <c r="M15" s="11">
        <v>0</v>
      </c>
      <c r="N15" s="11">
        <v>0</v>
      </c>
      <c r="O15" s="11">
        <v>1</v>
      </c>
      <c r="P15" s="11">
        <v>0</v>
      </c>
      <c r="Q15" s="11">
        <v>0</v>
      </c>
      <c r="R15" s="11">
        <v>0</v>
      </c>
      <c r="S15" s="4"/>
      <c r="T15" s="11">
        <v>0</v>
      </c>
      <c r="U15" s="11">
        <v>0</v>
      </c>
      <c r="V15" s="11">
        <v>1</v>
      </c>
      <c r="W15" s="11">
        <v>0</v>
      </c>
      <c r="X15" s="11">
        <v>0</v>
      </c>
      <c r="Y15" s="11">
        <v>0</v>
      </c>
      <c r="AW15" s="4"/>
      <c r="AX15" s="12"/>
      <c r="AZ15" s="4"/>
      <c r="BA15" s="4"/>
      <c r="BB15" s="4"/>
      <c r="BC15" s="4"/>
      <c r="BD15" s="16"/>
      <c r="BE15" s="16"/>
      <c r="BF15" s="16"/>
      <c r="BG15" s="4"/>
      <c r="BH15" s="4"/>
      <c r="BI15" s="4"/>
      <c r="BJ15" s="16"/>
      <c r="BK15" s="16"/>
      <c r="BL15" s="16"/>
      <c r="BM15" s="16"/>
      <c r="BN15" s="16"/>
    </row>
    <row r="16" spans="2:66" x14ac:dyDescent="0.2">
      <c r="E16" s="3"/>
      <c r="L16" s="78">
        <v>4</v>
      </c>
      <c r="M16" s="11">
        <v>0</v>
      </c>
      <c r="N16" s="11">
        <v>0</v>
      </c>
      <c r="O16" s="11">
        <v>0</v>
      </c>
      <c r="P16" s="11">
        <f>COS(RADIANS(Q12))</f>
        <v>6.1257422745431001E-17</v>
      </c>
      <c r="Q16" s="11">
        <f>SIN(RADIANS(Q12))</f>
        <v>1</v>
      </c>
      <c r="R16" s="11">
        <v>0</v>
      </c>
      <c r="T16" s="11">
        <v>0</v>
      </c>
      <c r="U16" s="11">
        <v>0</v>
      </c>
      <c r="V16" s="11">
        <v>0</v>
      </c>
      <c r="W16" s="11">
        <v>6.1257422745431001E-17</v>
      </c>
      <c r="X16" s="11">
        <v>-1</v>
      </c>
      <c r="Y16" s="11">
        <v>0</v>
      </c>
      <c r="AW16" s="4"/>
      <c r="AX16" s="12"/>
      <c r="AZ16" s="4"/>
      <c r="BA16" s="4"/>
      <c r="BB16" s="4"/>
      <c r="BC16" s="4"/>
      <c r="BD16" s="16"/>
      <c r="BE16" s="16"/>
      <c r="BF16" s="16"/>
      <c r="BG16" s="4"/>
      <c r="BH16" s="4"/>
      <c r="BI16" s="4"/>
      <c r="BJ16" s="16"/>
      <c r="BK16" s="16"/>
      <c r="BL16" s="16"/>
      <c r="BM16" s="16"/>
      <c r="BN16" s="12"/>
    </row>
    <row r="17" spans="2:66" x14ac:dyDescent="0.2">
      <c r="L17" s="78">
        <v>5</v>
      </c>
      <c r="M17" s="11">
        <v>0</v>
      </c>
      <c r="N17" s="11">
        <v>0</v>
      </c>
      <c r="O17" s="11">
        <v>0</v>
      </c>
      <c r="P17" s="11">
        <f>-SIN(RADIANS(Q12))</f>
        <v>-1</v>
      </c>
      <c r="Q17" s="11">
        <f>COS(RADIANS(Q12))</f>
        <v>6.1257422745431001E-17</v>
      </c>
      <c r="R17" s="11">
        <v>0</v>
      </c>
      <c r="T17" s="11">
        <v>0</v>
      </c>
      <c r="U17" s="11">
        <v>0</v>
      </c>
      <c r="V17" s="11">
        <v>0</v>
      </c>
      <c r="W17" s="11">
        <v>1</v>
      </c>
      <c r="X17" s="11">
        <v>6.1257422745431001E-17</v>
      </c>
      <c r="Y17" s="11">
        <v>0</v>
      </c>
      <c r="AW17" s="4"/>
      <c r="AX17" s="12"/>
      <c r="AZ17" s="4"/>
      <c r="BA17" s="4"/>
      <c r="BB17" s="4"/>
      <c r="BC17" s="4"/>
      <c r="BD17" s="16"/>
      <c r="BE17" s="16"/>
      <c r="BF17" s="16"/>
      <c r="BG17" s="4"/>
      <c r="BH17" s="4"/>
      <c r="BI17" s="4"/>
      <c r="BJ17" s="16"/>
      <c r="BK17" s="16"/>
      <c r="BL17" s="16"/>
      <c r="BM17" s="16"/>
      <c r="BN17" s="12"/>
    </row>
    <row r="18" spans="2:66" x14ac:dyDescent="0.2">
      <c r="L18" s="78">
        <v>6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1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1</v>
      </c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Z18" s="4"/>
      <c r="BA18" s="4"/>
      <c r="BB18" s="4"/>
      <c r="BC18" s="4"/>
      <c r="BD18" s="16"/>
      <c r="BE18" s="16"/>
      <c r="BF18" s="4"/>
      <c r="BG18" s="16"/>
      <c r="BH18" s="4"/>
      <c r="BI18" s="4"/>
      <c r="BJ18" s="4"/>
      <c r="BK18" s="16"/>
      <c r="BL18" s="16"/>
      <c r="BM18" s="4"/>
      <c r="BN18" s="16"/>
    </row>
    <row r="19" spans="2:66" x14ac:dyDescent="0.2">
      <c r="B19" s="2" t="s">
        <v>26</v>
      </c>
      <c r="I19" s="2" t="s">
        <v>32</v>
      </c>
      <c r="AC19" s="2"/>
      <c r="AM19" s="4"/>
      <c r="AN19" s="7"/>
      <c r="AO19" s="4"/>
      <c r="AP19" s="4"/>
      <c r="AQ19" s="4"/>
      <c r="AR19" s="4"/>
      <c r="AS19" s="4"/>
      <c r="AT19" s="4"/>
      <c r="AU19" s="7"/>
      <c r="AV19" s="4"/>
      <c r="AW19" s="4"/>
      <c r="AX19" s="4"/>
      <c r="AZ19" s="4"/>
      <c r="BA19" s="4"/>
      <c r="BB19" s="4"/>
      <c r="BC19" s="4"/>
      <c r="BD19" s="16"/>
      <c r="BE19" s="16"/>
      <c r="BF19" s="4"/>
      <c r="BG19" s="16"/>
      <c r="BH19" s="4"/>
      <c r="BI19" s="4"/>
      <c r="BJ19" s="4"/>
      <c r="BK19" s="16"/>
      <c r="BL19" s="16"/>
      <c r="BM19" s="4"/>
      <c r="BN19" s="16"/>
    </row>
    <row r="20" spans="2:66" x14ac:dyDescent="0.2">
      <c r="B20" s="37">
        <f t="shared" ref="B20:G25" si="1">$B36*B$45+$C36*B$46+$D36*B$47+$E36*B$48+$F36*B$49+$G36*B$50</f>
        <v>262664.06250000006</v>
      </c>
      <c r="C20" s="37">
        <f t="shared" si="1"/>
        <v>262335.9375</v>
      </c>
      <c r="D20" s="37">
        <f t="shared" si="1"/>
        <v>-464038.82515367179</v>
      </c>
      <c r="E20" s="37">
        <f t="shared" si="1"/>
        <v>-262664.06250000006</v>
      </c>
      <c r="F20" s="37">
        <f t="shared" si="1"/>
        <v>-262335.9375</v>
      </c>
      <c r="G20" s="37">
        <f t="shared" si="1"/>
        <v>-464038.82515367179</v>
      </c>
      <c r="I20" s="151">
        <f>B54*I28+C54*I29+D54*I30+E54*I31+F54*I32+G54*I33</f>
        <v>14142.13562373095</v>
      </c>
      <c r="L20" s="2" t="s">
        <v>36</v>
      </c>
      <c r="S20" s="4"/>
      <c r="T20" s="4"/>
      <c r="U20" s="4"/>
      <c r="V20" s="4"/>
      <c r="W20" s="4"/>
      <c r="X20" s="4"/>
      <c r="Y20" s="3"/>
      <c r="AJ20" s="2"/>
    </row>
    <row r="21" spans="2:66" x14ac:dyDescent="0.2">
      <c r="B21" s="37">
        <f t="shared" si="1"/>
        <v>262335.9375</v>
      </c>
      <c r="C21" s="37">
        <f t="shared" si="1"/>
        <v>262664.06249999994</v>
      </c>
      <c r="D21" s="37">
        <f t="shared" si="1"/>
        <v>464038.82515367185</v>
      </c>
      <c r="E21" s="37">
        <f t="shared" si="1"/>
        <v>-262335.9375</v>
      </c>
      <c r="F21" s="37">
        <f t="shared" si="1"/>
        <v>-262664.06249999994</v>
      </c>
      <c r="G21" s="37">
        <f t="shared" si="1"/>
        <v>464038.82515367185</v>
      </c>
      <c r="I21" s="151">
        <f>B55*I28+C55*I29+D55*I30+E55*I31+F55*I32+G55*I33</f>
        <v>-14142.135623730952</v>
      </c>
      <c r="L21" s="9"/>
      <c r="M21" s="78">
        <v>1</v>
      </c>
      <c r="N21" s="78">
        <v>2</v>
      </c>
      <c r="O21" s="78">
        <v>3</v>
      </c>
      <c r="P21" s="78">
        <v>4</v>
      </c>
      <c r="Q21" s="78">
        <v>5</v>
      </c>
      <c r="R21" s="78">
        <v>6</v>
      </c>
      <c r="S21" s="4" t="s">
        <v>1</v>
      </c>
      <c r="T21" s="9" t="s">
        <v>39</v>
      </c>
      <c r="U21" s="4" t="s">
        <v>49</v>
      </c>
      <c r="V21" s="9" t="s">
        <v>50</v>
      </c>
      <c r="X21" s="9" t="s">
        <v>39</v>
      </c>
      <c r="Y21" s="80"/>
      <c r="Z21" s="80" t="s">
        <v>88</v>
      </c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</row>
    <row r="22" spans="2:66" x14ac:dyDescent="0.2">
      <c r="B22" s="37">
        <f t="shared" si="1"/>
        <v>-464038.82515367179</v>
      </c>
      <c r="C22" s="37">
        <f t="shared" si="1"/>
        <v>464038.82515367185</v>
      </c>
      <c r="D22" s="37">
        <f t="shared" si="1"/>
        <v>1750000000</v>
      </c>
      <c r="E22" s="37">
        <f t="shared" si="1"/>
        <v>464038.82515367179</v>
      </c>
      <c r="F22" s="37">
        <f t="shared" si="1"/>
        <v>-464038.82515367185</v>
      </c>
      <c r="G22" s="37">
        <f>-1*$B38*G$45+$C38*G$46+$D38*G$47+$E38*G$48+$F38*G$49+$G38*G$50</f>
        <v>875000000</v>
      </c>
      <c r="I22" s="151">
        <f>B56*I28+C56*I29+D56*I30+E56*I31+F56*I32+G56*I33</f>
        <v>-13333333.333333334</v>
      </c>
      <c r="L22" s="78">
        <v>1</v>
      </c>
      <c r="M22" s="11">
        <f>(M5+BA6+AK22)</f>
        <v>262664.06250000006</v>
      </c>
      <c r="N22" s="11">
        <f>(N5+BB6+AL22)</f>
        <v>262335.9375</v>
      </c>
      <c r="O22" s="11">
        <f>O5+BC6+AM22</f>
        <v>-464038.82515367179</v>
      </c>
      <c r="P22" s="11">
        <f>P5+BD6+AN22</f>
        <v>-262664.06250000006</v>
      </c>
      <c r="Q22" s="11">
        <f>Q5+BE6+AO22</f>
        <v>-262335.9375</v>
      </c>
      <c r="R22" s="11">
        <f>R5+BF6+AP22</f>
        <v>-464038.82515367179</v>
      </c>
      <c r="T22" s="4">
        <v>0</v>
      </c>
      <c r="V22" s="3">
        <f>S5</f>
        <v>14142.13562373095</v>
      </c>
      <c r="W22" s="144" t="s">
        <v>52</v>
      </c>
      <c r="X22" s="153" cm="1">
        <f t="array" ref="X22:X24">T22:T24</f>
        <v>0</v>
      </c>
      <c r="Y22" s="4"/>
      <c r="Z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</row>
    <row r="23" spans="2:66" x14ac:dyDescent="0.2">
      <c r="B23" s="37">
        <f t="shared" si="1"/>
        <v>-262664.06250000006</v>
      </c>
      <c r="C23" s="37">
        <f t="shared" si="1"/>
        <v>-262335.9375</v>
      </c>
      <c r="D23" s="37">
        <f t="shared" si="1"/>
        <v>464038.82515367179</v>
      </c>
      <c r="E23" s="37">
        <f t="shared" si="1"/>
        <v>262664.06250000006</v>
      </c>
      <c r="F23" s="37">
        <f t="shared" si="1"/>
        <v>262335.9375</v>
      </c>
      <c r="G23" s="37">
        <f>$B39*G$45+$C39*G$46+$D39*G$47+$E39*G$48+$F39*G$49+$G39*G$50</f>
        <v>464038.82515367179</v>
      </c>
      <c r="I23" s="151">
        <f>B57*I28+C57*I29+D57*I30+E57*I31+F57*I32+G57*I33</f>
        <v>14142.13562373095</v>
      </c>
      <c r="L23" s="78">
        <v>2</v>
      </c>
      <c r="M23" s="11">
        <f>(M6+BA7+AK23)</f>
        <v>262335.9375</v>
      </c>
      <c r="N23" s="11">
        <f>(N6+BB7+AL23)</f>
        <v>262664.06249999994</v>
      </c>
      <c r="O23" s="11">
        <f>O6+BC7+AM23</f>
        <v>464038.82515367185</v>
      </c>
      <c r="P23" s="11">
        <f>P6+BD7+AN23</f>
        <v>-262335.9375</v>
      </c>
      <c r="Q23" s="11">
        <f>Q6+BE7+AO23</f>
        <v>-262664.06249999994</v>
      </c>
      <c r="R23" s="11">
        <f>R6+BF7+AP23</f>
        <v>464038.82515367185</v>
      </c>
      <c r="T23" s="4">
        <v>0</v>
      </c>
      <c r="V23" s="3">
        <f>S6</f>
        <v>-14142.135623730952</v>
      </c>
      <c r="W23" s="144" t="s">
        <v>51</v>
      </c>
      <c r="X23" s="153">
        <v>0</v>
      </c>
      <c r="Y23" s="154"/>
      <c r="Z23" s="156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</row>
    <row r="24" spans="2:66" x14ac:dyDescent="0.2">
      <c r="B24" s="37">
        <f t="shared" si="1"/>
        <v>-262335.9375</v>
      </c>
      <c r="C24" s="37">
        <f t="shared" si="1"/>
        <v>-262664.06249999994</v>
      </c>
      <c r="D24" s="37">
        <f t="shared" si="1"/>
        <v>-464038.82515367185</v>
      </c>
      <c r="E24" s="37">
        <f t="shared" si="1"/>
        <v>262335.9375</v>
      </c>
      <c r="F24" s="37">
        <f t="shared" si="1"/>
        <v>262664.06249999994</v>
      </c>
      <c r="G24" s="37">
        <f>$B40*G$45+$C40*G$46+$D40*G$47+$E40*G$48+$F40*G$49+$G40*G$50</f>
        <v>-464038.82515367185</v>
      </c>
      <c r="I24" s="151">
        <f>B58*I28+C58*I29+D58*I30+E58*I31+F58*I32+G58*I33</f>
        <v>-14142.135623730952</v>
      </c>
      <c r="L24" s="78">
        <v>3</v>
      </c>
      <c r="M24" s="11">
        <f>M7+BA8+AK24</f>
        <v>-464038.82515367179</v>
      </c>
      <c r="N24" s="11">
        <f>N7+BB8+AL24</f>
        <v>464038.82515367185</v>
      </c>
      <c r="O24" s="11">
        <f>O7+BC8+AM24</f>
        <v>1750000000</v>
      </c>
      <c r="P24" s="11">
        <f>P7+BD8+AN24</f>
        <v>464038.82515367179</v>
      </c>
      <c r="Q24" s="11">
        <f>Q7+BE8+AO24</f>
        <v>-464038.82515367185</v>
      </c>
      <c r="R24" s="11">
        <f>R7+BF8+AP24</f>
        <v>875000000</v>
      </c>
      <c r="T24" s="4">
        <v>0</v>
      </c>
      <c r="V24" s="3">
        <f>S7</f>
        <v>-13333333.333333334</v>
      </c>
      <c r="X24" s="153">
        <v>0</v>
      </c>
      <c r="Y24" s="154"/>
      <c r="Z24" s="156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</row>
    <row r="25" spans="2:66" x14ac:dyDescent="0.2">
      <c r="B25" s="37">
        <f t="shared" si="1"/>
        <v>-464038.82515367179</v>
      </c>
      <c r="C25" s="37">
        <f t="shared" si="1"/>
        <v>464038.82515367185</v>
      </c>
      <c r="D25" s="37">
        <f t="shared" si="1"/>
        <v>875000000</v>
      </c>
      <c r="E25" s="37">
        <f t="shared" si="1"/>
        <v>464038.82515367179</v>
      </c>
      <c r="F25" s="37">
        <f t="shared" si="1"/>
        <v>-464038.82515367185</v>
      </c>
      <c r="G25" s="37">
        <f>$B41*G$45+$C41*G$46+$D41*G$47+$E41*G$48+$F41*G$49+$G41*G$50</f>
        <v>1750000000</v>
      </c>
      <c r="I25" s="151">
        <f>B59*I28+C59*I29+D59*I30+E59*I31+F59*I32+G59*I33</f>
        <v>13333333.333333334</v>
      </c>
      <c r="K25" s="2"/>
      <c r="L25" s="78">
        <v>4</v>
      </c>
      <c r="M25" s="11">
        <f>M8+BA9+AK25</f>
        <v>-262664.06250000006</v>
      </c>
      <c r="N25" s="11">
        <f>N8+BB9+AL25</f>
        <v>-262335.9375</v>
      </c>
      <c r="O25" s="11">
        <f>O8+BC9+AM25</f>
        <v>464038.82515367179</v>
      </c>
      <c r="P25" s="18">
        <f>(P8+BD9+AN25)</f>
        <v>262664.06250000006</v>
      </c>
      <c r="Q25" s="18">
        <f>(Q8+BE9+AO25)</f>
        <v>262335.9375</v>
      </c>
      <c r="R25" s="18">
        <f>R8+BF9+AP25</f>
        <v>464038.82515367179</v>
      </c>
      <c r="T25" s="4">
        <v>0</v>
      </c>
      <c r="V25" s="3">
        <f>S8</f>
        <v>14142.13562373095</v>
      </c>
      <c r="W25" s="144" t="s">
        <v>111</v>
      </c>
      <c r="X25" s="153">
        <f>U66</f>
        <v>3.611727685778339E-2</v>
      </c>
      <c r="Y25" s="154"/>
      <c r="Z25" s="156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</row>
    <row r="26" spans="2:66" x14ac:dyDescent="0.2">
      <c r="I26" s="3"/>
      <c r="L26" s="78">
        <v>5</v>
      </c>
      <c r="M26" s="11">
        <f>M9+BA10+AK26</f>
        <v>-262335.9375</v>
      </c>
      <c r="N26" s="11">
        <f>N9+BB10+AL26</f>
        <v>-262664.06249999994</v>
      </c>
      <c r="O26" s="11">
        <f>O9+BC10+AM26</f>
        <v>-464038.82515367185</v>
      </c>
      <c r="P26" s="18">
        <f>(P9+BD10+AN26)</f>
        <v>262335.9375</v>
      </c>
      <c r="Q26" s="18">
        <f>(Q9+BE10+AO26)</f>
        <v>262664.06249999994</v>
      </c>
      <c r="R26" s="18">
        <f>R9+BF10+AP26</f>
        <v>-464038.82515367185</v>
      </c>
      <c r="T26" s="4" t="s">
        <v>96</v>
      </c>
      <c r="V26" s="3">
        <f>S9</f>
        <v>-14142.135623730952</v>
      </c>
      <c r="W26" s="144" t="s">
        <v>112</v>
      </c>
      <c r="X26" s="153">
        <f>U67</f>
        <v>-2.4747869728958443E-18</v>
      </c>
      <c r="Y26" s="80"/>
      <c r="Z26" s="80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Y26" s="2"/>
    </row>
    <row r="27" spans="2:66" x14ac:dyDescent="0.2">
      <c r="B27" s="2" t="s">
        <v>27</v>
      </c>
      <c r="I27" s="143" t="s">
        <v>31</v>
      </c>
      <c r="L27" s="78">
        <v>6</v>
      </c>
      <c r="M27" s="11">
        <f>M10+BA11+AK27</f>
        <v>-464038.82515367179</v>
      </c>
      <c r="N27" s="11">
        <f>N10+BB11+AL27</f>
        <v>464038.82515367185</v>
      </c>
      <c r="O27" s="11">
        <f>O10+BC11+AM27</f>
        <v>875000000</v>
      </c>
      <c r="P27" s="18">
        <f>P10+BD11+AN27</f>
        <v>464038.82515367179</v>
      </c>
      <c r="Q27" s="18">
        <f>Q10+BE11+AO27</f>
        <v>-464038.82515367185</v>
      </c>
      <c r="R27" s="18">
        <f>R10+BF11+AP27</f>
        <v>1750000000</v>
      </c>
      <c r="T27" s="4" t="s">
        <v>110</v>
      </c>
      <c r="V27" s="3">
        <f>S10</f>
        <v>13333333.333333334</v>
      </c>
      <c r="X27" s="157">
        <f>U60</f>
        <v>7.6083350071789388E-3</v>
      </c>
      <c r="Y27" s="154"/>
      <c r="Z27" s="156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Y27" s="2"/>
    </row>
    <row r="28" spans="2:66" x14ac:dyDescent="0.2">
      <c r="B28" s="38">
        <f>$E$10/E6</f>
        <v>525000</v>
      </c>
      <c r="C28" s="39">
        <v>0</v>
      </c>
      <c r="D28" s="39">
        <v>0</v>
      </c>
      <c r="E28" s="38">
        <f>-$E$10/E6</f>
        <v>-525000</v>
      </c>
      <c r="F28" s="39">
        <v>0</v>
      </c>
      <c r="G28" s="39">
        <v>0</v>
      </c>
      <c r="I28" s="38">
        <f>-E6/2*E15*I38</f>
        <v>1.22514845490862E-12</v>
      </c>
      <c r="T28" s="4"/>
      <c r="V28" s="3"/>
      <c r="W28" s="144"/>
      <c r="X28" s="153"/>
      <c r="Y28" s="154"/>
      <c r="Z28" s="156"/>
      <c r="AJ28" s="4"/>
      <c r="AK28" s="4"/>
      <c r="AL28" s="4"/>
      <c r="AM28" s="4"/>
      <c r="AN28" s="4"/>
      <c r="AO28" s="4"/>
      <c r="AP28" s="4"/>
      <c r="AQ28" s="16"/>
      <c r="AR28" s="16"/>
      <c r="AS28" s="16"/>
      <c r="AT28" s="16"/>
      <c r="AU28" s="16"/>
      <c r="AV28" s="16"/>
      <c r="AW28" s="4"/>
      <c r="AX28" s="3"/>
      <c r="AY28" s="8"/>
    </row>
    <row r="29" spans="2:66" x14ac:dyDescent="0.2">
      <c r="B29" s="39">
        <v>0</v>
      </c>
      <c r="C29" s="38">
        <f>(12*$E$11)/$E$6^3</f>
        <v>328.125</v>
      </c>
      <c r="D29" s="38">
        <f>(6*$E$11)/$E$6^2</f>
        <v>656250</v>
      </c>
      <c r="E29" s="39">
        <v>0</v>
      </c>
      <c r="F29" s="38">
        <f>-(12*$E$11)/$E$6^3</f>
        <v>-328.125</v>
      </c>
      <c r="G29" s="38">
        <f>(6*$E$11)/$E$6^2</f>
        <v>656250</v>
      </c>
      <c r="I29" s="38">
        <f>-E6/2*E15*I39</f>
        <v>-20000</v>
      </c>
      <c r="L29" s="2" t="s">
        <v>119</v>
      </c>
      <c r="T29" s="4"/>
      <c r="V29" s="9" t="s">
        <v>123</v>
      </c>
      <c r="W29" s="144"/>
      <c r="X29" s="153"/>
      <c r="Y29" s="155"/>
      <c r="Z29" s="4"/>
      <c r="AJ29" s="4"/>
      <c r="AK29" s="4"/>
      <c r="AL29" s="4"/>
      <c r="AM29" s="4"/>
      <c r="AN29" s="4"/>
      <c r="AO29" s="4"/>
      <c r="AP29" s="4"/>
      <c r="AQ29" s="16"/>
      <c r="AR29" s="16"/>
      <c r="AS29" s="16"/>
      <c r="AT29" s="16"/>
      <c r="AU29" s="16"/>
      <c r="AV29" s="16"/>
      <c r="AW29" s="4"/>
      <c r="AX29" s="3"/>
      <c r="AY29" s="10"/>
    </row>
    <row r="30" spans="2:66" x14ac:dyDescent="0.2">
      <c r="B30" s="39">
        <v>0</v>
      </c>
      <c r="C30" s="38">
        <f>(6*$E$11)/$E$6^2</f>
        <v>656250</v>
      </c>
      <c r="D30" s="38">
        <f>4*$E$11/$E$6</f>
        <v>1750000000</v>
      </c>
      <c r="E30" s="39">
        <v>0</v>
      </c>
      <c r="F30" s="38">
        <f>-(6*$E$11)/$E$6^2</f>
        <v>-656250</v>
      </c>
      <c r="G30" s="38">
        <f>2*$E$11/$E$6</f>
        <v>875000000</v>
      </c>
      <c r="I30" s="38">
        <f>-1*(E15*E6^2)/12*I39</f>
        <v>-13333333.333333334</v>
      </c>
      <c r="L30" s="9"/>
      <c r="M30" s="78">
        <v>1</v>
      </c>
      <c r="N30" s="78">
        <v>2</v>
      </c>
      <c r="O30" s="78">
        <v>3</v>
      </c>
      <c r="P30" s="78">
        <v>4</v>
      </c>
      <c r="Q30" s="78">
        <v>5</v>
      </c>
      <c r="R30" s="78">
        <v>6</v>
      </c>
      <c r="T30" s="4"/>
      <c r="V30" s="9" t="s">
        <v>50</v>
      </c>
      <c r="X30" s="153"/>
      <c r="Y30" s="154"/>
      <c r="Z30" s="156"/>
      <c r="AA30" s="4"/>
      <c r="AJ30" s="4"/>
      <c r="AK30" s="4"/>
      <c r="AL30" s="4"/>
      <c r="AM30" s="4"/>
      <c r="AN30" s="4"/>
      <c r="AO30" s="4"/>
      <c r="AP30" s="4"/>
      <c r="AQ30" s="16"/>
      <c r="AR30" s="16"/>
      <c r="AS30" s="16"/>
      <c r="AT30" s="16"/>
      <c r="AU30" s="16"/>
      <c r="AV30" s="16"/>
      <c r="AW30" s="4"/>
      <c r="AX30" s="3"/>
      <c r="AY30" s="8"/>
    </row>
    <row r="31" spans="2:66" x14ac:dyDescent="0.2">
      <c r="B31" s="38">
        <f>-$E$10/E6</f>
        <v>-525000</v>
      </c>
      <c r="C31" s="39">
        <v>0</v>
      </c>
      <c r="D31" s="39">
        <v>0</v>
      </c>
      <c r="E31" s="38">
        <f>$E$10/E6</f>
        <v>525000</v>
      </c>
      <c r="F31" s="39">
        <v>0</v>
      </c>
      <c r="G31" s="39">
        <v>0</v>
      </c>
      <c r="I31" s="38">
        <f>-E6/2*E15*I38</f>
        <v>1.22514845490862E-12</v>
      </c>
      <c r="L31" s="78">
        <v>1</v>
      </c>
      <c r="M31" s="11" cm="1">
        <f t="array" ref="M31:R36">MMULT(M22:R27,_xlfn.ANCHORARRAY(T13))</f>
        <v>262664.06250000006</v>
      </c>
      <c r="N31" s="11">
        <v>262335.9375</v>
      </c>
      <c r="O31" s="11">
        <v>-464038.82515367179</v>
      </c>
      <c r="P31" s="11">
        <v>-262335.9375</v>
      </c>
      <c r="Q31" s="11">
        <v>262664.06250000006</v>
      </c>
      <c r="R31" s="11">
        <v>-464038.82515367179</v>
      </c>
      <c r="T31" s="4"/>
      <c r="V31" s="3" cm="1">
        <f t="array" ref="V31:V36">MMULT(M13:R18,V22:V27)</f>
        <v>14142.13562373095</v>
      </c>
      <c r="X31" s="153"/>
      <c r="Y31" s="155"/>
      <c r="Z31" s="4"/>
      <c r="AJ31" s="4"/>
      <c r="AK31" s="4"/>
      <c r="AL31" s="4"/>
      <c r="AM31" s="4"/>
      <c r="AN31" s="4"/>
      <c r="AO31" s="4"/>
      <c r="AP31" s="4"/>
      <c r="AQ31" s="16"/>
      <c r="AR31" s="16"/>
      <c r="AS31" s="16"/>
      <c r="AT31" s="16"/>
      <c r="AU31" s="16"/>
      <c r="AV31" s="16"/>
      <c r="AW31" s="4"/>
      <c r="AX31" s="3"/>
      <c r="AY31" s="8"/>
    </row>
    <row r="32" spans="2:66" x14ac:dyDescent="0.2">
      <c r="B32" s="39">
        <v>0</v>
      </c>
      <c r="C32" s="38">
        <f>-(12*$E$11)/$E$6^3</f>
        <v>-328.125</v>
      </c>
      <c r="D32" s="38">
        <f>-(6*$E$11)/$E$6^2</f>
        <v>-656250</v>
      </c>
      <c r="E32" s="39">
        <v>0</v>
      </c>
      <c r="F32" s="38">
        <f>(12*$E$11)/$E$6^3</f>
        <v>328.125</v>
      </c>
      <c r="G32" s="38">
        <f>-(6*$E$11)/$E$6^2</f>
        <v>-656250</v>
      </c>
      <c r="I32" s="38">
        <f>-E6/2*E15*I39</f>
        <v>-20000</v>
      </c>
      <c r="L32" s="78">
        <v>2</v>
      </c>
      <c r="M32" s="11">
        <v>262335.9375</v>
      </c>
      <c r="N32" s="11">
        <v>262664.06249999994</v>
      </c>
      <c r="O32" s="11">
        <v>464038.82515367185</v>
      </c>
      <c r="P32" s="11">
        <v>-262664.06249999994</v>
      </c>
      <c r="Q32" s="11">
        <v>262335.9375</v>
      </c>
      <c r="R32" s="11">
        <v>464038.82515367185</v>
      </c>
      <c r="V32" s="3">
        <v>-14142.135623730952</v>
      </c>
      <c r="AJ32" s="4"/>
      <c r="AK32" s="4"/>
      <c r="AL32" s="4"/>
      <c r="AM32" s="4"/>
      <c r="AN32" s="4"/>
      <c r="AO32" s="4"/>
      <c r="AP32" s="4"/>
      <c r="AQ32" s="16"/>
      <c r="AR32" s="16"/>
      <c r="AS32" s="16"/>
      <c r="AT32" s="16"/>
      <c r="AU32" s="16"/>
      <c r="AV32" s="16"/>
      <c r="AW32" s="4"/>
      <c r="AX32" s="3"/>
      <c r="AY32" s="10"/>
    </row>
    <row r="33" spans="2:83" x14ac:dyDescent="0.2">
      <c r="B33" s="39">
        <v>0</v>
      </c>
      <c r="C33" s="38">
        <f>(6*$E$11)/$E$6^2</f>
        <v>656250</v>
      </c>
      <c r="D33" s="38">
        <f>2*$E$11/$E$6</f>
        <v>875000000</v>
      </c>
      <c r="E33" s="39">
        <v>0</v>
      </c>
      <c r="F33" s="38">
        <f>-(6*$E$11)/$E$6^2</f>
        <v>-656250</v>
      </c>
      <c r="G33" s="38">
        <f>4*$E$11/$E$6</f>
        <v>1750000000</v>
      </c>
      <c r="I33" s="38">
        <f>1*(E15*E6^2)/12*I39</f>
        <v>13333333.333333334</v>
      </c>
      <c r="L33" s="78">
        <v>3</v>
      </c>
      <c r="M33" s="11">
        <v>-464038.82515367179</v>
      </c>
      <c r="N33" s="11">
        <v>464038.82515367185</v>
      </c>
      <c r="O33" s="11">
        <v>1750000000</v>
      </c>
      <c r="P33" s="11">
        <v>-464038.82515367185</v>
      </c>
      <c r="Q33" s="11">
        <v>-464038.82515367179</v>
      </c>
      <c r="R33" s="11">
        <v>875000000</v>
      </c>
      <c r="V33" s="3">
        <v>-13333333.333333334</v>
      </c>
      <c r="AJ33" s="4"/>
      <c r="AK33" s="4"/>
      <c r="AL33" s="4"/>
      <c r="AM33" s="4"/>
      <c r="AN33" s="4"/>
      <c r="AO33" s="4"/>
      <c r="AP33" s="4"/>
      <c r="AQ33" s="16"/>
      <c r="AR33" s="16"/>
      <c r="AS33" s="16"/>
      <c r="AT33" s="16"/>
      <c r="AU33" s="16"/>
      <c r="AV33" s="16"/>
      <c r="AW33" s="4"/>
      <c r="AX33" s="3"/>
      <c r="AY33" s="8"/>
    </row>
    <row r="34" spans="2:83" x14ac:dyDescent="0.2">
      <c r="L34" s="78">
        <v>4</v>
      </c>
      <c r="M34" s="11">
        <v>-262664.06250000006</v>
      </c>
      <c r="N34" s="11">
        <v>-262335.9375</v>
      </c>
      <c r="O34" s="11">
        <v>464038.82515367179</v>
      </c>
      <c r="P34" s="11">
        <v>262335.9375</v>
      </c>
      <c r="Q34" s="11">
        <v>-262664.06250000006</v>
      </c>
      <c r="R34" s="11">
        <v>464038.82515367179</v>
      </c>
      <c r="V34" s="3">
        <v>-14142.135623730952</v>
      </c>
      <c r="AB34" s="12"/>
      <c r="AD34" s="153"/>
      <c r="AE34" s="155"/>
      <c r="AF34" s="155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</row>
    <row r="35" spans="2:83" x14ac:dyDescent="0.2">
      <c r="B35" s="2" t="s">
        <v>28</v>
      </c>
      <c r="I35" s="1" t="s">
        <v>113</v>
      </c>
      <c r="L35" s="78">
        <v>5</v>
      </c>
      <c r="M35" s="11">
        <v>-262335.9375</v>
      </c>
      <c r="N35" s="11">
        <v>-262664.06249999994</v>
      </c>
      <c r="O35" s="11">
        <v>-464038.82515367185</v>
      </c>
      <c r="P35" s="11">
        <v>262664.06249999994</v>
      </c>
      <c r="Q35" s="11">
        <v>-262335.9375</v>
      </c>
      <c r="R35" s="11">
        <v>-464038.82515367185</v>
      </c>
      <c r="V35" s="3">
        <v>-14142.13562373095</v>
      </c>
      <c r="AB35" s="12"/>
      <c r="AD35" s="153"/>
      <c r="AE35" s="80"/>
      <c r="AF35" s="80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</row>
    <row r="36" spans="2:83" x14ac:dyDescent="0.2">
      <c r="B36" s="38">
        <f t="shared" ref="B36:G36" si="2">$B54*B28+$C54*B29+$D54*B30+$E54*B31+$F54*B32+$G54*B33</f>
        <v>371231.06012293749</v>
      </c>
      <c r="C36" s="38">
        <f t="shared" si="2"/>
        <v>-232.01941257683589</v>
      </c>
      <c r="D36" s="38">
        <f t="shared" si="2"/>
        <v>-464038.82515367179</v>
      </c>
      <c r="E36" s="38">
        <f t="shared" si="2"/>
        <v>-371231.06012293749</v>
      </c>
      <c r="F36" s="38">
        <f t="shared" si="2"/>
        <v>232.01941257683589</v>
      </c>
      <c r="G36" s="38">
        <f t="shared" si="2"/>
        <v>-464038.82515367179</v>
      </c>
      <c r="I36" s="1" t="s">
        <v>114</v>
      </c>
      <c r="L36" s="78">
        <v>6</v>
      </c>
      <c r="M36" s="11">
        <v>-464038.82515367179</v>
      </c>
      <c r="N36" s="11">
        <v>464038.82515367185</v>
      </c>
      <c r="O36" s="11">
        <v>875000000</v>
      </c>
      <c r="P36" s="11">
        <v>-464038.82515367185</v>
      </c>
      <c r="Q36" s="11">
        <v>-464038.82515367179</v>
      </c>
      <c r="R36" s="11">
        <v>1750000000</v>
      </c>
      <c r="V36" s="3">
        <v>13333333.333333334</v>
      </c>
      <c r="AB36" s="12"/>
      <c r="AD36" s="4"/>
    </row>
    <row r="37" spans="2:83" x14ac:dyDescent="0.2">
      <c r="B37" s="38">
        <f t="shared" ref="B37:G37" si="3">$B55*B28+$C55*B29+$D55*B30+$E55*B31+$F55*B32+$G55*B33</f>
        <v>371231.06012293743</v>
      </c>
      <c r="C37" s="38">
        <f t="shared" si="3"/>
        <v>232.01941257683592</v>
      </c>
      <c r="D37" s="38">
        <f t="shared" si="3"/>
        <v>464038.82515367185</v>
      </c>
      <c r="E37" s="38">
        <f t="shared" si="3"/>
        <v>-371231.06012293743</v>
      </c>
      <c r="F37" s="38">
        <f t="shared" si="3"/>
        <v>-232.01941257683592</v>
      </c>
      <c r="G37" s="38">
        <f t="shared" si="3"/>
        <v>464038.82515367185</v>
      </c>
      <c r="I37" s="33">
        <v>-90</v>
      </c>
      <c r="L37" s="2" t="s">
        <v>120</v>
      </c>
      <c r="AB37" s="12"/>
      <c r="AC37" s="4"/>
      <c r="AD37" s="12"/>
      <c r="AE37" s="28"/>
      <c r="AF37" s="28"/>
    </row>
    <row r="38" spans="2:83" x14ac:dyDescent="0.2">
      <c r="B38" s="38">
        <f t="shared" ref="B38:G38" si="4">$B56*B28+$C56*B29+$D56*B30+$E56*B31+$F56*B32+$G56*B33</f>
        <v>0</v>
      </c>
      <c r="C38" s="38">
        <f t="shared" si="4"/>
        <v>656250</v>
      </c>
      <c r="D38" s="38">
        <f t="shared" si="4"/>
        <v>1750000000</v>
      </c>
      <c r="E38" s="38">
        <f t="shared" si="4"/>
        <v>0</v>
      </c>
      <c r="F38" s="38">
        <f t="shared" si="4"/>
        <v>-656250</v>
      </c>
      <c r="G38" s="38">
        <f t="shared" si="4"/>
        <v>875000000</v>
      </c>
      <c r="I38" s="25">
        <f>-COS(RADIANS(I37))</f>
        <v>-6.1257422745431001E-17</v>
      </c>
      <c r="L38" s="9"/>
      <c r="M38" s="78">
        <v>1</v>
      </c>
      <c r="N38" s="78">
        <v>2</v>
      </c>
      <c r="O38" s="78">
        <v>3</v>
      </c>
      <c r="P38" s="78">
        <v>4</v>
      </c>
      <c r="Q38" s="78">
        <v>5</v>
      </c>
      <c r="R38" s="78">
        <v>6</v>
      </c>
      <c r="AD38" s="12"/>
    </row>
    <row r="39" spans="2:83" x14ac:dyDescent="0.2">
      <c r="B39" s="38">
        <f t="shared" ref="B39:G41" si="5">$B57*B$28+$C57*B$29+$D57*B$30+$E57*B$31+$F57*B$32+$G57*B$33</f>
        <v>-371231.06012293749</v>
      </c>
      <c r="C39" s="38">
        <f t="shared" si="5"/>
        <v>232.01941257683589</v>
      </c>
      <c r="D39" s="38">
        <f t="shared" si="5"/>
        <v>464038.82515367179</v>
      </c>
      <c r="E39" s="38">
        <f t="shared" si="5"/>
        <v>371231.06012293749</v>
      </c>
      <c r="F39" s="38">
        <f t="shared" si="5"/>
        <v>-232.01941257683589</v>
      </c>
      <c r="G39" s="38">
        <f t="shared" si="5"/>
        <v>464038.82515367179</v>
      </c>
      <c r="I39" s="25">
        <f>-SIN(RADIANS(I37))</f>
        <v>1</v>
      </c>
      <c r="L39" s="78">
        <v>1</v>
      </c>
      <c r="M39" s="11" cm="1">
        <f t="array" ref="M39:R44">MMULT(M13:R18,_xlfn.ANCHORARRAY(M31))</f>
        <v>262664.06250000006</v>
      </c>
      <c r="N39" s="11">
        <v>262335.9375</v>
      </c>
      <c r="O39" s="11">
        <v>-464038.82515367179</v>
      </c>
      <c r="P39" s="11">
        <v>-262335.9375</v>
      </c>
      <c r="Q39" s="11">
        <v>262664.06250000006</v>
      </c>
      <c r="R39" s="11">
        <v>-464038.82515367179</v>
      </c>
      <c r="AD39" s="12"/>
    </row>
    <row r="40" spans="2:83" x14ac:dyDescent="0.2">
      <c r="B40" s="38">
        <f t="shared" si="5"/>
        <v>-371231.06012293743</v>
      </c>
      <c r="C40" s="38">
        <f t="shared" si="5"/>
        <v>-232.01941257683592</v>
      </c>
      <c r="D40" s="38">
        <f t="shared" si="5"/>
        <v>-464038.82515367185</v>
      </c>
      <c r="E40" s="38">
        <f t="shared" si="5"/>
        <v>371231.06012293743</v>
      </c>
      <c r="F40" s="38">
        <f t="shared" si="5"/>
        <v>232.01941257683592</v>
      </c>
      <c r="G40" s="38">
        <f t="shared" si="5"/>
        <v>-464038.82515367185</v>
      </c>
      <c r="L40" s="78">
        <v>2</v>
      </c>
      <c r="M40" s="11">
        <v>262335.9375</v>
      </c>
      <c r="N40" s="11">
        <v>262664.06249999994</v>
      </c>
      <c r="O40" s="11">
        <v>464038.82515367185</v>
      </c>
      <c r="P40" s="11">
        <v>-262664.06249999994</v>
      </c>
      <c r="Q40" s="11">
        <v>262335.9375</v>
      </c>
      <c r="R40" s="11">
        <v>464038.82515367185</v>
      </c>
      <c r="AC40" s="4"/>
      <c r="AD40" s="12"/>
      <c r="AE40" s="4"/>
      <c r="AF40" s="4"/>
    </row>
    <row r="41" spans="2:83" x14ac:dyDescent="0.2">
      <c r="B41" s="38">
        <f t="shared" si="5"/>
        <v>0</v>
      </c>
      <c r="C41" s="38">
        <f t="shared" si="5"/>
        <v>656250</v>
      </c>
      <c r="D41" s="38">
        <f t="shared" si="5"/>
        <v>875000000</v>
      </c>
      <c r="E41" s="38">
        <f t="shared" si="5"/>
        <v>0</v>
      </c>
      <c r="F41" s="38">
        <f t="shared" si="5"/>
        <v>-656250</v>
      </c>
      <c r="G41" s="38">
        <f t="shared" si="5"/>
        <v>1750000000</v>
      </c>
      <c r="L41" s="78">
        <v>3</v>
      </c>
      <c r="M41" s="11">
        <v>-464038.82515367179</v>
      </c>
      <c r="N41" s="11">
        <v>464038.82515367185</v>
      </c>
      <c r="O41" s="11">
        <v>1750000000</v>
      </c>
      <c r="P41" s="11">
        <v>-464038.82515367185</v>
      </c>
      <c r="Q41" s="11">
        <v>-464038.82515367179</v>
      </c>
      <c r="R41" s="11">
        <v>875000000</v>
      </c>
      <c r="AD41" s="12"/>
    </row>
    <row r="42" spans="2:83" x14ac:dyDescent="0.2">
      <c r="L42" s="78">
        <v>4</v>
      </c>
      <c r="M42" s="11">
        <v>-262335.9375</v>
      </c>
      <c r="N42" s="11">
        <v>-262664.06249999994</v>
      </c>
      <c r="O42" s="11">
        <v>-464038.82515367185</v>
      </c>
      <c r="P42" s="11">
        <v>262664.06249999994</v>
      </c>
      <c r="Q42" s="11">
        <v>-262335.9375</v>
      </c>
      <c r="R42" s="11">
        <v>-464038.82515367185</v>
      </c>
      <c r="AD42" s="12"/>
    </row>
    <row r="43" spans="2:83" x14ac:dyDescent="0.2">
      <c r="H43" s="27"/>
      <c r="L43" s="78">
        <v>5</v>
      </c>
      <c r="M43" s="11">
        <v>262664.06250000006</v>
      </c>
      <c r="N43" s="11">
        <v>262335.9375</v>
      </c>
      <c r="O43" s="11">
        <v>-464038.82515367179</v>
      </c>
      <c r="P43" s="11">
        <v>-262335.9375</v>
      </c>
      <c r="Q43" s="11">
        <v>262664.06250000006</v>
      </c>
      <c r="R43" s="11">
        <v>-464038.82515367179</v>
      </c>
    </row>
    <row r="44" spans="2:83" x14ac:dyDescent="0.2">
      <c r="B44" s="2" t="s">
        <v>29</v>
      </c>
      <c r="L44" s="78">
        <v>6</v>
      </c>
      <c r="M44" s="11">
        <v>-464038.82515367179</v>
      </c>
      <c r="N44" s="11">
        <v>464038.82515367185</v>
      </c>
      <c r="O44" s="11">
        <v>875000000</v>
      </c>
      <c r="P44" s="11">
        <v>-464038.82515367185</v>
      </c>
      <c r="Q44" s="11">
        <v>-464038.82515367179</v>
      </c>
      <c r="R44" s="11">
        <v>1750000000</v>
      </c>
    </row>
    <row r="45" spans="2:83" x14ac:dyDescent="0.2">
      <c r="B45" s="152">
        <f>$C$5</f>
        <v>0.70710678118654757</v>
      </c>
      <c r="C45" s="152">
        <f>$E$5</f>
        <v>0.70710678118654746</v>
      </c>
      <c r="D45" s="152">
        <v>0</v>
      </c>
      <c r="E45" s="152">
        <v>0</v>
      </c>
      <c r="F45" s="152">
        <v>0</v>
      </c>
      <c r="G45" s="152">
        <v>0</v>
      </c>
      <c r="AE45" s="29"/>
      <c r="AF45" s="29"/>
    </row>
    <row r="46" spans="2:83" x14ac:dyDescent="0.2">
      <c r="B46" s="152">
        <f>-$E$5</f>
        <v>-0.70710678118654746</v>
      </c>
      <c r="C46" s="152">
        <f>$C$5</f>
        <v>0.70710678118654757</v>
      </c>
      <c r="D46" s="152">
        <v>0</v>
      </c>
      <c r="E46" s="152">
        <v>0</v>
      </c>
      <c r="F46" s="152">
        <v>0</v>
      </c>
      <c r="G46" s="152">
        <v>0</v>
      </c>
      <c r="L46" s="2" t="s">
        <v>48</v>
      </c>
      <c r="CE46" s="2"/>
    </row>
    <row r="47" spans="2:83" x14ac:dyDescent="0.2">
      <c r="B47" s="152">
        <v>0</v>
      </c>
      <c r="C47" s="152">
        <v>0</v>
      </c>
      <c r="D47" s="152">
        <v>1</v>
      </c>
      <c r="E47" s="152">
        <v>0</v>
      </c>
      <c r="F47" s="152">
        <v>0</v>
      </c>
      <c r="G47" s="152">
        <v>0</v>
      </c>
      <c r="L47" s="9"/>
      <c r="M47" s="9"/>
      <c r="N47" s="9">
        <v>5</v>
      </c>
      <c r="O47" s="9">
        <v>6</v>
      </c>
      <c r="R47" s="4" t="s">
        <v>1</v>
      </c>
      <c r="S47" s="9" t="s">
        <v>39</v>
      </c>
      <c r="T47" s="4" t="s">
        <v>49</v>
      </c>
      <c r="U47" s="141" t="s">
        <v>50</v>
      </c>
      <c r="BS47" s="3"/>
      <c r="CE47" s="2"/>
    </row>
    <row r="48" spans="2:83" x14ac:dyDescent="0.2">
      <c r="B48" s="152">
        <v>0</v>
      </c>
      <c r="C48" s="152">
        <v>0</v>
      </c>
      <c r="D48" s="152">
        <v>0</v>
      </c>
      <c r="E48" s="152">
        <f>$C$5</f>
        <v>0.70710678118654757</v>
      </c>
      <c r="F48" s="152">
        <f>$E$5</f>
        <v>0.70710678118654746</v>
      </c>
      <c r="G48" s="152">
        <v>0</v>
      </c>
      <c r="L48" s="9"/>
      <c r="M48" s="3" cm="1">
        <f t="array" ref="M48:N49">Q43:R44</f>
        <v>262664.06250000006</v>
      </c>
      <c r="N48" s="1">
        <v>-464038.82515367179</v>
      </c>
      <c r="O48" s="3"/>
      <c r="P48" s="3"/>
      <c r="Q48" s="3"/>
      <c r="R48" s="3"/>
      <c r="S48" s="7" t="str" cm="1">
        <f t="array" ref="S48:S49">T26:T27</f>
        <v>r14</v>
      </c>
      <c r="U48" s="145" cm="1">
        <f t="array" ref="U48:U49">V35:V36</f>
        <v>-14142.13562373095</v>
      </c>
    </row>
    <row r="49" spans="2:101" x14ac:dyDescent="0.2">
      <c r="B49" s="152">
        <v>0</v>
      </c>
      <c r="C49" s="152">
        <v>0</v>
      </c>
      <c r="D49" s="152">
        <v>0</v>
      </c>
      <c r="E49" s="152">
        <f>-$E$5</f>
        <v>-0.70710678118654746</v>
      </c>
      <c r="F49" s="152">
        <f>$C$5</f>
        <v>0.70710678118654757</v>
      </c>
      <c r="G49" s="152">
        <v>0</v>
      </c>
      <c r="L49" s="9">
        <v>5</v>
      </c>
      <c r="M49" s="3">
        <v>-464038.82515367179</v>
      </c>
      <c r="N49" s="3">
        <v>1750000000</v>
      </c>
      <c r="P49" s="3"/>
      <c r="Q49" s="3"/>
      <c r="R49" s="3"/>
      <c r="S49" s="7" t="str">
        <v>r16</v>
      </c>
      <c r="U49" s="3">
        <v>13333333.333333334</v>
      </c>
      <c r="AH49" s="2"/>
      <c r="AI49" s="2"/>
      <c r="CW49" s="2"/>
    </row>
    <row r="50" spans="2:101" x14ac:dyDescent="0.2">
      <c r="B50" s="152">
        <v>0</v>
      </c>
      <c r="C50" s="152">
        <v>0</v>
      </c>
      <c r="D50" s="152">
        <v>0</v>
      </c>
      <c r="E50" s="152">
        <v>0</v>
      </c>
      <c r="F50" s="152">
        <v>0</v>
      </c>
      <c r="G50" s="152">
        <f>D47</f>
        <v>1</v>
      </c>
      <c r="L50" s="9">
        <v>6</v>
      </c>
      <c r="M50" s="3"/>
      <c r="P50" s="3"/>
      <c r="AH50" s="2"/>
      <c r="AI50" s="2"/>
      <c r="BK50" s="2"/>
      <c r="CW50" s="2"/>
    </row>
    <row r="51" spans="2:101" x14ac:dyDescent="0.2">
      <c r="E51" s="4"/>
      <c r="F51" s="4"/>
      <c r="Q51" s="3"/>
      <c r="R51" s="3"/>
      <c r="U51" s="145"/>
      <c r="AA51" s="4"/>
      <c r="AH51" s="8"/>
      <c r="AI51" s="8"/>
      <c r="BK51" s="6"/>
      <c r="BL51" s="6"/>
      <c r="BM51" s="6"/>
      <c r="BN51" s="6"/>
      <c r="BO51" s="6"/>
      <c r="BP51" s="6"/>
      <c r="BR51" s="4"/>
      <c r="BT51" s="4"/>
      <c r="BV51" s="4"/>
      <c r="BY51" s="4"/>
    </row>
    <row r="52" spans="2:101" x14ac:dyDescent="0.2">
      <c r="L52" s="4"/>
      <c r="M52" s="3"/>
      <c r="Q52" s="3"/>
      <c r="V52" s="4"/>
      <c r="X52" s="3"/>
      <c r="AA52" s="4"/>
      <c r="AD52" s="4"/>
      <c r="AH52" s="10"/>
      <c r="AI52" s="10"/>
      <c r="BE52" s="16"/>
      <c r="BK52" s="6"/>
      <c r="BL52" s="6"/>
      <c r="BM52" s="6"/>
      <c r="BN52" s="6"/>
      <c r="BO52" s="6"/>
      <c r="BP52" s="6"/>
      <c r="BR52" s="4"/>
      <c r="BT52" s="4"/>
      <c r="BV52" s="4"/>
      <c r="BY52" s="4"/>
    </row>
    <row r="53" spans="2:101" x14ac:dyDescent="0.2">
      <c r="B53" s="2" t="s">
        <v>30</v>
      </c>
      <c r="I53" s="3"/>
      <c r="L53" s="4"/>
      <c r="V53" s="4"/>
      <c r="AB53" s="12"/>
      <c r="AD53" s="12"/>
      <c r="AH53" s="8"/>
      <c r="AI53" s="8"/>
      <c r="BE53" s="16"/>
      <c r="BK53" s="6"/>
      <c r="BL53" s="6"/>
      <c r="BM53" s="6"/>
      <c r="BN53" s="6"/>
      <c r="BO53" s="6"/>
      <c r="BP53" s="6"/>
      <c r="BQ53" s="4"/>
      <c r="BR53" s="4"/>
      <c r="BS53" s="4"/>
      <c r="BT53" s="4"/>
      <c r="BU53" s="4"/>
      <c r="BV53" s="4"/>
      <c r="BW53" s="4"/>
      <c r="BX53" s="4"/>
      <c r="BY53" s="4"/>
    </row>
    <row r="54" spans="2:101" ht="12" customHeight="1" x14ac:dyDescent="0.2">
      <c r="B54" s="152">
        <f>$C$5</f>
        <v>0.70710678118654757</v>
      </c>
      <c r="C54" s="152">
        <f>-$E$5</f>
        <v>-0.70710678118654746</v>
      </c>
      <c r="D54" s="152">
        <v>0</v>
      </c>
      <c r="E54" s="152">
        <v>0</v>
      </c>
      <c r="F54" s="152">
        <v>0</v>
      </c>
      <c r="G54" s="152">
        <v>0</v>
      </c>
      <c r="L54" s="4"/>
      <c r="V54" s="4"/>
      <c r="AB54" s="12"/>
      <c r="AD54" s="12"/>
      <c r="AH54" s="8"/>
      <c r="AI54" s="8"/>
      <c r="BE54" s="16"/>
      <c r="BK54" s="6"/>
      <c r="BL54" s="6"/>
      <c r="BM54" s="6"/>
      <c r="BN54" s="6"/>
      <c r="BO54" s="6"/>
      <c r="BP54" s="6"/>
      <c r="BR54" s="67"/>
      <c r="BT54" s="4"/>
      <c r="BV54" s="4"/>
      <c r="BY54" s="4"/>
    </row>
    <row r="55" spans="2:101" x14ac:dyDescent="0.2">
      <c r="B55" s="152">
        <f>$E$5</f>
        <v>0.70710678118654746</v>
      </c>
      <c r="C55" s="152">
        <f>$C$5</f>
        <v>0.70710678118654757</v>
      </c>
      <c r="D55" s="152">
        <v>0</v>
      </c>
      <c r="E55" s="152">
        <v>0</v>
      </c>
      <c r="F55" s="152">
        <v>0</v>
      </c>
      <c r="G55" s="152">
        <v>0</v>
      </c>
      <c r="L55" s="4"/>
      <c r="V55" s="4"/>
      <c r="AB55" s="12"/>
      <c r="AD55" s="12"/>
      <c r="AH55" s="10"/>
      <c r="AI55" s="10"/>
      <c r="BE55" s="16"/>
      <c r="BK55" s="6"/>
      <c r="BL55" s="6"/>
      <c r="BM55" s="6"/>
      <c r="BN55" s="6"/>
      <c r="BO55" s="6"/>
      <c r="BP55" s="6"/>
      <c r="BR55" s="67"/>
      <c r="BT55" s="4"/>
      <c r="BV55" s="4"/>
      <c r="BY55" s="4"/>
    </row>
    <row r="56" spans="2:101" x14ac:dyDescent="0.2">
      <c r="B56" s="152">
        <v>0</v>
      </c>
      <c r="C56" s="152">
        <v>0</v>
      </c>
      <c r="D56" s="152">
        <f>D47</f>
        <v>1</v>
      </c>
      <c r="E56" s="152">
        <v>0</v>
      </c>
      <c r="F56" s="152">
        <v>0</v>
      </c>
      <c r="G56" s="152">
        <v>0</v>
      </c>
      <c r="AB56" s="30"/>
      <c r="AD56" s="4"/>
      <c r="AH56" s="8"/>
      <c r="AI56" s="8"/>
      <c r="BE56" s="16"/>
      <c r="BK56" s="6"/>
      <c r="BL56" s="6"/>
      <c r="BM56" s="6"/>
      <c r="BN56" s="6"/>
      <c r="BO56" s="6"/>
      <c r="BP56" s="6"/>
      <c r="BR56" s="67"/>
      <c r="BT56" s="4"/>
      <c r="BV56" s="4"/>
      <c r="BY56" s="4"/>
    </row>
    <row r="57" spans="2:101" x14ac:dyDescent="0.2">
      <c r="B57" s="152">
        <v>0</v>
      </c>
      <c r="C57" s="152">
        <v>0</v>
      </c>
      <c r="D57" s="152">
        <v>0</v>
      </c>
      <c r="E57" s="152">
        <f>$C$5</f>
        <v>0.70710678118654757</v>
      </c>
      <c r="F57" s="152">
        <f>-$E$5</f>
        <v>-0.70710678118654746</v>
      </c>
      <c r="G57" s="152">
        <v>0</v>
      </c>
      <c r="U57" s="9" t="s">
        <v>123</v>
      </c>
      <c r="AB57" s="4"/>
      <c r="AD57" s="4"/>
      <c r="BE57" s="16"/>
    </row>
    <row r="58" spans="2:101" x14ac:dyDescent="0.2">
      <c r="B58" s="152">
        <v>0</v>
      </c>
      <c r="C58" s="152">
        <v>0</v>
      </c>
      <c r="D58" s="152">
        <v>0</v>
      </c>
      <c r="E58" s="152">
        <f>$E$5</f>
        <v>0.70710678118654746</v>
      </c>
      <c r="F58" s="152">
        <f>$C$5</f>
        <v>0.70710678118654757</v>
      </c>
      <c r="G58" s="152">
        <v>0</v>
      </c>
      <c r="L58" s="9"/>
      <c r="M58" s="9">
        <v>5</v>
      </c>
      <c r="N58" s="9">
        <v>6</v>
      </c>
      <c r="O58" s="9"/>
      <c r="P58" s="9"/>
      <c r="R58" s="4" t="s">
        <v>1</v>
      </c>
      <c r="S58" s="141" t="s">
        <v>50</v>
      </c>
      <c r="T58" s="146" t="s">
        <v>49</v>
      </c>
      <c r="U58" s="9" t="s">
        <v>39</v>
      </c>
      <c r="AB58" s="30"/>
      <c r="AC58" s="4"/>
      <c r="AD58" s="4"/>
      <c r="AE58" s="28"/>
      <c r="AF58" s="28"/>
      <c r="BE58" s="12"/>
      <c r="BK58" s="2"/>
    </row>
    <row r="59" spans="2:101" x14ac:dyDescent="0.2">
      <c r="B59" s="152">
        <v>0</v>
      </c>
      <c r="C59" s="152">
        <v>0</v>
      </c>
      <c r="D59" s="152">
        <v>0</v>
      </c>
      <c r="E59" s="152">
        <v>0</v>
      </c>
      <c r="F59" s="152">
        <v>0</v>
      </c>
      <c r="G59" s="152">
        <f>D47</f>
        <v>1</v>
      </c>
      <c r="L59" s="9">
        <v>5</v>
      </c>
      <c r="M59" s="1" cm="1">
        <f t="array" ref="M59:N60">MINVERSE(_xlfn.ANCHORARRAY(M48))</f>
        <v>3.8089286644199935E-6</v>
      </c>
      <c r="N59" s="1">
        <v>1.0099947328751306E-9</v>
      </c>
      <c r="S59" s="3" cm="1">
        <f t="array" ref="S59:S60">U48:U49</f>
        <v>-14142.13562373095</v>
      </c>
      <c r="U59" s="153" cm="1">
        <f t="array" ref="U59:U60">MMULT(_xlfn.ANCHORARRAY(M59),_xlfn.ANCHORARRAY(S59))</f>
        <v>-4.0399789315008865E-2</v>
      </c>
      <c r="V59" s="1" t="s">
        <v>3</v>
      </c>
      <c r="W59" s="1" t="s">
        <v>124</v>
      </c>
      <c r="AB59" s="30"/>
      <c r="AC59" s="4"/>
      <c r="AD59" s="4"/>
      <c r="AE59" s="28"/>
      <c r="AF59" s="28"/>
      <c r="BE59" s="12"/>
      <c r="BK59" s="7"/>
      <c r="BL59" s="4"/>
      <c r="BM59" s="4"/>
      <c r="BN59" s="4"/>
      <c r="BO59" s="4"/>
      <c r="BP59" s="4"/>
      <c r="BR59" s="4"/>
      <c r="BT59" s="6"/>
      <c r="BV59" s="4"/>
      <c r="BY59" s="65"/>
      <c r="CA59" s="63"/>
    </row>
    <row r="60" spans="2:101" x14ac:dyDescent="0.2">
      <c r="L60" s="9">
        <v>6</v>
      </c>
      <c r="M60" s="1">
        <v>1.0099947328751989E-9</v>
      </c>
      <c r="N60" s="3">
        <v>5.7169638672528847E-10</v>
      </c>
      <c r="P60" s="3"/>
      <c r="S60" s="1">
        <v>13333333.333333334</v>
      </c>
      <c r="U60" s="153">
        <v>7.6083350071789388E-3</v>
      </c>
      <c r="V60" s="1" t="s">
        <v>57</v>
      </c>
      <c r="W60" s="1">
        <f>1000*U60</f>
        <v>7.6083350071789386</v>
      </c>
      <c r="X60" s="1" t="s">
        <v>55</v>
      </c>
      <c r="AB60" s="4"/>
      <c r="AD60" s="12"/>
      <c r="BE60" s="12"/>
      <c r="BK60" s="7"/>
      <c r="BL60" s="4"/>
      <c r="BM60" s="4"/>
      <c r="BN60" s="4"/>
      <c r="BO60" s="4"/>
      <c r="BP60" s="4"/>
      <c r="BR60" s="4"/>
      <c r="BT60" s="6"/>
      <c r="BV60" s="4"/>
      <c r="BY60" s="65"/>
      <c r="CA60" s="63"/>
    </row>
    <row r="61" spans="2:101" x14ac:dyDescent="0.2">
      <c r="L61" s="9"/>
      <c r="N61" s="3"/>
      <c r="P61" s="3"/>
      <c r="U61" s="153"/>
      <c r="AB61" s="4"/>
      <c r="AD61" s="12"/>
      <c r="BE61" s="12"/>
      <c r="BF61" s="4"/>
      <c r="BK61" s="7"/>
      <c r="BL61" s="4"/>
      <c r="BM61" s="4"/>
      <c r="BN61" s="4"/>
      <c r="BO61" s="4"/>
      <c r="BP61" s="4"/>
      <c r="BQ61" s="4"/>
      <c r="BR61" s="4"/>
      <c r="BS61" s="4"/>
      <c r="BT61" s="6"/>
      <c r="BU61" s="4"/>
      <c r="BV61" s="4"/>
      <c r="BW61" s="4"/>
      <c r="BX61" s="4"/>
      <c r="BY61" s="65"/>
      <c r="BZ61" s="4"/>
      <c r="CA61" s="63"/>
      <c r="CE61" s="45"/>
    </row>
    <row r="62" spans="2:101" x14ac:dyDescent="0.2">
      <c r="L62" s="9"/>
      <c r="U62" s="153"/>
      <c r="AB62" s="12"/>
      <c r="AD62" s="12"/>
      <c r="BE62" s="12"/>
      <c r="BK62" s="7"/>
      <c r="BL62" s="4"/>
      <c r="BM62" s="4"/>
      <c r="BN62" s="4"/>
      <c r="BO62" s="4"/>
      <c r="BP62" s="4"/>
      <c r="BR62" s="4"/>
      <c r="BT62" s="6"/>
      <c r="BV62" s="4"/>
      <c r="BY62" s="65"/>
      <c r="CA62" s="63"/>
    </row>
    <row r="63" spans="2:101" x14ac:dyDescent="0.2">
      <c r="V63" s="3"/>
      <c r="X63" s="153"/>
      <c r="AB63" s="12"/>
      <c r="AD63" s="12"/>
      <c r="BE63" s="12"/>
      <c r="BK63" s="7"/>
      <c r="BL63" s="4"/>
      <c r="BM63" s="4"/>
      <c r="BN63" s="4"/>
      <c r="BO63" s="4"/>
      <c r="BP63" s="4"/>
      <c r="BR63" s="4"/>
      <c r="BT63" s="6"/>
      <c r="BV63" s="4"/>
      <c r="BY63" s="65"/>
      <c r="CA63" s="63"/>
    </row>
    <row r="64" spans="2:101" x14ac:dyDescent="0.2">
      <c r="Q64" s="3"/>
      <c r="U64" s="9" t="s">
        <v>122</v>
      </c>
      <c r="X64" s="153"/>
      <c r="AB64" s="4"/>
      <c r="AD64" s="4"/>
      <c r="BR64" s="66"/>
    </row>
    <row r="65" spans="5:74" x14ac:dyDescent="0.2">
      <c r="U65" s="9" t="s">
        <v>39</v>
      </c>
      <c r="AB65" s="4"/>
      <c r="AD65" s="4"/>
      <c r="BR65" s="66"/>
    </row>
    <row r="66" spans="5:74" x14ac:dyDescent="0.2">
      <c r="T66" s="1" t="s">
        <v>96</v>
      </c>
      <c r="U66" s="1">
        <f>-SIN(Q12)*U59</f>
        <v>3.611727685778339E-2</v>
      </c>
      <c r="V66" s="1" t="s">
        <v>3</v>
      </c>
      <c r="AB66" s="4"/>
      <c r="AD66" s="4"/>
      <c r="BR66" s="66"/>
    </row>
    <row r="67" spans="5:74" x14ac:dyDescent="0.2">
      <c r="I67" s="25"/>
      <c r="T67" s="1" t="s">
        <v>109</v>
      </c>
      <c r="U67" s="1">
        <f>COS(RADIANS(Q12))*U59</f>
        <v>-2.4747869728958443E-18</v>
      </c>
      <c r="V67" s="1" t="s">
        <v>3</v>
      </c>
      <c r="BR67" s="66"/>
    </row>
    <row r="68" spans="5:74" x14ac:dyDescent="0.2">
      <c r="BR68" s="66"/>
    </row>
    <row r="69" spans="5:74" ht="12" customHeight="1" x14ac:dyDescent="0.2">
      <c r="BR69" s="66"/>
    </row>
    <row r="70" spans="5:74" x14ac:dyDescent="0.2">
      <c r="E70" s="26"/>
      <c r="AG70" s="2"/>
      <c r="AH70" s="2"/>
    </row>
    <row r="71" spans="5:74" x14ac:dyDescent="0.2">
      <c r="AG71" s="2"/>
      <c r="AH71" s="2"/>
      <c r="AI71" s="2"/>
    </row>
    <row r="72" spans="5:74" ht="12" customHeight="1" x14ac:dyDescent="0.2"/>
    <row r="73" spans="5:74" ht="15" customHeight="1" x14ac:dyDescent="0.2">
      <c r="BK73" s="2"/>
    </row>
    <row r="74" spans="5:74" x14ac:dyDescent="0.2">
      <c r="L74" s="1" t="s">
        <v>105</v>
      </c>
      <c r="BE74" s="12"/>
      <c r="BK74" s="6"/>
      <c r="BL74" s="6"/>
      <c r="BM74" s="6"/>
      <c r="BN74" s="6"/>
      <c r="BO74" s="6"/>
      <c r="BP74" s="6"/>
      <c r="BR74" s="67"/>
      <c r="BT74" s="4"/>
      <c r="BV74" s="68"/>
    </row>
    <row r="75" spans="5:74" ht="24" x14ac:dyDescent="0.2">
      <c r="G75" s="147"/>
      <c r="L75" s="1" t="s">
        <v>108</v>
      </c>
      <c r="V75" s="160" t="s">
        <v>104</v>
      </c>
      <c r="X75" s="160" t="s">
        <v>106</v>
      </c>
      <c r="BE75" s="12"/>
      <c r="BK75" s="6"/>
      <c r="BL75" s="6"/>
      <c r="BM75" s="6"/>
      <c r="BN75" s="6"/>
      <c r="BO75" s="6"/>
      <c r="BP75" s="6"/>
      <c r="BR75" s="67"/>
      <c r="BT75" s="4"/>
      <c r="BV75" s="68"/>
    </row>
    <row r="76" spans="5:74" x14ac:dyDescent="0.2">
      <c r="L76" s="9"/>
      <c r="M76" s="9">
        <v>1</v>
      </c>
      <c r="N76" s="9">
        <v>2</v>
      </c>
      <c r="O76" s="9">
        <v>3</v>
      </c>
      <c r="P76" s="9">
        <v>4</v>
      </c>
      <c r="Q76" s="9">
        <v>5</v>
      </c>
      <c r="R76" s="9">
        <v>6</v>
      </c>
      <c r="S76" s="4" t="s">
        <v>1</v>
      </c>
      <c r="T76" s="9" t="s">
        <v>103</v>
      </c>
      <c r="U76" s="4" t="s">
        <v>107</v>
      </c>
      <c r="V76" s="160"/>
      <c r="W76" s="4" t="s">
        <v>49</v>
      </c>
      <c r="X76" s="160"/>
      <c r="BE76" s="12"/>
      <c r="BK76" s="6"/>
      <c r="BL76" s="6"/>
      <c r="BM76" s="6"/>
      <c r="BN76" s="6"/>
      <c r="BO76" s="6"/>
      <c r="BP76" s="6"/>
      <c r="BQ76" s="4"/>
      <c r="BR76" s="67"/>
      <c r="BS76" s="4"/>
      <c r="BT76" s="4"/>
      <c r="BU76" s="4"/>
      <c r="BV76" s="68"/>
    </row>
    <row r="77" spans="5:74" x14ac:dyDescent="0.2">
      <c r="L77" s="9">
        <v>1</v>
      </c>
      <c r="M77" s="3">
        <f>B28</f>
        <v>525000</v>
      </c>
      <c r="N77" s="3">
        <f>C28</f>
        <v>0</v>
      </c>
      <c r="O77" s="3">
        <f>D28</f>
        <v>0</v>
      </c>
      <c r="P77" s="3">
        <f>E28</f>
        <v>-525000</v>
      </c>
      <c r="Q77" s="3">
        <f>F28</f>
        <v>0</v>
      </c>
      <c r="R77" s="3">
        <f>G28</f>
        <v>0</v>
      </c>
      <c r="T77" s="1" cm="1">
        <f t="array" ref="T77:T82">MMULT(B45:G50,X22:X27)</f>
        <v>0</v>
      </c>
      <c r="V77" s="3">
        <f>I28</f>
        <v>1.22514845490862E-12</v>
      </c>
      <c r="X77" s="3" cm="1">
        <f t="array" ref="X77:X82">MMULT(M77:R82,_xlfn.ANCHORARRAY(T77))-V77:V82</f>
        <v>-13407.854976668563</v>
      </c>
      <c r="BE77" s="4"/>
      <c r="BK77" s="6"/>
      <c r="BL77" s="6"/>
      <c r="BM77" s="6"/>
      <c r="BN77" s="6"/>
      <c r="BO77" s="6"/>
      <c r="BP77" s="6"/>
      <c r="BR77" s="67"/>
      <c r="BT77" s="4"/>
      <c r="BV77" s="68"/>
    </row>
    <row r="78" spans="5:74" x14ac:dyDescent="0.2">
      <c r="L78" s="9">
        <v>2</v>
      </c>
      <c r="M78" s="3">
        <f>B29</f>
        <v>0</v>
      </c>
      <c r="N78" s="3">
        <f>C29</f>
        <v>328.125</v>
      </c>
      <c r="O78" s="3">
        <f>D29</f>
        <v>656250</v>
      </c>
      <c r="P78" s="3">
        <f>E29</f>
        <v>0</v>
      </c>
      <c r="Q78" s="3">
        <f>F29</f>
        <v>-328.125</v>
      </c>
      <c r="R78" s="3">
        <f>G29</f>
        <v>656250</v>
      </c>
      <c r="T78" s="1">
        <v>0</v>
      </c>
      <c r="V78" s="3">
        <f>I29</f>
        <v>-20000</v>
      </c>
      <c r="X78" s="1">
        <v>25001.349757821597</v>
      </c>
      <c r="BE78" s="12"/>
      <c r="BK78" s="6"/>
      <c r="BL78" s="6"/>
      <c r="BM78" s="6"/>
      <c r="BN78" s="6"/>
      <c r="BO78" s="6"/>
      <c r="BP78" s="6"/>
      <c r="BR78" s="67"/>
      <c r="BT78" s="4"/>
      <c r="BV78" s="68"/>
    </row>
    <row r="79" spans="5:74" x14ac:dyDescent="0.2">
      <c r="L79" s="9">
        <v>3</v>
      </c>
      <c r="M79" s="3">
        <f>B30</f>
        <v>0</v>
      </c>
      <c r="N79" s="3">
        <f>C30</f>
        <v>656250</v>
      </c>
      <c r="O79" s="3">
        <f>D30</f>
        <v>1750000000</v>
      </c>
      <c r="P79" s="3">
        <f>E30</f>
        <v>0</v>
      </c>
      <c r="Q79" s="3">
        <f>F30</f>
        <v>-656250</v>
      </c>
      <c r="R79" s="3">
        <f>G30</f>
        <v>875000000</v>
      </c>
      <c r="T79" s="1">
        <v>0</v>
      </c>
      <c r="V79" s="3">
        <f>I30</f>
        <v>-13333333.333333334</v>
      </c>
      <c r="X79" s="1">
        <v>20007386.283335742</v>
      </c>
      <c r="BE79" s="12"/>
      <c r="BK79" s="6"/>
      <c r="BL79" s="6"/>
      <c r="BM79" s="6"/>
      <c r="BN79" s="6"/>
      <c r="BO79" s="6"/>
      <c r="BP79" s="6"/>
      <c r="BR79" s="67"/>
      <c r="BT79" s="4"/>
      <c r="BV79" s="68"/>
    </row>
    <row r="80" spans="5:74" x14ac:dyDescent="0.2">
      <c r="L80" s="9">
        <v>4</v>
      </c>
      <c r="M80" s="3">
        <f>B31</f>
        <v>-525000</v>
      </c>
      <c r="N80" s="3">
        <f>C31</f>
        <v>0</v>
      </c>
      <c r="O80" s="3">
        <f>D31</f>
        <v>0</v>
      </c>
      <c r="P80" s="3">
        <f>E31</f>
        <v>525000</v>
      </c>
      <c r="Q80" s="3">
        <f>F31</f>
        <v>0</v>
      </c>
      <c r="R80" s="3">
        <f>G31</f>
        <v>0</v>
      </c>
      <c r="T80" s="1">
        <v>2.5538771384130594E-2</v>
      </c>
      <c r="V80" s="3">
        <f>I31</f>
        <v>1.22514845490862E-12</v>
      </c>
      <c r="X80" s="1">
        <v>13407.854976668559</v>
      </c>
      <c r="BE80" s="12"/>
    </row>
    <row r="81" spans="12:83" x14ac:dyDescent="0.2">
      <c r="L81" s="9">
        <v>5</v>
      </c>
      <c r="M81" s="3">
        <f>B32</f>
        <v>0</v>
      </c>
      <c r="N81" s="3">
        <f>C32</f>
        <v>-328.125</v>
      </c>
      <c r="O81" s="3">
        <f>D32</f>
        <v>-656250</v>
      </c>
      <c r="P81" s="3">
        <f>E32</f>
        <v>0</v>
      </c>
      <c r="Q81" s="3">
        <f>F32</f>
        <v>328.125</v>
      </c>
      <c r="R81" s="3">
        <f>G32</f>
        <v>-656250</v>
      </c>
      <c r="T81" s="1">
        <v>-2.5538771384130597E-2</v>
      </c>
      <c r="V81" s="3">
        <f>I32</f>
        <v>-20000</v>
      </c>
      <c r="X81" s="1">
        <v>14998.650242178403</v>
      </c>
      <c r="BE81" s="12"/>
      <c r="BK81" s="2"/>
    </row>
    <row r="82" spans="12:83" x14ac:dyDescent="0.2">
      <c r="L82" s="9">
        <v>6</v>
      </c>
      <c r="M82" s="3">
        <f>B33</f>
        <v>0</v>
      </c>
      <c r="N82" s="3">
        <f>C33</f>
        <v>656250</v>
      </c>
      <c r="O82" s="3">
        <f>D33</f>
        <v>875000000</v>
      </c>
      <c r="P82" s="3">
        <f>E33</f>
        <v>0</v>
      </c>
      <c r="Q82" s="3">
        <f>F33</f>
        <v>-656250</v>
      </c>
      <c r="R82" s="3">
        <f>G33</f>
        <v>1750000000</v>
      </c>
      <c r="T82" s="1">
        <v>7.6083350071789388E-3</v>
      </c>
      <c r="V82" s="3">
        <f>I33</f>
        <v>13333333.333333334</v>
      </c>
      <c r="X82" s="1">
        <v>-1987.2520493548363</v>
      </c>
      <c r="BE82" s="12"/>
      <c r="BK82" s="7"/>
      <c r="BL82" s="7"/>
      <c r="BM82" s="7"/>
      <c r="BN82" s="7"/>
      <c r="BO82" s="7"/>
      <c r="BP82" s="7"/>
      <c r="BR82" s="67"/>
      <c r="BT82" s="6"/>
      <c r="BV82" s="4"/>
      <c r="BY82" s="65"/>
      <c r="CA82" s="63"/>
    </row>
    <row r="83" spans="12:83" x14ac:dyDescent="0.2">
      <c r="BE83" s="12"/>
      <c r="BK83" s="7"/>
      <c r="BL83" s="7"/>
      <c r="BM83" s="7"/>
      <c r="BN83" s="7"/>
      <c r="BO83" s="7"/>
      <c r="BP83" s="7"/>
      <c r="BR83" s="67"/>
      <c r="BT83" s="7"/>
      <c r="BV83" s="4"/>
      <c r="BY83" s="65"/>
      <c r="CA83" s="63"/>
      <c r="CE83" s="45"/>
    </row>
    <row r="84" spans="12:83" ht="12" customHeight="1" x14ac:dyDescent="0.2">
      <c r="BE84" s="12"/>
      <c r="BK84" s="7"/>
      <c r="BL84" s="7"/>
      <c r="BM84" s="7"/>
      <c r="BN84" s="7"/>
      <c r="BO84" s="7"/>
      <c r="BP84" s="7"/>
      <c r="BQ84" s="4"/>
      <c r="BR84" s="67"/>
      <c r="BS84" s="4"/>
      <c r="BT84" s="7"/>
      <c r="BU84" s="4"/>
      <c r="BV84" s="4"/>
      <c r="BW84" s="4"/>
      <c r="BX84" s="4"/>
      <c r="BY84" s="65"/>
      <c r="BZ84" s="4"/>
      <c r="CA84" s="63"/>
    </row>
    <row r="85" spans="12:83" x14ac:dyDescent="0.2">
      <c r="BE85" s="12"/>
      <c r="BK85" s="7"/>
      <c r="BL85" s="7"/>
      <c r="BM85" s="7"/>
      <c r="BN85" s="7"/>
      <c r="BO85" s="7"/>
      <c r="BP85" s="7"/>
      <c r="BR85" s="67"/>
      <c r="BT85" s="6"/>
      <c r="BV85" s="4"/>
      <c r="BY85" s="65"/>
      <c r="CA85" s="63"/>
    </row>
    <row r="86" spans="12:83" x14ac:dyDescent="0.2">
      <c r="BE86" s="12"/>
      <c r="BK86" s="7"/>
      <c r="BL86" s="7"/>
      <c r="BM86" s="7"/>
      <c r="BN86" s="7"/>
      <c r="BO86" s="7"/>
      <c r="BP86" s="7"/>
      <c r="BR86" s="67"/>
      <c r="BT86" s="7"/>
      <c r="BV86" s="4"/>
      <c r="BY86" s="65"/>
      <c r="CA86" s="63"/>
    </row>
    <row r="87" spans="12:83" x14ac:dyDescent="0.2">
      <c r="BE87" s="12"/>
      <c r="BK87" s="7"/>
      <c r="BL87" s="7"/>
      <c r="BM87" s="7"/>
      <c r="BN87" s="7"/>
      <c r="BO87" s="7"/>
      <c r="BP87" s="7"/>
      <c r="BR87" s="67"/>
      <c r="BT87" s="7"/>
      <c r="BV87" s="4"/>
      <c r="BY87" s="65"/>
      <c r="CA87" s="63"/>
    </row>
    <row r="94" spans="12:83" x14ac:dyDescent="0.2">
      <c r="BC94" s="29"/>
      <c r="BD94" s="29"/>
    </row>
    <row r="101" spans="23:79" x14ac:dyDescent="0.2">
      <c r="BB101" s="4"/>
    </row>
    <row r="102" spans="23:79" x14ac:dyDescent="0.2">
      <c r="AZ102" s="12"/>
      <c r="BB102" s="12"/>
      <c r="BE102" s="12"/>
      <c r="BK102" s="2"/>
    </row>
    <row r="103" spans="23:79" x14ac:dyDescent="0.2">
      <c r="AZ103" s="12"/>
      <c r="BB103" s="12"/>
      <c r="BE103" s="12"/>
      <c r="BK103" s="6"/>
      <c r="BL103" s="6"/>
      <c r="BM103" s="6"/>
      <c r="BN103" s="6"/>
      <c r="BO103" s="6"/>
      <c r="BP103" s="6"/>
      <c r="BR103" s="4"/>
      <c r="BT103" s="4"/>
      <c r="BV103" s="4"/>
      <c r="BY103" s="4"/>
    </row>
    <row r="104" spans="23:79" x14ac:dyDescent="0.2">
      <c r="W104" s="7"/>
      <c r="X104" s="4"/>
      <c r="Y104" s="4"/>
      <c r="Z104" s="4"/>
      <c r="AA104" s="4"/>
      <c r="AB104" s="4"/>
      <c r="AC104" s="4"/>
      <c r="AD104" s="4"/>
      <c r="AE104" s="4"/>
      <c r="AF104" s="4"/>
      <c r="AZ104" s="12"/>
      <c r="BB104" s="12"/>
      <c r="BE104" s="12"/>
      <c r="BK104" s="6"/>
      <c r="BL104" s="6"/>
      <c r="BM104" s="6"/>
      <c r="BN104" s="6"/>
      <c r="BO104" s="6"/>
      <c r="BP104" s="6"/>
      <c r="BR104" s="4"/>
      <c r="BT104" s="4"/>
      <c r="BV104" s="4"/>
      <c r="BY104" s="4"/>
    </row>
    <row r="105" spans="23:79" x14ac:dyDescent="0.2">
      <c r="W105" s="4"/>
      <c r="X105" s="7"/>
      <c r="Y105" s="4"/>
      <c r="Z105" s="4"/>
      <c r="AA105" s="4"/>
      <c r="AB105" s="4"/>
      <c r="AC105" s="4"/>
      <c r="AD105" s="4"/>
      <c r="AE105" s="7"/>
      <c r="AF105" s="4"/>
      <c r="AZ105" s="30"/>
      <c r="BB105" s="4"/>
      <c r="BE105" s="4"/>
      <c r="BK105" s="6"/>
      <c r="BL105" s="6"/>
      <c r="BM105" s="6"/>
      <c r="BN105" s="6"/>
      <c r="BO105" s="6"/>
      <c r="BP105" s="6"/>
      <c r="BQ105" s="4"/>
      <c r="BR105" s="4"/>
      <c r="BS105" s="4"/>
      <c r="BT105" s="4"/>
      <c r="BU105" s="4"/>
      <c r="BV105" s="4"/>
      <c r="BW105" s="4"/>
      <c r="BX105" s="4"/>
      <c r="BY105" s="4"/>
    </row>
    <row r="106" spans="23:79" x14ac:dyDescent="0.2">
      <c r="W106" s="4"/>
      <c r="X106" s="4"/>
      <c r="Y106" s="7"/>
      <c r="Z106" s="4"/>
      <c r="AA106" s="7"/>
      <c r="AB106" s="4"/>
      <c r="AC106" s="4"/>
      <c r="AD106" s="4"/>
      <c r="AE106" s="4"/>
      <c r="AF106" s="7"/>
      <c r="AZ106" s="4"/>
      <c r="BB106" s="4"/>
      <c r="BE106" s="4"/>
      <c r="BK106" s="6"/>
      <c r="BL106" s="6"/>
      <c r="BM106" s="6"/>
      <c r="BN106" s="6"/>
      <c r="BO106" s="6"/>
      <c r="BP106" s="6"/>
      <c r="BR106" s="67"/>
      <c r="BT106" s="4"/>
      <c r="BV106" s="4"/>
      <c r="BY106" s="4"/>
    </row>
    <row r="107" spans="23:79" x14ac:dyDescent="0.2"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Z107" s="12"/>
      <c r="BB107" s="12"/>
      <c r="BE107" s="12"/>
      <c r="BK107" s="6"/>
      <c r="BL107" s="6"/>
      <c r="BM107" s="6"/>
      <c r="BN107" s="6"/>
      <c r="BO107" s="6"/>
      <c r="BP107" s="6"/>
      <c r="BR107" s="67"/>
      <c r="BT107" s="4"/>
      <c r="BV107" s="4"/>
      <c r="BY107" s="4"/>
    </row>
    <row r="108" spans="23:79" x14ac:dyDescent="0.2">
      <c r="W108" s="4"/>
      <c r="X108" s="4"/>
      <c r="Y108" s="7"/>
      <c r="Z108" s="4"/>
      <c r="AA108" s="7"/>
      <c r="AB108" s="4"/>
      <c r="AC108" s="4"/>
      <c r="AD108" s="4"/>
      <c r="AE108" s="4"/>
      <c r="AF108" s="7"/>
      <c r="AZ108" s="4"/>
      <c r="BB108" s="12"/>
      <c r="BE108" s="31"/>
      <c r="BK108" s="6"/>
      <c r="BL108" s="6"/>
      <c r="BM108" s="6"/>
      <c r="BN108" s="6"/>
      <c r="BO108" s="6"/>
      <c r="BP108" s="6"/>
      <c r="BR108" s="67"/>
      <c r="BT108" s="4"/>
      <c r="BV108" s="4"/>
      <c r="BY108" s="4"/>
    </row>
    <row r="109" spans="23:79" x14ac:dyDescent="0.2"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Z109" s="4"/>
      <c r="BB109" s="12"/>
      <c r="BE109" s="31"/>
    </row>
    <row r="110" spans="23:79" x14ac:dyDescent="0.2"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Z110" s="12"/>
      <c r="BB110" s="12"/>
      <c r="BE110" s="31"/>
      <c r="BK110" s="2"/>
    </row>
    <row r="111" spans="23:79" x14ac:dyDescent="0.2"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Z111" s="12"/>
      <c r="BB111" s="7"/>
      <c r="BE111" s="31"/>
      <c r="BK111" s="7"/>
      <c r="BL111" s="7"/>
      <c r="BM111" s="7"/>
      <c r="BN111" s="7"/>
      <c r="BO111" s="7"/>
      <c r="BP111" s="7"/>
      <c r="BR111" s="4"/>
      <c r="BT111" s="6"/>
      <c r="BV111" s="4"/>
      <c r="BY111" s="65"/>
      <c r="CA111" s="63"/>
    </row>
    <row r="112" spans="23:79" x14ac:dyDescent="0.2">
      <c r="W112" s="4"/>
      <c r="X112" s="7"/>
      <c r="Y112" s="4"/>
      <c r="Z112" s="4"/>
      <c r="AA112" s="4"/>
      <c r="AB112" s="4"/>
      <c r="AC112" s="4"/>
      <c r="AD112" s="4"/>
      <c r="AE112" s="7"/>
      <c r="AF112" s="4"/>
      <c r="AZ112" s="12"/>
      <c r="BB112" s="7"/>
      <c r="BE112" s="31"/>
      <c r="BK112" s="7"/>
      <c r="BL112" s="7"/>
      <c r="BM112" s="7"/>
      <c r="BN112" s="7"/>
      <c r="BO112" s="7"/>
      <c r="BP112" s="7"/>
      <c r="BR112" s="4"/>
      <c r="BT112" s="6"/>
      <c r="BV112" s="4"/>
      <c r="BY112" s="65"/>
      <c r="CA112" s="63"/>
    </row>
    <row r="113" spans="2:79" x14ac:dyDescent="0.2">
      <c r="W113" s="4"/>
      <c r="X113" s="4"/>
      <c r="Y113" s="7"/>
      <c r="Z113" s="4"/>
      <c r="AA113" s="7"/>
      <c r="AB113" s="4"/>
      <c r="AC113" s="4"/>
      <c r="AD113" s="4"/>
      <c r="AE113" s="4"/>
      <c r="AF113" s="7"/>
      <c r="AZ113" s="4"/>
      <c r="BB113" s="4"/>
      <c r="BE113" s="31"/>
      <c r="BK113" s="7"/>
      <c r="BL113" s="7"/>
      <c r="BM113" s="7"/>
      <c r="BN113" s="7"/>
      <c r="BO113" s="7"/>
      <c r="BP113" s="7"/>
      <c r="BQ113" s="4"/>
      <c r="BR113" s="4"/>
      <c r="BS113" s="4"/>
      <c r="BT113" s="6"/>
      <c r="BU113" s="4"/>
      <c r="BV113" s="4"/>
      <c r="BW113" s="4"/>
      <c r="BX113" s="4"/>
      <c r="BY113" s="65"/>
      <c r="BZ113" s="4"/>
      <c r="CA113" s="63"/>
    </row>
    <row r="114" spans="2:79" x14ac:dyDescent="0.2"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Z114" s="4"/>
      <c r="BB114" s="4"/>
      <c r="BE114" s="31"/>
      <c r="BK114" s="7"/>
      <c r="BL114" s="7"/>
      <c r="BM114" s="7"/>
      <c r="BN114" s="7"/>
      <c r="BO114" s="7"/>
      <c r="BP114" s="7"/>
      <c r="BR114" s="4"/>
      <c r="BT114" s="6"/>
      <c r="BV114" s="4"/>
      <c r="BY114" s="65"/>
      <c r="CA114" s="63"/>
    </row>
    <row r="115" spans="2:79" x14ac:dyDescent="0.2">
      <c r="W115" s="4"/>
      <c r="X115" s="4"/>
      <c r="Y115" s="7"/>
      <c r="Z115" s="4"/>
      <c r="AA115" s="7"/>
      <c r="AB115" s="4"/>
      <c r="AC115" s="4"/>
      <c r="AD115" s="4"/>
      <c r="AE115" s="4"/>
      <c r="AF115" s="7"/>
      <c r="AZ115" s="4"/>
      <c r="BB115" s="4"/>
      <c r="BE115" s="4"/>
      <c r="BK115" s="7"/>
      <c r="BL115" s="7"/>
      <c r="BM115" s="7"/>
      <c r="BN115" s="7"/>
      <c r="BO115" s="7"/>
      <c r="BP115" s="7"/>
      <c r="BR115" s="4"/>
      <c r="BT115" s="6"/>
      <c r="BV115" s="4"/>
      <c r="BY115" s="65"/>
      <c r="CA115" s="63"/>
    </row>
    <row r="116" spans="2:79" x14ac:dyDescent="0.2">
      <c r="BK116" s="7"/>
      <c r="BL116" s="7"/>
      <c r="BM116" s="7"/>
      <c r="BN116" s="7"/>
      <c r="BO116" s="7"/>
      <c r="BP116" s="7"/>
      <c r="BR116" s="4"/>
      <c r="BT116" s="6"/>
      <c r="BV116" s="4"/>
      <c r="BY116" s="65"/>
      <c r="CA116" s="63"/>
    </row>
    <row r="118" spans="2:79" x14ac:dyDescent="0.2">
      <c r="B118" s="2"/>
      <c r="AF118" s="2"/>
    </row>
    <row r="119" spans="2:79" x14ac:dyDescent="0.2">
      <c r="E119" s="26"/>
      <c r="F119" s="25"/>
      <c r="V119" s="4"/>
    </row>
    <row r="120" spans="2:79" x14ac:dyDescent="0.2">
      <c r="E120" s="26"/>
      <c r="F120" s="25"/>
      <c r="V120" s="4"/>
      <c r="AW120" s="4"/>
      <c r="AX120" s="4"/>
    </row>
    <row r="121" spans="2:79" x14ac:dyDescent="0.2">
      <c r="E121" s="26"/>
      <c r="F121" s="25"/>
      <c r="V121" s="4"/>
      <c r="AW121" s="7"/>
      <c r="AX121" s="7"/>
      <c r="AZ121" s="12"/>
      <c r="BB121" s="12"/>
      <c r="BE121" s="31"/>
    </row>
    <row r="122" spans="2:79" x14ac:dyDescent="0.2">
      <c r="V122" s="4"/>
      <c r="AW122" s="7"/>
      <c r="AX122" s="7"/>
      <c r="AZ122" s="12"/>
      <c r="BB122" s="12"/>
      <c r="BE122" s="31"/>
    </row>
    <row r="123" spans="2:79" x14ac:dyDescent="0.2">
      <c r="V123" s="4"/>
      <c r="AW123" s="7"/>
      <c r="AX123" s="7"/>
      <c r="AZ123" s="12"/>
      <c r="BB123" s="12"/>
      <c r="BE123" s="31"/>
    </row>
    <row r="124" spans="2:79" x14ac:dyDescent="0.2">
      <c r="V124" s="4"/>
      <c r="AW124" s="7"/>
      <c r="AX124" s="16"/>
      <c r="AZ124" s="30"/>
      <c r="BB124" s="7"/>
      <c r="BE124" s="31"/>
    </row>
    <row r="125" spans="2:79" x14ac:dyDescent="0.2">
      <c r="V125" s="4"/>
      <c r="AW125" s="7"/>
      <c r="AX125" s="16"/>
      <c r="AZ125" s="30"/>
      <c r="BB125" s="7"/>
      <c r="BE125" s="31"/>
    </row>
    <row r="126" spans="2:79" x14ac:dyDescent="0.2">
      <c r="V126" s="4"/>
      <c r="AW126" s="7"/>
      <c r="AX126" s="7"/>
      <c r="AY126" s="4"/>
      <c r="AZ126" s="30"/>
      <c r="BB126" s="12"/>
      <c r="BE126" s="31"/>
    </row>
    <row r="127" spans="2:79" x14ac:dyDescent="0.2">
      <c r="V127" s="4"/>
      <c r="AW127" s="7"/>
      <c r="AX127" s="16"/>
      <c r="AZ127" s="30"/>
      <c r="BA127" s="4"/>
      <c r="BB127" s="12"/>
      <c r="BC127" s="28"/>
      <c r="BD127" s="28"/>
      <c r="BE127" s="31"/>
    </row>
    <row r="128" spans="2:79" x14ac:dyDescent="0.2">
      <c r="V128" s="4"/>
      <c r="AW128" s="16"/>
      <c r="AX128" s="7"/>
      <c r="AZ128" s="30"/>
      <c r="BB128" s="12"/>
      <c r="BE128" s="31"/>
    </row>
    <row r="129" spans="22:90" x14ac:dyDescent="0.2">
      <c r="V129" s="4"/>
      <c r="AW129" s="16"/>
      <c r="AX129" s="7"/>
      <c r="AY129" s="3"/>
      <c r="AZ129" s="30"/>
      <c r="BB129" s="12"/>
      <c r="BE129" s="31"/>
    </row>
    <row r="130" spans="22:90" x14ac:dyDescent="0.2">
      <c r="V130" s="4"/>
      <c r="AW130" s="16"/>
      <c r="AX130" s="7"/>
      <c r="AZ130" s="30"/>
      <c r="BB130" s="12"/>
      <c r="BE130" s="31"/>
    </row>
    <row r="131" spans="22:90" x14ac:dyDescent="0.2">
      <c r="V131" s="4"/>
      <c r="AW131" s="16"/>
      <c r="AX131" s="16"/>
      <c r="AZ131" s="30"/>
      <c r="BB131" s="7"/>
      <c r="BE131" s="31"/>
    </row>
    <row r="132" spans="22:90" x14ac:dyDescent="0.2">
      <c r="V132" s="4"/>
      <c r="AW132" s="16"/>
      <c r="AX132" s="16"/>
      <c r="AZ132" s="30"/>
      <c r="BB132" s="7"/>
      <c r="BE132" s="31"/>
    </row>
    <row r="133" spans="22:90" x14ac:dyDescent="0.2">
      <c r="V133" s="4"/>
      <c r="AJ133" s="4"/>
      <c r="AK133" s="7"/>
      <c r="AL133" s="7"/>
      <c r="AM133" s="7"/>
      <c r="AN133" s="7"/>
      <c r="AO133" s="7"/>
      <c r="AP133" s="7"/>
      <c r="AQ133" s="7"/>
      <c r="AR133" s="16"/>
      <c r="AS133" s="16"/>
      <c r="AT133" s="16"/>
      <c r="AU133" s="16"/>
      <c r="AV133" s="16"/>
      <c r="AW133" s="16"/>
      <c r="AX133" s="7"/>
      <c r="AZ133" s="30"/>
      <c r="BB133" s="12"/>
      <c r="BE133" s="31"/>
    </row>
    <row r="134" spans="22:90" x14ac:dyDescent="0.2">
      <c r="V134" s="4"/>
      <c r="AJ134" s="4"/>
      <c r="AK134" s="7"/>
      <c r="AL134" s="7"/>
      <c r="AM134" s="7"/>
      <c r="AN134" s="16"/>
      <c r="AO134" s="16"/>
      <c r="AP134" s="7"/>
      <c r="AQ134" s="16"/>
      <c r="AR134" s="8"/>
      <c r="AS134" s="8"/>
      <c r="AT134" s="8"/>
      <c r="AU134" s="16"/>
      <c r="AV134" s="16"/>
      <c r="AW134" s="7"/>
      <c r="AX134" s="16"/>
      <c r="AZ134" s="30"/>
      <c r="BB134" s="12"/>
      <c r="BE134" s="31"/>
    </row>
    <row r="135" spans="22:90" x14ac:dyDescent="0.2">
      <c r="V135" s="4"/>
      <c r="AK135" s="32"/>
      <c r="AL135" s="32"/>
      <c r="AM135" s="32"/>
    </row>
    <row r="136" spans="22:90" x14ac:dyDescent="0.2">
      <c r="V136" s="4"/>
    </row>
    <row r="137" spans="22:90" x14ac:dyDescent="0.2">
      <c r="BX137" s="33"/>
    </row>
    <row r="138" spans="22:90" x14ac:dyDescent="0.2">
      <c r="BX138" s="33"/>
    </row>
    <row r="139" spans="22:90" x14ac:dyDescent="0.2">
      <c r="BX139" s="33"/>
    </row>
    <row r="141" spans="22:90" x14ac:dyDescent="0.2">
      <c r="BX141" s="33"/>
      <c r="CL141" s="29"/>
    </row>
    <row r="142" spans="22:90" x14ac:dyDescent="0.2">
      <c r="BX142" s="33"/>
    </row>
    <row r="143" spans="22:90" x14ac:dyDescent="0.2">
      <c r="BX143" s="33"/>
    </row>
    <row r="144" spans="22:90" x14ac:dyDescent="0.2">
      <c r="BL144" s="4"/>
      <c r="BT144" s="2"/>
    </row>
    <row r="145" spans="39:92" x14ac:dyDescent="0.2">
      <c r="BL145" s="4"/>
      <c r="BN145" s="4"/>
      <c r="BP145" s="4"/>
      <c r="BR145" s="4"/>
      <c r="BT145" s="6"/>
      <c r="BU145" s="4"/>
      <c r="BV145" s="4"/>
      <c r="BW145" s="4"/>
      <c r="BX145" s="4"/>
      <c r="BY145" s="4"/>
      <c r="BZ145" s="4"/>
      <c r="CA145" s="42"/>
      <c r="CB145" s="4"/>
      <c r="CD145" s="4"/>
      <c r="CF145" s="4"/>
    </row>
    <row r="146" spans="39:92" x14ac:dyDescent="0.2">
      <c r="BL146" s="4"/>
      <c r="BN146" s="4"/>
      <c r="BP146" s="4"/>
      <c r="BR146" s="4"/>
      <c r="BT146" s="4"/>
      <c r="BU146" s="6"/>
      <c r="BV146" s="4"/>
      <c r="BW146" s="4"/>
      <c r="BX146" s="4"/>
      <c r="BY146" s="4"/>
      <c r="BZ146" s="4"/>
      <c r="CA146" s="43"/>
      <c r="CB146" s="4"/>
      <c r="CD146" s="4"/>
      <c r="CF146" s="4"/>
    </row>
    <row r="147" spans="39:92" x14ac:dyDescent="0.2">
      <c r="BL147" s="4"/>
      <c r="BN147" s="4"/>
      <c r="BP147" s="4"/>
      <c r="BR147" s="4"/>
      <c r="BT147" s="4"/>
      <c r="BU147" s="4"/>
      <c r="BV147" s="4"/>
      <c r="BW147" s="4"/>
      <c r="BX147" s="4"/>
      <c r="BY147" s="4"/>
      <c r="BZ147" s="4"/>
      <c r="CA147" s="42"/>
      <c r="CB147" s="4"/>
      <c r="CC147" s="4"/>
      <c r="CD147" s="4"/>
      <c r="CE147" s="4"/>
      <c r="CF147" s="4"/>
    </row>
    <row r="148" spans="39:92" x14ac:dyDescent="0.2">
      <c r="BL148" s="4"/>
      <c r="BN148" s="4"/>
      <c r="BP148" s="4"/>
      <c r="BR148" s="4"/>
      <c r="BT148" s="4"/>
      <c r="BU148" s="4"/>
      <c r="BV148" s="4"/>
      <c r="BW148" s="6"/>
      <c r="BX148" s="6"/>
      <c r="BY148" s="4"/>
      <c r="BZ148" s="4"/>
      <c r="CA148" s="43"/>
      <c r="CB148" s="7"/>
      <c r="CD148" s="4"/>
      <c r="CF148" s="7"/>
    </row>
    <row r="149" spans="39:92" x14ac:dyDescent="0.2">
      <c r="AM149" s="2"/>
      <c r="BL149" s="4"/>
      <c r="BN149" s="4"/>
      <c r="BP149" s="4"/>
      <c r="BR149" s="4"/>
      <c r="BT149" s="4"/>
      <c r="BU149" s="4"/>
      <c r="BV149" s="4"/>
      <c r="BW149" s="4"/>
      <c r="BX149" s="4"/>
      <c r="BY149" s="6"/>
      <c r="BZ149" s="4"/>
      <c r="CA149" s="43"/>
      <c r="CB149" s="7"/>
      <c r="CD149" s="4"/>
      <c r="CF149" s="7"/>
    </row>
    <row r="150" spans="39:92" x14ac:dyDescent="0.2">
      <c r="AN150" s="4"/>
      <c r="AO150" s="4"/>
      <c r="AP150" s="4"/>
      <c r="AQ150" s="4"/>
      <c r="AR150" s="4"/>
      <c r="AS150" s="4"/>
      <c r="AT150" s="4"/>
      <c r="AU150" s="4"/>
      <c r="BL150" s="4"/>
      <c r="BN150" s="4"/>
      <c r="BP150" s="4"/>
      <c r="BR150" s="4"/>
      <c r="BT150" s="4"/>
      <c r="BU150" s="4"/>
      <c r="BV150" s="4"/>
      <c r="BW150" s="4"/>
      <c r="BX150" s="4"/>
      <c r="BY150" s="4"/>
      <c r="BZ150" s="4"/>
      <c r="CA150" s="43"/>
      <c r="CB150" s="7"/>
      <c r="CD150" s="4"/>
      <c r="CF150" s="7"/>
    </row>
    <row r="151" spans="39:92" x14ac:dyDescent="0.2">
      <c r="AM151" s="4"/>
      <c r="AN151" s="7"/>
      <c r="AO151" s="7"/>
      <c r="AP151" s="7"/>
      <c r="AQ151" s="7"/>
      <c r="AR151" s="7"/>
      <c r="AS151" s="7"/>
      <c r="AT151" s="7"/>
      <c r="AU151" s="7"/>
      <c r="AV151" s="4"/>
      <c r="AW151" s="12"/>
      <c r="AX151" s="4"/>
      <c r="AY151" s="7"/>
      <c r="BL151" s="4"/>
      <c r="BM151" s="4"/>
      <c r="BN151" s="4"/>
      <c r="BO151" s="4"/>
      <c r="BP151" s="4"/>
      <c r="BQ151" s="28"/>
      <c r="BR151" s="4"/>
    </row>
    <row r="152" spans="39:92" x14ac:dyDescent="0.2">
      <c r="AM152" s="4"/>
      <c r="AN152" s="7"/>
      <c r="AO152" s="7"/>
      <c r="AP152" s="7"/>
      <c r="AQ152" s="7"/>
      <c r="AR152" s="7"/>
      <c r="AS152" s="7"/>
      <c r="AT152" s="7"/>
      <c r="AU152" s="7"/>
      <c r="AW152" s="12"/>
      <c r="AY152" s="7"/>
      <c r="BL152" s="6"/>
      <c r="BN152" s="12"/>
      <c r="BP152" s="26"/>
      <c r="BR152" s="16"/>
      <c r="BT152" s="2"/>
    </row>
    <row r="153" spans="39:92" x14ac:dyDescent="0.2">
      <c r="AM153" s="4"/>
      <c r="AN153" s="7"/>
      <c r="AO153" s="7"/>
      <c r="AP153" s="7"/>
      <c r="AQ153" s="7"/>
      <c r="AR153" s="7"/>
      <c r="AS153" s="7"/>
      <c r="AT153" s="7"/>
      <c r="AU153" s="7"/>
      <c r="AW153" s="12"/>
      <c r="AY153" s="7"/>
      <c r="BL153" s="6"/>
      <c r="BN153" s="12"/>
      <c r="BP153" s="26"/>
      <c r="BR153" s="22"/>
      <c r="BT153" s="7"/>
      <c r="BU153" s="4"/>
      <c r="BV153" s="6"/>
      <c r="BW153" s="7"/>
      <c r="BX153" s="7"/>
      <c r="BY153" s="4"/>
      <c r="BZ153" s="6"/>
      <c r="CB153" s="4"/>
      <c r="CD153" s="4"/>
      <c r="CF153" s="4"/>
      <c r="CH153" s="44"/>
    </row>
    <row r="154" spans="39:92" x14ac:dyDescent="0.2">
      <c r="AM154" s="4"/>
      <c r="AN154" s="7"/>
      <c r="AO154" s="7"/>
      <c r="AP154" s="7"/>
      <c r="AQ154" s="7"/>
      <c r="AR154" s="7"/>
      <c r="AS154" s="7"/>
      <c r="AT154" s="7"/>
      <c r="AU154" s="7"/>
      <c r="AW154" s="12"/>
      <c r="AY154" s="7"/>
      <c r="BL154" s="6"/>
      <c r="BN154" s="12"/>
      <c r="BP154" s="26"/>
      <c r="BR154" s="16"/>
      <c r="BT154" s="4"/>
      <c r="BU154" s="7"/>
      <c r="BV154" s="7"/>
      <c r="BW154" s="4"/>
      <c r="BX154" s="4"/>
      <c r="BY154" s="7"/>
      <c r="BZ154" s="7"/>
      <c r="CB154" s="4"/>
      <c r="CD154" s="7"/>
      <c r="CF154" s="4"/>
      <c r="CH154" s="44"/>
    </row>
    <row r="155" spans="39:92" x14ac:dyDescent="0.2">
      <c r="AM155" s="4"/>
      <c r="AN155" s="7"/>
      <c r="AO155" s="7"/>
      <c r="AP155" s="7"/>
      <c r="AQ155" s="7"/>
      <c r="AR155" s="7"/>
      <c r="AS155" s="7"/>
      <c r="AT155" s="7"/>
      <c r="AU155" s="7"/>
      <c r="AW155" s="12"/>
      <c r="AY155" s="7"/>
      <c r="BL155" s="6"/>
      <c r="BN155" s="12"/>
      <c r="BP155" s="7"/>
      <c r="BR155" s="16"/>
      <c r="BT155" s="6"/>
      <c r="BU155" s="7"/>
      <c r="BV155" s="7"/>
      <c r="BW155" s="7"/>
      <c r="BX155" s="7"/>
      <c r="BY155" s="7"/>
      <c r="BZ155" s="7"/>
      <c r="CA155" s="4"/>
      <c r="CB155" s="4"/>
      <c r="CC155" s="4"/>
      <c r="CD155" s="7"/>
      <c r="CE155" s="4"/>
      <c r="CF155" s="4"/>
      <c r="CG155" s="4"/>
      <c r="CH155" s="44"/>
      <c r="CN155" s="45"/>
    </row>
    <row r="156" spans="39:92" x14ac:dyDescent="0.2">
      <c r="AM156" s="4"/>
      <c r="AN156" s="7"/>
      <c r="AO156" s="7"/>
      <c r="AP156" s="7"/>
      <c r="AQ156" s="7"/>
      <c r="AR156" s="7"/>
      <c r="AS156" s="7"/>
      <c r="AT156" s="7"/>
      <c r="AU156" s="7"/>
      <c r="AW156" s="12"/>
      <c r="AY156" s="7"/>
      <c r="BL156" s="6"/>
      <c r="BN156" s="12"/>
      <c r="BP156" s="7"/>
      <c r="BR156" s="22"/>
      <c r="BT156" s="7"/>
      <c r="BU156" s="4"/>
      <c r="BV156" s="6"/>
      <c r="BW156" s="46"/>
      <c r="BX156" s="46"/>
      <c r="BY156" s="4"/>
      <c r="BZ156" s="6"/>
      <c r="CB156" s="7"/>
      <c r="CD156" s="4"/>
      <c r="CF156" s="4"/>
      <c r="CH156" s="44"/>
    </row>
    <row r="157" spans="39:92" x14ac:dyDescent="0.2">
      <c r="AM157" s="4"/>
      <c r="AN157" s="7"/>
      <c r="AO157" s="7"/>
      <c r="AP157" s="7"/>
      <c r="AQ157" s="7"/>
      <c r="AR157" s="7"/>
      <c r="AS157" s="7"/>
      <c r="AT157" s="7"/>
      <c r="AU157" s="7"/>
      <c r="AW157" s="12"/>
      <c r="AY157" s="7"/>
      <c r="BD157" s="47"/>
      <c r="BL157" s="6"/>
      <c r="BN157" s="12"/>
      <c r="BO157" s="32"/>
      <c r="BP157" s="4"/>
      <c r="BR157" s="16"/>
      <c r="BT157" s="4"/>
      <c r="BU157" s="7"/>
      <c r="BV157" s="7"/>
      <c r="BW157" s="4"/>
      <c r="BX157" s="4"/>
      <c r="BY157" s="7"/>
      <c r="BZ157" s="7"/>
      <c r="CB157" s="7"/>
      <c r="CD157" s="7"/>
      <c r="CF157" s="4"/>
      <c r="CH157" s="44"/>
    </row>
    <row r="158" spans="39:92" x14ac:dyDescent="0.2">
      <c r="AM158" s="4"/>
      <c r="AN158" s="7"/>
      <c r="AO158" s="7"/>
      <c r="AP158" s="7"/>
      <c r="AQ158" s="7"/>
      <c r="AR158" s="7"/>
      <c r="AS158" s="7"/>
      <c r="AT158" s="7"/>
      <c r="AU158" s="7"/>
      <c r="AW158" s="12"/>
      <c r="AY158" s="7"/>
      <c r="BD158" s="47"/>
      <c r="BL158" s="6"/>
      <c r="BN158" s="4"/>
      <c r="BP158" s="4"/>
      <c r="BR158" s="4"/>
      <c r="BT158" s="6"/>
      <c r="BU158" s="7"/>
      <c r="BV158" s="7"/>
      <c r="BW158" s="6"/>
      <c r="BX158" s="6"/>
      <c r="BY158" s="7"/>
      <c r="BZ158" s="7"/>
      <c r="CB158" s="7"/>
      <c r="CD158" s="7"/>
      <c r="CF158" s="4"/>
      <c r="CH158" s="48"/>
    </row>
    <row r="159" spans="39:92" x14ac:dyDescent="0.2">
      <c r="BD159" s="47"/>
      <c r="BR159" s="32"/>
    </row>
    <row r="160" spans="39:92" x14ac:dyDescent="0.2">
      <c r="AS160" s="29"/>
      <c r="BD160" s="47"/>
      <c r="BK160" s="2"/>
      <c r="BP160" s="32"/>
    </row>
    <row r="161" spans="39:91" x14ac:dyDescent="0.2">
      <c r="BD161" s="47"/>
      <c r="BJ161" s="4"/>
      <c r="BK161" s="4"/>
      <c r="BL161" s="4"/>
      <c r="BM161" s="4"/>
      <c r="BN161" s="4"/>
      <c r="BO161" s="4"/>
      <c r="BP161" s="4"/>
      <c r="BQ161" s="4"/>
      <c r="BR161" s="4"/>
      <c r="BW161" s="49"/>
      <c r="BX161" s="49"/>
      <c r="CC161" s="29"/>
    </row>
    <row r="162" spans="39:91" x14ac:dyDescent="0.2">
      <c r="AM162" s="2"/>
      <c r="AZ162" s="50"/>
      <c r="BA162" s="50"/>
      <c r="BB162" s="50"/>
      <c r="BC162" s="50"/>
      <c r="BD162" s="47"/>
      <c r="BK162" s="33"/>
      <c r="BL162" s="33"/>
      <c r="BN162" s="32"/>
      <c r="BT162" s="2"/>
      <c r="CA162" s="33"/>
      <c r="CB162" s="33"/>
      <c r="CC162" s="32"/>
    </row>
    <row r="163" spans="39:91" x14ac:dyDescent="0.2">
      <c r="AN163" s="4"/>
      <c r="AO163" s="4"/>
      <c r="AP163" s="4"/>
      <c r="AQ163" s="4"/>
      <c r="AR163" s="4"/>
      <c r="AS163" s="4"/>
      <c r="AT163" s="4"/>
      <c r="AU163" s="4"/>
      <c r="AZ163" s="50"/>
      <c r="BA163" s="50"/>
      <c r="BB163" s="50"/>
      <c r="BC163" s="50"/>
      <c r="BD163" s="50"/>
      <c r="BE163" s="50"/>
    </row>
    <row r="164" spans="39:91" x14ac:dyDescent="0.2">
      <c r="AM164" s="4"/>
      <c r="AN164" s="7"/>
      <c r="AO164" s="7"/>
      <c r="AP164" s="7"/>
      <c r="AQ164" s="7"/>
      <c r="AR164" s="7"/>
      <c r="AS164" s="7"/>
      <c r="AT164" s="7"/>
      <c r="AU164" s="7"/>
      <c r="AV164" s="4"/>
      <c r="AW164" s="3"/>
      <c r="AX164" s="4"/>
      <c r="AY164" s="12"/>
      <c r="AZ164" s="30"/>
      <c r="BA164" s="51"/>
      <c r="BB164" s="50"/>
      <c r="BC164" s="50"/>
      <c r="BD164" s="52"/>
      <c r="BE164" s="50"/>
      <c r="BQ164" s="33"/>
    </row>
    <row r="165" spans="39:91" x14ac:dyDescent="0.2">
      <c r="AM165" s="4"/>
      <c r="AN165" s="7"/>
      <c r="AO165" s="7"/>
      <c r="AP165" s="7"/>
      <c r="AQ165" s="7"/>
      <c r="AR165" s="7"/>
      <c r="AS165" s="7"/>
      <c r="AT165" s="7"/>
      <c r="AU165" s="7"/>
      <c r="AW165" s="3"/>
      <c r="AY165" s="12"/>
      <c r="AZ165" s="50"/>
      <c r="BA165" s="51"/>
      <c r="BB165" s="50"/>
      <c r="BC165" s="50"/>
      <c r="BD165" s="52"/>
      <c r="BE165" s="50"/>
      <c r="BK165" s="2"/>
      <c r="BT165" s="2"/>
      <c r="BY165" s="2"/>
    </row>
    <row r="166" spans="39:91" x14ac:dyDescent="0.2">
      <c r="AM166" s="4"/>
      <c r="AN166" s="7"/>
      <c r="AO166" s="7"/>
      <c r="AP166" s="7"/>
      <c r="AQ166" s="7"/>
      <c r="AR166" s="7"/>
      <c r="AS166" s="7"/>
      <c r="AT166" s="7"/>
      <c r="AU166" s="7"/>
      <c r="AW166" s="3"/>
      <c r="AY166" s="12"/>
      <c r="AZ166" s="50"/>
      <c r="BA166" s="51"/>
      <c r="BB166" s="53"/>
      <c r="BC166" s="50"/>
      <c r="BD166" s="54"/>
      <c r="BE166" s="50"/>
      <c r="BP166" s="55"/>
      <c r="BQ166" s="56"/>
      <c r="BR166" s="57"/>
      <c r="BT166" s="12"/>
      <c r="BU166" s="58"/>
      <c r="BV166" s="2"/>
      <c r="BY166" s="12"/>
      <c r="BZ166" s="56"/>
      <c r="CA166" s="2"/>
    </row>
    <row r="167" spans="39:91" x14ac:dyDescent="0.2">
      <c r="AM167" s="4"/>
      <c r="AN167" s="7"/>
      <c r="AO167" s="7"/>
      <c r="AP167" s="7"/>
      <c r="AQ167" s="7"/>
      <c r="AR167" s="7"/>
      <c r="AS167" s="7"/>
      <c r="AT167" s="7"/>
      <c r="AU167" s="7"/>
      <c r="AW167" s="3"/>
      <c r="AY167" s="12"/>
      <c r="BA167" s="51"/>
      <c r="BB167" s="53"/>
      <c r="BC167" s="50"/>
      <c r="BD167" s="52"/>
      <c r="BE167" s="50"/>
      <c r="BP167" s="55"/>
      <c r="BQ167" s="56"/>
      <c r="BR167" s="57"/>
      <c r="BT167" s="12"/>
      <c r="BU167" s="58"/>
      <c r="BV167" s="2"/>
      <c r="BY167" s="12"/>
      <c r="BZ167" s="56"/>
      <c r="CA167" s="2"/>
    </row>
    <row r="168" spans="39:91" x14ac:dyDescent="0.2">
      <c r="AM168" s="4"/>
      <c r="AN168" s="7"/>
      <c r="AO168" s="7"/>
      <c r="AP168" s="7"/>
      <c r="AQ168" s="7"/>
      <c r="AR168" s="7"/>
      <c r="AS168" s="7"/>
      <c r="AT168" s="7"/>
      <c r="AU168" s="7"/>
      <c r="AW168" s="3"/>
      <c r="AY168" s="12"/>
      <c r="AZ168" s="50"/>
      <c r="BA168" s="51"/>
      <c r="BB168" s="50"/>
      <c r="BC168" s="50"/>
      <c r="BD168" s="52"/>
      <c r="BE168" s="50"/>
      <c r="BP168" s="55"/>
      <c r="BQ168" s="56"/>
      <c r="BR168" s="57"/>
      <c r="BT168" s="12"/>
      <c r="BU168" s="58"/>
      <c r="BV168" s="2"/>
      <c r="BW168" s="59"/>
      <c r="BX168" s="59"/>
      <c r="BY168" s="12"/>
      <c r="BZ168" s="56"/>
      <c r="CA168" s="2"/>
    </row>
    <row r="169" spans="39:91" x14ac:dyDescent="0.2">
      <c r="AM169" s="4"/>
      <c r="AN169" s="7"/>
      <c r="AO169" s="7"/>
      <c r="AP169" s="7"/>
      <c r="AQ169" s="7"/>
      <c r="AR169" s="7"/>
      <c r="AS169" s="7"/>
      <c r="AT169" s="7"/>
      <c r="AU169" s="7"/>
      <c r="AW169" s="3"/>
      <c r="AY169" s="12"/>
      <c r="AZ169" s="50"/>
      <c r="BA169" s="51"/>
      <c r="BB169" s="50"/>
      <c r="BC169" s="50"/>
      <c r="BD169" s="52"/>
      <c r="BE169" s="50"/>
      <c r="BL169" s="60"/>
      <c r="BM169" s="61"/>
      <c r="BN169" s="61"/>
      <c r="BP169" s="55"/>
      <c r="BQ169" s="56"/>
      <c r="BT169" s="12"/>
      <c r="BU169" s="58"/>
      <c r="BV169" s="2"/>
      <c r="BW169" s="59"/>
      <c r="BX169" s="59"/>
      <c r="BY169" s="12"/>
      <c r="BZ169" s="56"/>
      <c r="CA169" s="2"/>
    </row>
    <row r="170" spans="39:91" x14ac:dyDescent="0.2">
      <c r="AM170" s="4"/>
      <c r="AN170" s="7"/>
      <c r="AO170" s="7"/>
      <c r="AP170" s="7"/>
      <c r="AQ170" s="7"/>
      <c r="AR170" s="7"/>
      <c r="AS170" s="7"/>
      <c r="AT170" s="7"/>
      <c r="AU170" s="7"/>
      <c r="AW170" s="3"/>
      <c r="AY170" s="12"/>
      <c r="AZ170" s="50"/>
      <c r="BA170" s="51"/>
      <c r="BB170" s="53"/>
      <c r="BC170" s="50"/>
      <c r="BD170" s="52"/>
      <c r="BE170" s="50"/>
      <c r="BP170" s="55"/>
      <c r="BQ170" s="47"/>
      <c r="BT170" s="12"/>
      <c r="BU170" s="58"/>
      <c r="BV170" s="2"/>
      <c r="BY170" s="12"/>
      <c r="BZ170" s="56"/>
      <c r="CA170" s="2"/>
    </row>
    <row r="171" spans="39:91" x14ac:dyDescent="0.2">
      <c r="AM171" s="4"/>
      <c r="AN171" s="7"/>
      <c r="AO171" s="7"/>
      <c r="AP171" s="7"/>
      <c r="AQ171" s="7"/>
      <c r="AR171" s="7"/>
      <c r="AS171" s="7"/>
      <c r="AT171" s="7"/>
      <c r="AU171" s="7"/>
      <c r="AW171" s="3"/>
      <c r="AY171" s="12"/>
      <c r="AZ171" s="50"/>
      <c r="BA171" s="51"/>
      <c r="BB171" s="53"/>
      <c r="BC171" s="50"/>
      <c r="BD171" s="52"/>
      <c r="BE171" s="50"/>
      <c r="BP171" s="55"/>
      <c r="BQ171" s="47"/>
      <c r="BT171" s="12"/>
      <c r="BU171" s="58"/>
      <c r="BV171" s="2"/>
      <c r="BY171" s="12"/>
      <c r="BZ171" s="56"/>
      <c r="CA171" s="2"/>
      <c r="CF171" s="2"/>
    </row>
    <row r="172" spans="39:91" x14ac:dyDescent="0.2">
      <c r="BB172" s="50"/>
      <c r="BC172" s="50"/>
      <c r="BD172" s="50"/>
      <c r="BE172" s="50"/>
      <c r="BW172" s="59"/>
      <c r="BX172" s="59"/>
      <c r="BY172" s="12"/>
      <c r="BZ172" s="56"/>
      <c r="CA172" s="2"/>
    </row>
    <row r="173" spans="39:91" x14ac:dyDescent="0.2">
      <c r="AZ173" s="50"/>
      <c r="BA173" s="50"/>
      <c r="BB173" s="62"/>
      <c r="BC173" s="50"/>
      <c r="BD173" s="50"/>
      <c r="BE173" s="50"/>
      <c r="BF173" s="50"/>
      <c r="BW173" s="59"/>
      <c r="BX173" s="59"/>
      <c r="BY173" s="12"/>
      <c r="BZ173" s="56"/>
      <c r="CA173" s="2"/>
    </row>
    <row r="174" spans="39:91" x14ac:dyDescent="0.2">
      <c r="AZ174" s="50"/>
      <c r="BA174" s="50"/>
      <c r="BB174" s="50"/>
      <c r="BC174" s="50"/>
      <c r="BD174" s="50"/>
      <c r="BE174" s="50"/>
      <c r="BF174" s="50"/>
    </row>
    <row r="175" spans="39:91" x14ac:dyDescent="0.2">
      <c r="AM175" s="2"/>
      <c r="AZ175" s="50"/>
      <c r="BA175" s="50"/>
      <c r="BB175" s="50"/>
      <c r="BC175" s="50"/>
      <c r="BD175" s="50"/>
      <c r="BE175" s="50"/>
      <c r="BF175" s="50"/>
    </row>
    <row r="176" spans="39:91" x14ac:dyDescent="0.2">
      <c r="AN176" s="4"/>
      <c r="AO176" s="4"/>
      <c r="AP176" s="4"/>
      <c r="AQ176" s="4"/>
      <c r="AR176" s="4"/>
      <c r="AS176" s="4"/>
      <c r="AT176" s="4"/>
      <c r="AU176" s="4"/>
      <c r="AW176" s="7"/>
      <c r="AZ176" s="50"/>
      <c r="BA176" s="50"/>
      <c r="BB176" s="50"/>
      <c r="BC176" s="50"/>
      <c r="BD176" s="50"/>
      <c r="BE176" s="50"/>
      <c r="BF176" s="50"/>
      <c r="BK176" s="2"/>
      <c r="BP176" s="2"/>
      <c r="BT176" s="2"/>
      <c r="BY176" s="2"/>
      <c r="CD176" s="2"/>
      <c r="CI176" s="2"/>
      <c r="CM176" s="2"/>
    </row>
    <row r="177" spans="39:93" x14ac:dyDescent="0.2">
      <c r="AM177" s="4"/>
      <c r="AN177" s="7"/>
      <c r="AO177" s="7"/>
      <c r="AP177" s="7"/>
      <c r="AQ177" s="7"/>
      <c r="AR177" s="6"/>
      <c r="AS177" s="6"/>
      <c r="AT177" s="6"/>
      <c r="AU177" s="6"/>
      <c r="AW177" s="7"/>
      <c r="AY177" s="7"/>
      <c r="AZ177" s="50"/>
      <c r="BA177" s="26"/>
      <c r="BB177" s="50"/>
      <c r="BC177" s="48"/>
      <c r="BD177" s="48"/>
      <c r="BE177" s="50"/>
      <c r="BF177" s="63"/>
      <c r="BK177" s="26"/>
      <c r="BL177" s="47"/>
      <c r="BM177" s="2"/>
      <c r="BP177" s="4"/>
      <c r="BQ177" s="47"/>
      <c r="BR177" s="2"/>
      <c r="BT177" s="4"/>
      <c r="BU177" s="47"/>
      <c r="BV177" s="2"/>
      <c r="BY177" s="4"/>
      <c r="BZ177" s="47"/>
      <c r="CA177" s="2"/>
      <c r="CD177" s="4"/>
      <c r="CE177" s="47"/>
      <c r="CF177" s="2"/>
      <c r="CI177" s="4"/>
      <c r="CJ177" s="47"/>
      <c r="CK177" s="2"/>
      <c r="CM177" s="4"/>
      <c r="CN177" s="47"/>
      <c r="CO177" s="2"/>
    </row>
    <row r="178" spans="39:93" x14ac:dyDescent="0.2">
      <c r="AM178" s="4"/>
      <c r="AN178" s="7"/>
      <c r="AO178" s="7"/>
      <c r="AP178" s="7"/>
      <c r="AQ178" s="7"/>
      <c r="AR178" s="6"/>
      <c r="AS178" s="6"/>
      <c r="AT178" s="6"/>
      <c r="AU178" s="6"/>
      <c r="AW178" s="7"/>
      <c r="AY178" s="7"/>
      <c r="AZ178" s="50"/>
      <c r="BA178" s="26"/>
      <c r="BB178" s="50"/>
      <c r="BC178" s="48"/>
      <c r="BD178" s="48"/>
      <c r="BE178" s="50"/>
      <c r="BF178" s="63"/>
      <c r="BK178" s="26"/>
      <c r="BL178" s="47"/>
      <c r="BM178" s="2"/>
      <c r="BP178" s="4"/>
      <c r="BQ178" s="47"/>
      <c r="BR178" s="2"/>
      <c r="BT178" s="4"/>
      <c r="BU178" s="47"/>
      <c r="BV178" s="2"/>
      <c r="BY178" s="4"/>
      <c r="BZ178" s="47"/>
      <c r="CA178" s="2"/>
      <c r="CD178" s="4"/>
      <c r="CE178" s="47"/>
      <c r="CF178" s="2"/>
      <c r="CI178" s="4"/>
      <c r="CJ178" s="47"/>
      <c r="CK178" s="2"/>
      <c r="CM178" s="4"/>
      <c r="CN178" s="47"/>
      <c r="CO178" s="2"/>
    </row>
    <row r="179" spans="39:93" x14ac:dyDescent="0.2">
      <c r="AM179" s="4"/>
      <c r="AN179" s="7"/>
      <c r="AO179" s="7"/>
      <c r="AP179" s="7"/>
      <c r="AQ179" s="7"/>
      <c r="AR179" s="6"/>
      <c r="AS179" s="6"/>
      <c r="AT179" s="6"/>
      <c r="AU179" s="6"/>
      <c r="AV179" s="4"/>
      <c r="AW179" s="7"/>
      <c r="AX179" s="4"/>
      <c r="AY179" s="7"/>
      <c r="AZ179" s="30"/>
      <c r="BA179" s="26"/>
      <c r="BB179" s="30"/>
      <c r="BC179" s="48"/>
      <c r="BD179" s="48"/>
      <c r="BE179" s="30"/>
      <c r="BF179" s="63"/>
      <c r="BK179" s="26"/>
      <c r="BL179" s="47"/>
      <c r="BM179" s="2"/>
      <c r="BP179" s="4"/>
      <c r="BQ179" s="47"/>
      <c r="BR179" s="2"/>
      <c r="BT179" s="4"/>
      <c r="BU179" s="47"/>
      <c r="BV179" s="2"/>
      <c r="BY179" s="4"/>
      <c r="BZ179" s="47"/>
      <c r="CA179" s="2"/>
      <c r="CD179" s="4"/>
      <c r="CE179" s="47"/>
      <c r="CF179" s="2"/>
      <c r="CI179" s="4"/>
      <c r="CJ179" s="47"/>
      <c r="CK179" s="2"/>
      <c r="CM179" s="4"/>
      <c r="CN179" s="47"/>
      <c r="CO179" s="2"/>
    </row>
    <row r="180" spans="39:93" x14ac:dyDescent="0.2">
      <c r="AM180" s="4"/>
      <c r="AN180" s="4"/>
      <c r="AO180" s="4"/>
      <c r="AP180" s="4"/>
      <c r="AQ180" s="4"/>
      <c r="AR180" s="7"/>
      <c r="AS180" s="7"/>
      <c r="AT180" s="7"/>
      <c r="AU180" s="7"/>
      <c r="AW180" s="7"/>
      <c r="AY180" s="7"/>
      <c r="AZ180" s="50"/>
      <c r="BA180" s="26"/>
      <c r="BB180" s="50"/>
      <c r="BC180" s="48"/>
      <c r="BD180" s="48"/>
      <c r="BE180" s="50"/>
      <c r="BF180" s="63"/>
      <c r="BK180" s="26"/>
      <c r="BL180" s="47"/>
      <c r="BM180" s="2"/>
      <c r="BP180" s="4"/>
      <c r="BQ180" s="47"/>
      <c r="BR180" s="2"/>
      <c r="BT180" s="4"/>
      <c r="BU180" s="47"/>
      <c r="BV180" s="2"/>
      <c r="BY180" s="4"/>
      <c r="BZ180" s="47"/>
      <c r="CA180" s="2"/>
      <c r="CD180" s="4"/>
      <c r="CE180" s="47"/>
      <c r="CF180" s="2"/>
      <c r="CI180" s="4"/>
      <c r="CJ180" s="47"/>
      <c r="CK180" s="2"/>
      <c r="CM180" s="4"/>
      <c r="CN180" s="47"/>
      <c r="CO180" s="2"/>
    </row>
    <row r="181" spans="39:93" x14ac:dyDescent="0.2">
      <c r="AM181" s="4"/>
      <c r="AN181" s="4"/>
      <c r="AO181" s="4"/>
      <c r="AP181" s="4"/>
      <c r="AQ181" s="4"/>
      <c r="AR181" s="7"/>
      <c r="AS181" s="7"/>
      <c r="AT181" s="7"/>
      <c r="AU181" s="7"/>
      <c r="AW181" s="7"/>
      <c r="AY181" s="7"/>
      <c r="AZ181" s="50"/>
      <c r="BA181" s="26"/>
      <c r="BB181" s="50"/>
      <c r="BC181" s="48"/>
      <c r="BD181" s="48"/>
      <c r="BE181" s="50"/>
      <c r="BF181" s="63"/>
      <c r="BK181" s="26"/>
      <c r="BL181" s="47"/>
      <c r="BM181" s="2"/>
      <c r="BP181" s="4"/>
      <c r="BQ181" s="47"/>
      <c r="BR181" s="2"/>
      <c r="BT181" s="4"/>
      <c r="BU181" s="47"/>
      <c r="BV181" s="2"/>
      <c r="BY181" s="4"/>
      <c r="BZ181" s="47"/>
      <c r="CA181" s="2"/>
      <c r="CD181" s="4"/>
      <c r="CE181" s="47"/>
      <c r="CF181" s="2"/>
      <c r="CI181" s="4"/>
      <c r="CJ181" s="47"/>
      <c r="CK181" s="2"/>
      <c r="CM181" s="4"/>
      <c r="CN181" s="47"/>
      <c r="CO181" s="2"/>
    </row>
    <row r="182" spans="39:93" x14ac:dyDescent="0.2">
      <c r="AM182" s="4"/>
      <c r="AN182" s="4"/>
      <c r="AO182" s="4"/>
      <c r="AP182" s="4"/>
      <c r="AQ182" s="4"/>
      <c r="AR182" s="7"/>
      <c r="AS182" s="7"/>
      <c r="AT182" s="7"/>
      <c r="AU182" s="7"/>
      <c r="AW182" s="7"/>
      <c r="AY182" s="7"/>
      <c r="AZ182" s="50"/>
      <c r="BA182" s="26"/>
      <c r="BB182" s="50"/>
      <c r="BC182" s="48"/>
      <c r="BD182" s="48"/>
      <c r="BE182" s="50"/>
      <c r="BF182" s="63"/>
      <c r="BK182" s="26"/>
      <c r="BL182" s="47"/>
      <c r="BM182" s="2"/>
      <c r="BP182" s="4"/>
      <c r="BQ182" s="47"/>
      <c r="BR182" s="2"/>
      <c r="BT182" s="4"/>
      <c r="BU182" s="47"/>
      <c r="BV182" s="2"/>
      <c r="BY182" s="4"/>
      <c r="BZ182" s="47"/>
      <c r="CA182" s="2"/>
      <c r="CD182" s="4"/>
      <c r="CE182" s="47"/>
      <c r="CF182" s="2"/>
      <c r="CI182" s="4"/>
      <c r="CJ182" s="47"/>
      <c r="CK182" s="2"/>
      <c r="CM182" s="4"/>
      <c r="CN182" s="47"/>
      <c r="CO182" s="2"/>
    </row>
    <row r="183" spans="39:93" x14ac:dyDescent="0.2">
      <c r="AW183" s="7"/>
      <c r="AZ183" s="50"/>
      <c r="BA183" s="50"/>
      <c r="BB183" s="50"/>
      <c r="BC183" s="50"/>
      <c r="BD183" s="50"/>
      <c r="BE183" s="50"/>
      <c r="BF183" s="50"/>
      <c r="BT183" s="47"/>
    </row>
    <row r="184" spans="39:93" x14ac:dyDescent="0.2">
      <c r="AW184" s="7"/>
      <c r="BE184" s="50"/>
      <c r="BF184" s="50"/>
    </row>
    <row r="185" spans="39:93" x14ac:dyDescent="0.2">
      <c r="AW185" s="7"/>
      <c r="AZ185" s="50"/>
      <c r="BA185" s="50"/>
      <c r="BB185" s="50"/>
      <c r="BC185" s="50"/>
      <c r="BD185" s="50"/>
      <c r="BE185" s="50"/>
      <c r="BF185" s="50"/>
      <c r="BK185" s="2"/>
      <c r="BR185" s="64"/>
    </row>
    <row r="186" spans="39:93" x14ac:dyDescent="0.2">
      <c r="AW186" s="7"/>
      <c r="BL186" s="56"/>
      <c r="BM186" s="2"/>
    </row>
    <row r="187" spans="39:93" x14ac:dyDescent="0.2">
      <c r="BL187" s="56"/>
      <c r="BM187" s="2"/>
    </row>
    <row r="190" spans="39:93" x14ac:dyDescent="0.2">
      <c r="BL190" s="56"/>
      <c r="BM190" s="2"/>
    </row>
    <row r="191" spans="39:93" x14ac:dyDescent="0.2">
      <c r="BL191" s="56"/>
      <c r="BM191" s="2"/>
    </row>
    <row r="192" spans="39:93" x14ac:dyDescent="0.2">
      <c r="BL192" s="56"/>
      <c r="BM192" s="2"/>
    </row>
    <row r="193" spans="64:65" x14ac:dyDescent="0.2">
      <c r="BL193" s="56"/>
      <c r="BM193" s="2"/>
    </row>
    <row r="195" spans="64:65" x14ac:dyDescent="0.2">
      <c r="BL195" s="56"/>
      <c r="BM195" s="2"/>
    </row>
    <row r="198" spans="64:65" x14ac:dyDescent="0.2">
      <c r="BL198" s="56"/>
      <c r="BM198" s="2"/>
    </row>
    <row r="199" spans="64:65" x14ac:dyDescent="0.2">
      <c r="BL199" s="56"/>
      <c r="BM199" s="2"/>
    </row>
    <row r="200" spans="64:65" x14ac:dyDescent="0.2">
      <c r="BL200" s="56"/>
      <c r="BM200" s="2"/>
    </row>
    <row r="201" spans="64:65" x14ac:dyDescent="0.2">
      <c r="BL201" s="56"/>
      <c r="BM201" s="2"/>
    </row>
    <row r="203" spans="64:65" x14ac:dyDescent="0.2">
      <c r="BL203" s="56"/>
      <c r="BM203" s="2"/>
    </row>
    <row r="206" spans="64:65" x14ac:dyDescent="0.2">
      <c r="BL206" s="56"/>
      <c r="BM206" s="2"/>
    </row>
    <row r="207" spans="64:65" x14ac:dyDescent="0.2">
      <c r="BL207" s="56"/>
      <c r="BM207" s="2"/>
    </row>
    <row r="208" spans="64:65" x14ac:dyDescent="0.2">
      <c r="BL208" s="56"/>
      <c r="BM208" s="2"/>
    </row>
    <row r="209" spans="58:65" x14ac:dyDescent="0.2">
      <c r="BL209" s="56"/>
      <c r="BM209" s="2"/>
    </row>
    <row r="219" spans="58:65" x14ac:dyDescent="0.2">
      <c r="BF219" s="50"/>
    </row>
    <row r="220" spans="58:65" x14ac:dyDescent="0.2">
      <c r="BF220" s="50"/>
    </row>
    <row r="221" spans="58:65" x14ac:dyDescent="0.2">
      <c r="BF221" s="50"/>
    </row>
    <row r="222" spans="58:65" x14ac:dyDescent="0.2">
      <c r="BF222" s="50"/>
    </row>
    <row r="223" spans="58:65" x14ac:dyDescent="0.2">
      <c r="BF223" s="50"/>
    </row>
    <row r="224" spans="58:65" x14ac:dyDescent="0.2">
      <c r="BF224" s="50"/>
    </row>
    <row r="225" spans="58:58" x14ac:dyDescent="0.2">
      <c r="BF225" s="50"/>
    </row>
    <row r="226" spans="58:58" x14ac:dyDescent="0.2">
      <c r="BF226" s="50"/>
    </row>
    <row r="227" spans="58:58" x14ac:dyDescent="0.2">
      <c r="BF227" s="50"/>
    </row>
  </sheetData>
  <conditionalFormatting sqref="M22:R27">
    <cfRule type="expression" dxfId="7" priority="6">
      <formula>ABS(M22)&lt;0.1</formula>
    </cfRule>
  </conditionalFormatting>
  <conditionalFormatting sqref="V22:V28 V31:V36">
    <cfRule type="expression" dxfId="6" priority="5">
      <formula>ABS(V22)&lt;0.1</formula>
    </cfRule>
  </conditionalFormatting>
  <conditionalFormatting sqref="BR166:BR168">
    <cfRule type="cellIs" dxfId="5" priority="7" operator="equal">
      <formula>"VIRHE!"</formula>
    </cfRule>
    <cfRule type="cellIs" dxfId="4" priority="8" operator="equal">
      <formula>"OK!"</formula>
    </cfRule>
  </conditionalFormatting>
  <conditionalFormatting sqref="M31:R36">
    <cfRule type="expression" dxfId="3" priority="4">
      <formula>ABS(M31)&lt;0.1</formula>
    </cfRule>
  </conditionalFormatting>
  <conditionalFormatting sqref="M39:R44">
    <cfRule type="expression" dxfId="2" priority="3">
      <formula>ABS(M39)&lt;0.1</formula>
    </cfRule>
  </conditionalFormatting>
  <conditionalFormatting sqref="M13:R18">
    <cfRule type="expression" dxfId="1" priority="2">
      <formula>ABS(M13)&lt;0.1</formula>
    </cfRule>
  </conditionalFormatting>
  <conditionalFormatting sqref="T13:Y18">
    <cfRule type="expression" dxfId="0" priority="1">
      <formula>ABS(T13)&lt;0.1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5E1932-1D98-459A-AC7C-8A782B53B6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6</vt:i4>
      </vt:variant>
    </vt:vector>
  </HeadingPairs>
  <TitlesOfParts>
    <vt:vector size="6" baseType="lpstr">
      <vt:lpstr>Ilman vapautuksia</vt:lpstr>
      <vt:lpstr>Vapautuksilla</vt:lpstr>
      <vt:lpstr>Jousituet</vt:lpstr>
      <vt:lpstr>Lukkovoimat</vt:lpstr>
      <vt:lpstr>Tuki kierretty x</vt:lpstr>
      <vt:lpstr>Tuki kierretty 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Ville Pekkala</dc:creator>
  <cp:lastModifiedBy>Ville Pekkala</cp:lastModifiedBy>
  <dcterms:created xsi:type="dcterms:W3CDTF">2025-01-30T16:28:35Z</dcterms:created>
  <dcterms:modified xsi:type="dcterms:W3CDTF">2026-03-22T20:24:08Z</dcterms:modified>
</cp:coreProperties>
</file>